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U26" i="93"/>
  <c r="AV26" i="93" s="1"/>
  <c r="AW26" i="93" s="1"/>
  <c r="AX26" i="93" s="1"/>
  <c r="AU30" i="93"/>
  <c r="AU38" i="93"/>
  <c r="AW19" i="93"/>
  <c r="AX19" i="93" s="1"/>
  <c r="AR19" i="93" s="1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W12" i="93"/>
  <c r="AX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Q19" i="93"/>
  <c r="AZ25" i="93"/>
  <c r="AQ32" i="93"/>
  <c r="AQ12" i="93"/>
  <c r="AQ26" i="93"/>
  <c r="AQ27" i="93"/>
  <c r="AR12" i="93"/>
  <c r="AQ8" i="93"/>
  <c r="AZ24" i="93"/>
  <c r="AQ35" i="93"/>
  <c r="AR7" i="93"/>
  <c r="AR35" i="93"/>
  <c r="AQ18" i="93"/>
  <c r="AQ33" i="93"/>
  <c r="AZ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AZ12" i="93"/>
  <c r="BL28" i="93"/>
  <c r="BL16" i="93"/>
  <c r="BL22" i="93"/>
  <c r="BL29" i="93"/>
  <c r="AT36" i="93"/>
  <c r="BL10" i="93"/>
  <c r="AR11" i="93"/>
  <c r="BL17" i="93"/>
  <c r="AR24" i="93"/>
  <c r="AZ26" i="93"/>
  <c r="AT32" i="93"/>
  <c r="AZ32" i="93" s="1"/>
  <c r="BL24" i="93"/>
  <c r="BL30" i="93"/>
  <c r="BL35" i="93"/>
  <c r="BL12" i="93"/>
  <c r="BL18" i="93"/>
  <c r="BL25" i="93"/>
  <c r="AR26" i="93"/>
  <c r="AR32" i="93"/>
  <c r="AT34" i="93"/>
  <c r="AT37" i="93"/>
  <c r="AU37" i="93" s="1"/>
  <c r="AV37" i="93" s="1"/>
  <c r="AQ37" i="93" s="1"/>
  <c r="BL5" i="93"/>
  <c r="AZ7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19" i="93"/>
  <c r="AZ27" i="93"/>
  <c r="AZ31" i="93"/>
  <c r="AT40" i="93"/>
  <c r="AZ40" i="93" s="1"/>
  <c r="AQ7" i="93"/>
  <c r="BA7" i="93" s="1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BA26" i="93"/>
  <c r="AP42" i="93"/>
  <c r="Y42" i="93"/>
  <c r="Z42" i="93" s="1"/>
  <c r="AS41" i="93"/>
  <c r="BB43" i="93"/>
  <c r="W41" i="93"/>
  <c r="X41" i="93" s="1"/>
  <c r="AU41" i="93"/>
  <c r="AV41" i="93" s="1"/>
  <c r="BA19" i="93" l="1"/>
  <c r="AQ21" i="93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19" i="93"/>
  <c r="AY21" i="93"/>
  <c r="AY24" i="93"/>
  <c r="AY26" i="93"/>
  <c r="AY35" i="93"/>
  <c r="AY32" i="93"/>
  <c r="AY39" i="93"/>
  <c r="AZ35" i="93"/>
  <c r="AY8" i="93"/>
  <c r="AY11" i="93"/>
  <c r="AY27" i="93"/>
  <c r="AY33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BA37" i="93" l="1"/>
  <c r="AW30" i="93"/>
  <c r="AX30" i="93" s="1"/>
  <c r="AR30" i="93" s="1"/>
  <c r="AY30" i="93" s="1"/>
  <c r="AX23" i="93"/>
  <c r="AZ23" i="93"/>
  <c r="BA30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BA9" i="93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38" i="93" l="1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43" i="93" s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<sst xmlns="http://schemas.openxmlformats.org/spreadsheetml/2006/main" count="266" uniqueCount="153">
  <si>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</si>
  <si>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</si>
  <si>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</si>
  <si>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</si>
  <si>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</si>
  <si>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</si>
  <si>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</si>
  <si>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</si>
  <si>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</si>
  <si>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</si>
  <si>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</si>
  <si>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</si>
  <si>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</si>
  <si>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</si>
  <si>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</si>
  <si>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</si>
  <si>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</si>
  <si>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</si>
  <si>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</si>
  <si>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</si>
  <si>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</si>
  <si>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</si>
  <si>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</si>
  <si>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</si>
  <si>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</si>
  <si>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</si>
  <si>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</si>
  <si>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</si>
  <si>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</si>
  <si>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</si>
  <si>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</si>
  <si>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</si>
  <si>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</si>
  <si>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</si>
  <si>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</si>
  <si>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</si>
  <si>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</si>
  <si>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</si>
  <si>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</si>
  <si>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</si>
  <si>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</si>
  <si>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</si>
  <si>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</si>
  <si>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</si>
  <si>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</si>
  <si>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</si>
  <si>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</si>
  <si>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</si>
  <si>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</si>
  <si>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</si>
  <si>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</si>
  <si>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</si>
  <si>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</si>
  <si>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</si>
  <si>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</si>
  <si>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</si>
  <si>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</si>
  <si>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</si>
  <si>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</si>
  <si>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</si>
  <si>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</si>
  <si>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</si>
  <si>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</si>
  <si>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</si>
  <si>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</si>
  <si>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</si>
  <si>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</si>
  <si>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</si>
  <si>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</si>
  <si>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</si>
  <si>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</si>
  <si>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</si>
  <si>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</si>
  <si>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</si>
  <si>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</si>
  <si>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</si>
  <si>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</si>
  <si>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</si>
  <si>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</si>
  <si>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</si>
  <si>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</si>
  <si>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</si>
  <si>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</si>
  <si>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</si>
  <si>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</si>
  <si>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</si>
  <si>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</si>
  <si>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</si>
  <si>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</si>
  <si>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</si>
  <si>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</si>
  <si>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</si>
  <si>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</si>
  <si>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</si>
  <si>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</si>
  <si>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</si>
  <si>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</si>
  <si>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</si>
  <si>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</si>
  <si>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</si>
  <si>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</si>
  <si>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</si>
  <si>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</si>
  <si>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</si>
  <si>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</si>
  <si>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</si>
  <si>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</si>
  <si>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</si>
  <si>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</si>
  <si>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</si>
  <si>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</si>
  <si>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</si>
  <si>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</si>
  <si>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</si>
  <si>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</si>
  <si>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</si>
  <si>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</si>
  <si>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</si>
  <si>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</si>
  <si>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</si>
  <si>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</si>
  <si>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</si>
  <si>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</si>
  <si>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</si>
  <si>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</si>
  <si>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</si>
  <si>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</si>
  <si>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</si>
  <si>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</si>
  <si>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</si>
  <si>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</si>
  <si>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</si>
  <si>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</si>
  <si>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</si>
  <si>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</si>
  <si>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</si>
  <si>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</si>
  <si>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</si>
  <si>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</si>
  <si>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</si>
  <si>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</si>
  <si>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</si>
  <si>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</si>
  <si>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</si>
  <si>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</si>
  <si>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</si>
  <si>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</si>
  <si>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</si>
  <si>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</si>
  <si>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$P$9</t>
  </si>
  <si>
    <t>Aucune semaine selectionnée</t>
  </si>
  <si>
    <t>2025.9.1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</si>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</sst>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14" fontId="3" fillId="0" borderId="178" xfId="0" applyNumberFormat="1" applyFont="1" applyFill="1" applyBorder="1"/>
    <xf numFmtId="20" fontId="3" fillId="0" borderId="178" xfId="0" applyNumberFormat="1" applyFont="1" applyFill="1" applyBorder="1"/>
    <xf numFmtId="0" fontId="3" fillId="0" borderId="178" xfId="0" applyFont="1" applyFill="1" applyBorder="1"/>
    <xf numFmtId="0" fontId="3" fillId="0" borderId="179" xfId="0" applyFont="1" applyFill="1" applyBorder="1"/>
    <xf numFmtId="0" fontId="3" fillId="0" borderId="180" xfId="0" applyFont="1" applyFill="1" applyBorder="1"/>
    <xf numFmtId="0" fontId="3" fillId="0" borderId="181" xfId="0" applyFont="1" applyFill="1" applyBorder="1"/>
    <xf numFmtId="20" fontId="3" fillId="0" borderId="181" xfId="0" applyNumberFormat="1" applyFont="1" applyFill="1" applyBorder="1"/>
    <xf numFmtId="0" fontId="3" fillId="0" borderId="182" xfId="0" applyFont="1" applyFill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C-EB69-4BBF-81FB-90162001668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EB69-4BBF-81FB-90162001668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EB69-4BBF-81FB-90162001668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EB69-4BBF-81FB-901620016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workbookViewId="0">
      <selection activeCell="AC4" sqref="AC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67" t="s">
        <v>152</v>
      </c>
      <c r="O1" s="367"/>
      <c r="P1" s="367"/>
      <c r="Q1" s="125"/>
      <c r="S1" s="367">
        <v>2025</v>
      </c>
      <c r="T1" s="367"/>
      <c r="X1" s="24" t="s">
        <v>75</v>
      </c>
      <c r="AA1" s="350"/>
      <c r="AB1" s="350"/>
      <c r="AC1" s="26"/>
    </row>
    <row r="2" spans="3:38" ht="15.75" thickBot="1" x14ac:dyDescent="0.3">
      <c r="E2" s="368" t="s">
        <v>76</v>
      </c>
      <c r="F2" s="369"/>
      <c r="G2" s="370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296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71"/>
      <c r="J23" s="372"/>
      <c r="K23" s="372"/>
      <c r="L23" s="372"/>
      <c r="M23" s="372"/>
      <c r="N23" s="373"/>
      <c r="Q23" s="226"/>
      <c r="R23" s="374" t="s">
        <v>77</v>
      </c>
      <c r="S23" s="358"/>
      <c r="T23" s="358"/>
      <c r="U23" s="358"/>
      <c r="V23" s="359"/>
    </row>
    <row r="24" spans="2:38" ht="15.75" thickBot="1" x14ac:dyDescent="0.3">
      <c r="B24" s="375" t="s">
        <v>78</v>
      </c>
      <c r="C24" s="376"/>
      <c r="D24" s="376"/>
      <c r="E24" s="376"/>
      <c r="F24" s="376"/>
      <c r="G24" s="376"/>
      <c r="H24" s="376"/>
      <c r="I24" s="377"/>
      <c r="J24" s="377"/>
      <c r="K24" s="377"/>
      <c r="L24" s="377"/>
      <c r="M24" s="377"/>
      <c r="N24" s="377"/>
      <c r="O24" s="376"/>
      <c r="P24" s="376"/>
      <c r="Q24" s="377"/>
      <c r="R24" s="376"/>
      <c r="S24" s="376"/>
      <c r="T24" s="376"/>
      <c r="U24" s="376"/>
      <c r="V24" s="376"/>
      <c r="W24" s="378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79">
        <v>1</v>
      </c>
      <c r="E25" s="379"/>
      <c r="F25" s="379">
        <v>2</v>
      </c>
      <c r="G25" s="379"/>
      <c r="H25" s="379">
        <v>3</v>
      </c>
      <c r="I25" s="379"/>
      <c r="J25" s="379">
        <v>4</v>
      </c>
      <c r="K25" s="379"/>
      <c r="L25" s="379">
        <v>5</v>
      </c>
      <c r="M25" s="365"/>
      <c r="N25" s="365">
        <v>6</v>
      </c>
      <c r="O25" s="366"/>
      <c r="P25" s="365">
        <v>7</v>
      </c>
      <c r="Q25" s="366"/>
      <c r="R25" s="365">
        <v>8</v>
      </c>
      <c r="S25" s="366"/>
      <c r="T25" s="365">
        <v>9</v>
      </c>
      <c r="U25" s="366"/>
      <c r="V25" s="365">
        <v>10</v>
      </c>
      <c r="W25" s="364"/>
      <c r="X25" s="351" t="s">
        <v>113</v>
      </c>
      <c r="Y25" s="352"/>
      <c r="Z25" s="353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107</v>
      </c>
      <c r="Z26" s="263" t="s">
        <v>114</v>
      </c>
      <c r="AA26" s="363" t="s">
        <v>103</v>
      </c>
      <c r="AB26" s="364"/>
      <c r="AC26" s="363" t="s">
        <v>104</v>
      </c>
      <c r="AD26" s="364"/>
      <c r="AE26" s="356" t="s">
        <v>105</v>
      </c>
      <c r="AF26" s="356"/>
      <c r="AG26" s="356" t="s">
        <v>106</v>
      </c>
      <c r="AH26" s="356"/>
    </row>
    <row r="27" spans="2:38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28"/>
      <c r="AB27" s="329"/>
      <c r="AC27" s="336" t="str">
        <f>TRUNC(SUM(AA27:AA33)*24,0) &amp; "h" &amp; RIGHT("00"&amp;ROUND(((SUM(AA27:AA33)*24)-TRUNC(SUM(AA27:AA33)*24,0))*60,2),2)</f>
        <v>0h00</v>
      </c>
      <c r="AD27" s="337"/>
      <c r="AE27" s="360"/>
      <c r="AF27" s="360"/>
      <c r="AG27" s="336" t="str">
        <f>TRUNC(SUM(AE27:AE33)*24,0) &amp; "h" &amp; RIGHT("00"&amp;ROUND(((SUM(AE27:AE33)*24)-TRUNC(SUM(AE27:AE33)*24,0))*60,2),2)</f>
        <v>0h00</v>
      </c>
      <c r="AH27" s="337"/>
    </row>
    <row r="28" spans="2:38" ht="14.1" customHeight="1" x14ac:dyDescent="0.25">
      <c r="B28" s="139" t="s">
        <v>81</v>
      </c>
      <c r="C28" s="140">
        <v>45895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26"/>
      <c r="AB28" s="327"/>
      <c r="AC28" s="338"/>
      <c r="AD28" s="339"/>
      <c r="AE28" s="323"/>
      <c r="AF28" s="323"/>
      <c r="AG28" s="338"/>
      <c r="AH28" s="339"/>
    </row>
    <row r="29" spans="2:38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24"/>
      <c r="AB29" s="325"/>
      <c r="AC29" s="340"/>
      <c r="AD29" s="341"/>
      <c r="AE29" s="354"/>
      <c r="AF29" s="354"/>
      <c r="AG29" s="340"/>
      <c r="AH29" s="341"/>
    </row>
    <row r="30" spans="2:38" ht="14.1" customHeight="1" x14ac:dyDescent="0.25">
      <c r="B30" s="139" t="s">
        <v>83</v>
      </c>
      <c r="C30" s="140">
        <v>45897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26"/>
      <c r="AB30" s="327"/>
      <c r="AC30" s="338"/>
      <c r="AD30" s="339"/>
      <c r="AE30" s="323"/>
      <c r="AF30" s="323"/>
      <c r="AG30" s="338"/>
      <c r="AH30" s="339"/>
    </row>
    <row r="31" spans="2:38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24"/>
      <c r="AB31" s="325"/>
      <c r="AC31" s="340"/>
      <c r="AD31" s="341"/>
      <c r="AE31" s="354"/>
      <c r="AF31" s="354"/>
      <c r="AG31" s="340"/>
      <c r="AH31" s="341"/>
    </row>
    <row r="32" spans="2:38" ht="14.1" customHeight="1" x14ac:dyDescent="0.25">
      <c r="B32" s="139" t="s">
        <v>85</v>
      </c>
      <c r="C32" s="140">
        <v>45899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26"/>
      <c r="AB32" s="327"/>
      <c r="AC32" s="338"/>
      <c r="AD32" s="339"/>
      <c r="AE32" s="323"/>
      <c r="AF32" s="323"/>
      <c r="AG32" s="338"/>
      <c r="AH32" s="339"/>
    </row>
    <row r="33" spans="2:40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30"/>
      <c r="AB33" s="331"/>
      <c r="AC33" s="342"/>
      <c r="AD33" s="343"/>
      <c r="AE33" s="354"/>
      <c r="AF33" s="354"/>
      <c r="AG33" s="342"/>
      <c r="AH33" s="343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45901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32"/>
      <c r="AB34" s="333"/>
      <c r="AC34" s="344" t="str">
        <f>TRUNC(SUM(AA34:AA40)*24,0) &amp; "h" &amp; RIGHT("00"&amp;ROUND(((SUM(AA34:AA40)*24)-TRUNC(SUM(AA34:AA40)*24,0))*60,2),2)</f>
        <v>0h00</v>
      </c>
      <c r="AD34" s="345"/>
      <c r="AE34" s="323"/>
      <c r="AF34" s="323"/>
      <c r="AG34" s="344" t="str">
        <f>TRUNC(SUM(AE34:AE40)*24,0) &amp; "h" &amp; RIGHT("00"&amp;ROUND(((SUM(AE34:AE40)*24)-TRUNC(SUM(AE34:AE40)*24,0))*60,2),2)</f>
        <v>0h00</v>
      </c>
      <c r="AH34" s="345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24"/>
      <c r="AB35" s="325"/>
      <c r="AC35" s="340"/>
      <c r="AD35" s="341"/>
      <c r="AE35" s="354"/>
      <c r="AF35" s="354"/>
      <c r="AG35" s="340"/>
      <c r="AH35" s="341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45903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26"/>
      <c r="AB36" s="327"/>
      <c r="AC36" s="338"/>
      <c r="AD36" s="339"/>
      <c r="AE36" s="323"/>
      <c r="AF36" s="323"/>
      <c r="AG36" s="338"/>
      <c r="AH36" s="339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24"/>
      <c r="AB37" s="325"/>
      <c r="AC37" s="340"/>
      <c r="AD37" s="341"/>
      <c r="AE37" s="354"/>
      <c r="AF37" s="354"/>
      <c r="AG37" s="340"/>
      <c r="AH37" s="341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45905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26"/>
      <c r="AB38" s="327"/>
      <c r="AC38" s="338"/>
      <c r="AD38" s="339"/>
      <c r="AE38" s="323"/>
      <c r="AF38" s="323"/>
      <c r="AG38" s="338"/>
      <c r="AH38" s="339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24"/>
      <c r="AB39" s="325"/>
      <c r="AC39" s="340"/>
      <c r="AD39" s="341"/>
      <c r="AE39" s="354"/>
      <c r="AF39" s="354"/>
      <c r="AG39" s="340"/>
      <c r="AH39" s="341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45907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61"/>
      <c r="AB40" s="362"/>
      <c r="AC40" s="346"/>
      <c r="AD40" s="347"/>
      <c r="AE40" s="323"/>
      <c r="AF40" s="323"/>
      <c r="AG40" s="346"/>
      <c r="AH40" s="347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34"/>
      <c r="AB41" s="335"/>
      <c r="AC41" s="336" t="str">
        <f>TRUNC(SUM(AA41:AA47)*24,0) &amp; "h" &amp; RIGHT("00"&amp;ROUND(((SUM(AA41:AA47)*24)-TRUNC(SUM(AA41:AA47)*24,0))*60,2),2)</f>
        <v>0h00</v>
      </c>
      <c r="AD41" s="337"/>
      <c r="AE41" s="354"/>
      <c r="AF41" s="354"/>
      <c r="AG41" s="336" t="str">
        <f>TRUNC(SUM(AE41:AE47)*24,0) &amp; "h" &amp; RIGHT("00"&amp;ROUND(((SUM(AE41:AE47)*24)-TRUNC(SUM(AE41:AE47)*24,0))*60,2),2)</f>
        <v>0h00</v>
      </c>
      <c r="AH41" s="337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45909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26"/>
      <c r="AB42" s="327"/>
      <c r="AC42" s="338"/>
      <c r="AD42" s="339"/>
      <c r="AE42" s="323"/>
      <c r="AF42" s="323"/>
      <c r="AG42" s="338"/>
      <c r="AH42" s="339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24"/>
      <c r="AB43" s="325"/>
      <c r="AC43" s="340"/>
      <c r="AD43" s="341"/>
      <c r="AE43" s="354"/>
      <c r="AF43" s="354"/>
      <c r="AG43" s="340"/>
      <c r="AH43" s="341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45911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26"/>
      <c r="AB44" s="327"/>
      <c r="AC44" s="338"/>
      <c r="AD44" s="339"/>
      <c r="AE44" s="323"/>
      <c r="AF44" s="323"/>
      <c r="AG44" s="338"/>
      <c r="AH44" s="339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24"/>
      <c r="AB45" s="325"/>
      <c r="AC45" s="340"/>
      <c r="AD45" s="341"/>
      <c r="AE45" s="354"/>
      <c r="AF45" s="354"/>
      <c r="AG45" s="340"/>
      <c r="AH45" s="341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45913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26"/>
      <c r="AB46" s="327"/>
      <c r="AC46" s="338"/>
      <c r="AD46" s="339"/>
      <c r="AE46" s="323"/>
      <c r="AF46" s="323"/>
      <c r="AG46" s="338"/>
      <c r="AH46" s="339"/>
    </row>
    <row r="47" spans="2:40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30"/>
      <c r="AB47" s="331"/>
      <c r="AC47" s="342"/>
      <c r="AD47" s="343"/>
      <c r="AE47" s="354"/>
      <c r="AF47" s="354"/>
      <c r="AG47" s="342"/>
      <c r="AH47" s="343"/>
    </row>
    <row r="48" spans="2:40" ht="14.1" customHeight="1" x14ac:dyDescent="0.25">
      <c r="B48" s="139" t="s">
        <v>80</v>
      </c>
      <c r="C48" s="140">
        <v>45915</v>
      </c>
      <c r="D48" s="265"/>
      <c r="E48" s="266"/>
      <c r="F48" s="265"/>
      <c r="G48" s="266"/>
      <c r="H48" s="265"/>
      <c r="I48" s="266"/>
      <c r="J48" s="265"/>
      <c r="K48" s="266"/>
      <c r="L48" s="265"/>
      <c r="M48" s="266"/>
      <c r="N48" s="267"/>
      <c r="O48" s="266"/>
      <c r="P48" s="265"/>
      <c r="Q48" s="266"/>
      <c r="R48" s="265"/>
      <c r="S48" s="266"/>
      <c r="T48" s="265"/>
      <c r="U48" s="266"/>
      <c r="V48" s="265"/>
      <c r="W48" s="268"/>
      <c r="X48" s="269"/>
      <c r="Y48" s="270"/>
      <c r="Z48" s="271"/>
      <c r="AA48" s="332"/>
      <c r="AB48" s="333"/>
      <c r="AC48" s="344" t="str">
        <f>TRUNC(SUM(AA48:AA54)*24,0) &amp; "h" &amp; RIGHT("00"&amp;ROUND(((SUM(AA48:AA54)*24)-TRUNC(SUM(AA48:AA54)*24,0))*60,2),2)</f>
        <v>0h00</v>
      </c>
      <c r="AD48" s="345"/>
      <c r="AE48" s="323"/>
      <c r="AF48" s="323"/>
      <c r="AG48" s="344" t="str">
        <f>TRUNC(SUM(AE48:AE54)*24,0) &amp; "h" &amp; RIGHT("00"&amp;ROUND(((SUM(AE48:AE54)*24)-TRUNC(SUM(AE48:AE54)*24,0))*60,2),2)</f>
        <v>0h00</v>
      </c>
      <c r="AH48" s="345"/>
    </row>
    <row r="49" spans="2:34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24"/>
      <c r="AB49" s="325"/>
      <c r="AC49" s="340"/>
      <c r="AD49" s="341"/>
      <c r="AE49" s="354"/>
      <c r="AF49" s="354"/>
      <c r="AG49" s="340"/>
      <c r="AH49" s="341"/>
    </row>
    <row r="50" spans="2:34" ht="14.1" customHeight="1" x14ac:dyDescent="0.25">
      <c r="B50" s="139" t="s">
        <v>82</v>
      </c>
      <c r="C50" s="140">
        <v>45917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26"/>
      <c r="AB50" s="327"/>
      <c r="AC50" s="338"/>
      <c r="AD50" s="339"/>
      <c r="AE50" s="323"/>
      <c r="AF50" s="323"/>
      <c r="AG50" s="338"/>
      <c r="AH50" s="339"/>
    </row>
    <row r="51" spans="2:34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24"/>
      <c r="AB51" s="325"/>
      <c r="AC51" s="340"/>
      <c r="AD51" s="341"/>
      <c r="AE51" s="354"/>
      <c r="AF51" s="354"/>
      <c r="AG51" s="340"/>
      <c r="AH51" s="341"/>
    </row>
    <row r="52" spans="2:34" ht="14.1" customHeight="1" x14ac:dyDescent="0.25">
      <c r="B52" s="139" t="s">
        <v>84</v>
      </c>
      <c r="C52" s="140">
        <v>45919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26"/>
      <c r="AB52" s="327"/>
      <c r="AC52" s="338"/>
      <c r="AD52" s="339"/>
      <c r="AE52" s="323"/>
      <c r="AF52" s="323"/>
      <c r="AG52" s="338"/>
      <c r="AH52" s="339"/>
    </row>
    <row r="53" spans="2:34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24"/>
      <c r="AB53" s="325"/>
      <c r="AC53" s="340"/>
      <c r="AD53" s="341"/>
      <c r="AE53" s="354"/>
      <c r="AF53" s="354"/>
      <c r="AG53" s="340"/>
      <c r="AH53" s="341"/>
    </row>
    <row r="54" spans="2:34" ht="14.1" customHeight="1" x14ac:dyDescent="0.25">
      <c r="B54" s="163" t="s">
        <v>86</v>
      </c>
      <c r="C54" s="164">
        <v>45921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61"/>
      <c r="AB54" s="362"/>
      <c r="AC54" s="346"/>
      <c r="AD54" s="347"/>
      <c r="AE54" s="323"/>
      <c r="AF54" s="323"/>
      <c r="AG54" s="346"/>
      <c r="AH54" s="347"/>
    </row>
    <row r="55" spans="2:34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34"/>
      <c r="AB55" s="335"/>
      <c r="AC55" s="336" t="str">
        <f>TRUNC(SUM(AA55:AA61)*24,0) &amp; "h" &amp; RIGHT("00"&amp;ROUND(((SUM(AA55:AA61)*24)-TRUNC(SUM(AA55:AA61)*24,0))*60,2),2)</f>
        <v>0h00</v>
      </c>
      <c r="AD55" s="337"/>
      <c r="AE55" s="354"/>
      <c r="AF55" s="354"/>
      <c r="AG55" s="336" t="str">
        <f>TRUNC(SUM(AE55:AE61)*24,0) &amp; "h" &amp; RIGHT("00"&amp;ROUND(((SUM(AE55:AE61)*24)-TRUNC(SUM(AE55:AE61)*24,0))*60,2),2)</f>
        <v>0h00</v>
      </c>
      <c r="AH55" s="337"/>
    </row>
    <row r="56" spans="2:34" ht="14.1" customHeight="1" x14ac:dyDescent="0.25">
      <c r="B56" s="139" t="s">
        <v>81</v>
      </c>
      <c r="C56" s="140">
        <v>45923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26"/>
      <c r="AB56" s="327"/>
      <c r="AC56" s="338"/>
      <c r="AD56" s="339"/>
      <c r="AE56" s="323"/>
      <c r="AF56" s="323"/>
      <c r="AG56" s="338"/>
      <c r="AH56" s="339"/>
    </row>
    <row r="57" spans="2:34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24"/>
      <c r="AB57" s="325"/>
      <c r="AC57" s="340"/>
      <c r="AD57" s="341"/>
      <c r="AE57" s="354"/>
      <c r="AF57" s="354"/>
      <c r="AG57" s="340"/>
      <c r="AH57" s="341"/>
    </row>
    <row r="58" spans="2:34" ht="14.1" customHeight="1" x14ac:dyDescent="0.25">
      <c r="B58" s="139" t="s">
        <v>83</v>
      </c>
      <c r="C58" s="140">
        <v>45925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26"/>
      <c r="AB58" s="327"/>
      <c r="AC58" s="338"/>
      <c r="AD58" s="339"/>
      <c r="AE58" s="323"/>
      <c r="AF58" s="323"/>
      <c r="AG58" s="338"/>
      <c r="AH58" s="339"/>
    </row>
    <row r="59" spans="2:34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24"/>
      <c r="AB59" s="325"/>
      <c r="AC59" s="340"/>
      <c r="AD59" s="341"/>
      <c r="AE59" s="354"/>
      <c r="AF59" s="354"/>
      <c r="AG59" s="340"/>
      <c r="AH59" s="341"/>
    </row>
    <row r="60" spans="2:34" ht="14.1" customHeight="1" x14ac:dyDescent="0.25">
      <c r="B60" s="139" t="s">
        <v>85</v>
      </c>
      <c r="C60" s="140">
        <v>45927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26"/>
      <c r="AB60" s="327"/>
      <c r="AC60" s="338"/>
      <c r="AD60" s="339"/>
      <c r="AE60" s="323"/>
      <c r="AF60" s="323"/>
      <c r="AG60" s="338"/>
      <c r="AH60" s="339"/>
    </row>
    <row r="61" spans="2:34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48"/>
      <c r="AB61" s="349"/>
      <c r="AC61" s="340"/>
      <c r="AD61" s="341"/>
      <c r="AE61" s="355"/>
      <c r="AF61" s="355"/>
      <c r="AG61" s="340"/>
      <c r="AH61" s="341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20" t="s">
        <v>129</v>
      </c>
      <c r="Z62" s="321"/>
      <c r="AA62" s="321"/>
      <c r="AB62" s="322"/>
      <c r="AC62" s="316" t="str">
        <f>TRUNC(SUM(AA27:AA61)*24,0) &amp; "h" &amp; RIGHT("00"&amp;ROUND(((SUM(AA27:AA61)*24)-TRUNC(SUM(AA27:AA61)*24,0))*60,2),2)</f>
        <v>0h00</v>
      </c>
      <c r="AD62" s="317"/>
      <c r="AE62" s="294"/>
      <c r="AF62" s="295"/>
      <c r="AG62" s="318" t="str">
        <f>TRUNC(SUM(AE27:AE61)*24,0) &amp; "h" &amp; RIGHT("00"&amp;ROUND(((SUM(AE27:AE61)*24)-TRUNC(SUM(AE27:AE61)*24,0))*60,2),2)</f>
        <v>0h00</v>
      </c>
      <c r="AH62" s="319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50" t="s">
        <v>150</v>
      </c>
      <c r="F66" s="350"/>
      <c r="G66" s="350"/>
      <c r="H66" s="350"/>
      <c r="I66" s="350"/>
      <c r="J66" s="350"/>
      <c r="K66" s="350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57" t="s">
        <v>108</v>
      </c>
      <c r="F68" s="358"/>
      <c r="G68" s="358"/>
      <c r="H68" s="358"/>
      <c r="I68" s="358"/>
      <c r="J68" s="358"/>
      <c r="K68" s="359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/>
      <c r="F77" s="7">
        <v>6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39:AB39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AA60:AB60"/>
    <mergeCell ref="AA61:AB61"/>
    <mergeCell ref="AA53:AB5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tabSelected="1" zoomScaleNormal="100" workbookViewId="0">
      <selection activeCell="I22" sqref="I2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149</v>
      </c>
      <c r="AB1" t="s">
        <v>15</v>
      </c>
    </row>
    <row r="2" spans="4:28" ht="17.25" x14ac:dyDescent="0.3">
      <c r="D2" t="s">
        <v>13</v>
      </c>
      <c r="E2" s="388"/>
      <c r="F2" s="388"/>
      <c r="G2" s="388"/>
      <c r="H2" s="388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0"/>
      <c r="F4" s="380"/>
      <c r="G4" s="380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4" t="s">
        <v>12</v>
      </c>
      <c r="I9" s="385"/>
      <c r="O9" s="300"/>
      <c r="P9" s="301"/>
      <c r="Q9" s="302"/>
      <c r="R9" s="303"/>
      <c r="S9" s="304"/>
    </row>
    <row r="10" spans="4:28" ht="15.75" thickBot="1" x14ac:dyDescent="0.3">
      <c r="D10" s="23"/>
      <c r="E10" s="297"/>
      <c r="F10" s="298"/>
      <c r="G10" s="299"/>
      <c r="H10" s="386"/>
      <c r="I10" s="387"/>
      <c r="O10" s="305"/>
      <c r="P10" s="306"/>
      <c r="Q10" s="307"/>
      <c r="R10" s="308"/>
      <c r="S10" s="309"/>
    </row>
    <row r="11" spans="4:28" x14ac:dyDescent="0.25">
      <c r="O11" s="305"/>
      <c r="P11" s="306"/>
      <c r="Q11" s="307"/>
      <c r="R11" s="308"/>
      <c r="S11" s="309"/>
    </row>
    <row r="12" spans="4:28" x14ac:dyDescent="0.25">
      <c r="O12" s="305"/>
      <c r="P12" s="306"/>
      <c r="Q12" s="307"/>
      <c r="R12" s="308"/>
      <c r="S12" s="309"/>
    </row>
    <row r="13" spans="4:28" x14ac:dyDescent="0.25">
      <c r="O13" s="305"/>
      <c r="P13" s="306"/>
      <c r="Q13" s="307"/>
      <c r="R13" s="308"/>
      <c r="S13" s="309"/>
    </row>
    <row r="14" spans="4:28" x14ac:dyDescent="0.25">
      <c r="O14" s="305"/>
      <c r="P14" s="306"/>
      <c r="Q14" s="307"/>
      <c r="R14" s="308"/>
      <c r="S14" s="309"/>
    </row>
    <row r="15" spans="4:28" x14ac:dyDescent="0.25">
      <c r="O15" s="305"/>
      <c r="P15" s="306"/>
      <c r="Q15" s="307"/>
      <c r="R15" s="308"/>
      <c r="S15" s="309"/>
    </row>
    <row r="16" spans="4:28" ht="15.75" thickBot="1" x14ac:dyDescent="0.3">
      <c r="O16" s="305"/>
      <c r="P16" s="306"/>
      <c r="Q16" s="307"/>
      <c r="R16" s="308"/>
      <c r="S16" s="309"/>
    </row>
    <row r="17" spans="4:19" ht="15.75" thickBot="1" x14ac:dyDescent="0.3">
      <c r="D17" s="381" t="s">
        <v>17</v>
      </c>
      <c r="E17" s="382"/>
      <c r="F17" s="382"/>
      <c r="G17" s="383"/>
      <c r="O17" s="305"/>
      <c r="P17" s="306"/>
      <c r="Q17" s="307"/>
      <c r="R17" s="308"/>
      <c r="S17" s="309"/>
    </row>
    <row r="18" spans="4:19" x14ac:dyDescent="0.25">
      <c r="D18" s="5"/>
      <c r="G18" s="6"/>
      <c r="O18" s="305"/>
      <c r="P18" s="306"/>
      <c r="Q18" s="307"/>
      <c r="R18" s="308"/>
      <c r="S18" s="309"/>
    </row>
    <row r="19" spans="4:19" x14ac:dyDescent="0.25">
      <c r="D19" s="5" t="s">
        <v>18</v>
      </c>
      <c r="E19" s="1"/>
      <c r="G19" s="6"/>
      <c r="O19" s="305"/>
      <c r="P19" s="306"/>
      <c r="Q19" s="307"/>
      <c r="R19" s="308"/>
      <c r="S19" s="309"/>
    </row>
    <row r="20" spans="4:19" ht="15.75" thickBot="1" x14ac:dyDescent="0.3">
      <c r="D20" s="16" t="s">
        <v>19</v>
      </c>
      <c r="E20" s="17"/>
      <c r="F20" s="7"/>
      <c r="G20" s="8"/>
      <c r="O20" s="305"/>
      <c r="P20" s="306"/>
      <c r="Q20" s="307"/>
      <c r="R20" s="308"/>
      <c r="S20" s="309"/>
    </row>
    <row r="21" spans="4:19" x14ac:dyDescent="0.25">
      <c r="O21" s="305"/>
      <c r="P21" s="306"/>
      <c r="Q21" s="307"/>
      <c r="R21" s="308"/>
      <c r="S21" s="309"/>
    </row>
    <row r="22" spans="4:19" x14ac:dyDescent="0.25">
      <c r="E22" s="40"/>
      <c r="O22" s="305"/>
      <c r="P22" s="306"/>
      <c r="Q22" s="307"/>
      <c r="R22" s="308"/>
      <c r="S22" s="309"/>
    </row>
    <row r="23" spans="4:19" x14ac:dyDescent="0.25">
      <c r="O23" s="305"/>
      <c r="P23" s="306"/>
      <c r="Q23" s="307"/>
      <c r="R23" s="308"/>
      <c r="S23" s="309"/>
    </row>
    <row r="24" spans="4:19" x14ac:dyDescent="0.25">
      <c r="O24" s="305"/>
      <c r="P24" s="306"/>
      <c r="Q24" s="307"/>
      <c r="R24" s="308"/>
      <c r="S24" s="309"/>
    </row>
    <row r="25" spans="4:19" x14ac:dyDescent="0.25">
      <c r="O25" s="305"/>
      <c r="P25" s="306"/>
      <c r="Q25" s="307"/>
      <c r="R25" s="308"/>
      <c r="S25" s="309"/>
    </row>
    <row r="26" spans="4:19" x14ac:dyDescent="0.25">
      <c r="O26" s="305"/>
      <c r="P26" s="306"/>
      <c r="Q26" s="307"/>
      <c r="R26" s="308"/>
      <c r="S26" s="309"/>
    </row>
    <row r="27" spans="4:19" x14ac:dyDescent="0.25">
      <c r="O27" s="305"/>
      <c r="P27" s="306"/>
      <c r="Q27" s="307"/>
      <c r="R27" s="308"/>
      <c r="S27" s="309"/>
    </row>
    <row r="28" spans="4:19" x14ac:dyDescent="0.25">
      <c r="O28" s="305"/>
      <c r="P28" s="306"/>
      <c r="Q28" s="307"/>
      <c r="R28" s="308"/>
      <c r="S28" s="309"/>
    </row>
    <row r="29" spans="4:19" x14ac:dyDescent="0.25">
      <c r="O29" s="305"/>
      <c r="P29" s="308"/>
      <c r="Q29" s="307"/>
      <c r="R29" s="308"/>
      <c r="S29" s="309"/>
    </row>
    <row r="30" spans="4:19" x14ac:dyDescent="0.25">
      <c r="O30" s="305"/>
      <c r="P30" s="308"/>
      <c r="Q30" s="307"/>
      <c r="R30" s="308"/>
      <c r="S30" s="309"/>
    </row>
    <row r="31" spans="4:19" x14ac:dyDescent="0.25">
      <c r="O31" s="305"/>
      <c r="P31" s="308"/>
      <c r="Q31" s="307"/>
      <c r="R31" s="308"/>
      <c r="S31" s="309"/>
    </row>
    <row r="32" spans="4:19" x14ac:dyDescent="0.25">
      <c r="O32" s="305"/>
      <c r="P32" s="308"/>
      <c r="Q32" s="307"/>
      <c r="R32" s="308"/>
      <c r="S32" s="309"/>
    </row>
    <row r="33" spans="15:19" x14ac:dyDescent="0.25">
      <c r="O33" s="305"/>
      <c r="P33" s="308"/>
      <c r="Q33" s="307"/>
      <c r="R33" s="308"/>
      <c r="S33" s="309"/>
    </row>
    <row r="34" spans="15:19" x14ac:dyDescent="0.25">
      <c r="O34" s="305"/>
      <c r="P34" s="308"/>
      <c r="Q34" s="307"/>
      <c r="R34" s="308"/>
      <c r="S34" s="309"/>
    </row>
    <row r="35" spans="15:19" x14ac:dyDescent="0.25">
      <c r="O35" s="305"/>
      <c r="P35" s="308"/>
      <c r="Q35" s="307"/>
      <c r="R35" s="308"/>
      <c r="S35" s="309"/>
    </row>
    <row r="36" spans="15:19" x14ac:dyDescent="0.25">
      <c r="O36" s="305"/>
      <c r="P36" s="308"/>
      <c r="Q36" s="307"/>
      <c r="R36" s="308"/>
      <c r="S36" s="309"/>
    </row>
    <row r="37" spans="15:19" x14ac:dyDescent="0.25">
      <c r="O37" s="305"/>
      <c r="P37" s="308"/>
      <c r="Q37" s="307"/>
      <c r="R37" s="308"/>
      <c r="S37" s="309"/>
    </row>
    <row r="38" spans="15:19" x14ac:dyDescent="0.25">
      <c r="O38" s="305"/>
      <c r="P38" s="308"/>
      <c r="Q38" s="307"/>
      <c r="R38" s="308"/>
      <c r="S38" s="309"/>
    </row>
    <row r="39" spans="15:19" x14ac:dyDescent="0.25">
      <c r="O39" s="305"/>
      <c r="P39" s="308"/>
      <c r="Q39" s="307"/>
      <c r="R39" s="308"/>
      <c r="S39" s="309"/>
    </row>
    <row r="40" spans="15:19" x14ac:dyDescent="0.25">
      <c r="O40" s="305"/>
      <c r="P40" s="308"/>
      <c r="Q40" s="307"/>
      <c r="R40" s="308"/>
      <c r="S40" s="309"/>
    </row>
    <row r="41" spans="15:19" x14ac:dyDescent="0.25">
      <c r="O41" s="305"/>
      <c r="P41" s="308"/>
      <c r="Q41" s="307"/>
      <c r="R41" s="308"/>
      <c r="S41" s="309"/>
    </row>
    <row r="42" spans="15:19" x14ac:dyDescent="0.25">
      <c r="O42" s="305"/>
      <c r="P42" s="308"/>
      <c r="Q42" s="307"/>
      <c r="R42" s="308"/>
      <c r="S42" s="309"/>
    </row>
    <row r="43" spans="15:19" x14ac:dyDescent="0.25">
      <c r="O43" s="305"/>
      <c r="P43" s="308"/>
      <c r="Q43" s="307"/>
      <c r="R43" s="308"/>
      <c r="S43" s="309"/>
    </row>
    <row r="44" spans="15:19" x14ac:dyDescent="0.25">
      <c r="O44" s="305"/>
      <c r="P44" s="308"/>
      <c r="Q44" s="307"/>
      <c r="R44" s="308"/>
      <c r="S44" s="309"/>
    </row>
    <row r="45" spans="15:19" x14ac:dyDescent="0.25">
      <c r="O45" s="305"/>
      <c r="P45" s="308"/>
      <c r="Q45" s="307"/>
      <c r="R45" s="308"/>
      <c r="S45" s="309"/>
    </row>
    <row r="46" spans="15:19" x14ac:dyDescent="0.25">
      <c r="O46" s="305"/>
      <c r="P46" s="308"/>
      <c r="Q46" s="307"/>
      <c r="R46" s="308"/>
      <c r="S46" s="309"/>
    </row>
    <row r="47" spans="15:19" x14ac:dyDescent="0.25">
      <c r="O47" s="305"/>
      <c r="P47" s="308"/>
      <c r="Q47" s="307"/>
      <c r="R47" s="308"/>
      <c r="S47" s="309"/>
    </row>
    <row r="48" spans="15:19" x14ac:dyDescent="0.25">
      <c r="O48" s="305"/>
      <c r="P48" s="308"/>
      <c r="Q48" s="307"/>
      <c r="R48" s="308"/>
      <c r="S48" s="309"/>
    </row>
    <row r="49" spans="15:19" ht="15.75" thickBot="1" x14ac:dyDescent="0.3">
      <c r="O49" s="310"/>
      <c r="P49" s="311"/>
      <c r="Q49" s="312"/>
      <c r="R49" s="311"/>
      <c r="S49" s="31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36" sqref="G3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151</v>
      </c>
    </row>
    <row r="2" spans="1:17" ht="19.5" customHeight="1" thickTop="1" x14ac:dyDescent="0.25">
      <c r="A2" s="231"/>
      <c r="B2" s="242"/>
      <c r="C2" s="249"/>
      <c r="D2" s="233"/>
      <c r="L2" s="389" t="s">
        <v>45</v>
      </c>
      <c r="M2" s="390"/>
      <c r="N2" s="390"/>
      <c r="O2" s="390"/>
      <c r="P2" s="390"/>
      <c r="Q2" s="391"/>
    </row>
    <row r="3" spans="1:17" ht="15.75" thickBot="1" x14ac:dyDescent="0.3">
      <c r="A3" s="232"/>
      <c r="B3" s="243"/>
      <c r="C3" s="250"/>
      <c r="D3" s="234"/>
      <c r="L3" s="392"/>
      <c r="M3" s="393"/>
      <c r="N3" s="393"/>
      <c r="O3" s="393"/>
      <c r="P3" s="393"/>
      <c r="Q3" s="394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95" t="s">
        <v>46</v>
      </c>
      <c r="O13" s="395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50"/>
      <c r="D39" s="350"/>
      <c r="E39" s="3" t="s">
        <v>27</v>
      </c>
    </row>
    <row r="41" spans="1:17" s="24" customFormat="1" ht="15.75" x14ac:dyDescent="0.25">
      <c r="B41" s="24" t="s">
        <v>36</v>
      </c>
      <c r="C41" s="314"/>
      <c r="E41" s="25" t="s">
        <v>37</v>
      </c>
    </row>
    <row r="42" spans="1:17" s="24" customFormat="1" ht="15.75" x14ac:dyDescent="0.25">
      <c r="B42" s="24" t="s">
        <v>38</v>
      </c>
      <c r="C42" s="315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314"/>
      <c r="E44" s="4" t="s">
        <v>9</v>
      </c>
    </row>
    <row r="45" spans="1:17" x14ac:dyDescent="0.25">
      <c r="B45" s="2" t="s">
        <v>6</v>
      </c>
      <c r="C45" s="315"/>
      <c r="E45" s="4" t="s">
        <v>10</v>
      </c>
    </row>
    <row r="46" spans="1:17" x14ac:dyDescent="0.25">
      <c r="B46" s="2" t="s">
        <v>7</v>
      </c>
      <c r="C46" s="315"/>
    </row>
    <row r="47" spans="1:17" x14ac:dyDescent="0.25">
      <c r="B47" s="2" t="s">
        <v>8</v>
      </c>
      <c r="C47" s="31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06"/>
      <c r="B2" s="407"/>
      <c r="C2" s="407"/>
      <c r="D2" s="407"/>
      <c r="E2" s="407"/>
      <c r="F2" s="407"/>
      <c r="G2" s="407"/>
      <c r="H2" s="408" t="s">
        <v>53</v>
      </c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9"/>
      <c r="U2" s="410">
        <v>0</v>
      </c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00" t="s">
        <v>54</v>
      </c>
      <c r="AP2" s="401"/>
      <c r="AQ2" s="401"/>
      <c r="AR2" s="401"/>
      <c r="AS2" s="401"/>
      <c r="AT2" s="401"/>
      <c r="AU2" s="401"/>
      <c r="AV2" s="401"/>
      <c r="AW2" s="401"/>
      <c r="AX2" s="401"/>
      <c r="AY2" s="401"/>
      <c r="AZ2" s="401"/>
      <c r="BA2" s="402"/>
      <c r="BB2" s="403"/>
      <c r="BC2" s="404"/>
      <c r="BD2" s="404"/>
      <c r="BE2" s="404"/>
      <c r="BF2" s="404"/>
      <c r="BG2" s="404"/>
      <c r="BH2" s="404"/>
      <c r="BI2" s="404"/>
      <c r="BJ2" s="404"/>
      <c r="BK2" s="404"/>
      <c r="BL2" s="405"/>
    </row>
    <row r="3" spans="1:65" ht="15.75" thickBot="1" x14ac:dyDescent="0.3">
      <c r="A3" s="379">
        <v>1</v>
      </c>
      <c r="B3" s="379"/>
      <c r="C3" s="379">
        <v>2</v>
      </c>
      <c r="D3" s="379"/>
      <c r="E3" s="379">
        <v>3</v>
      </c>
      <c r="F3" s="379"/>
      <c r="G3" s="379">
        <v>4</v>
      </c>
      <c r="H3" s="379"/>
      <c r="I3" s="365">
        <v>5</v>
      </c>
      <c r="J3" s="366"/>
      <c r="K3" s="365">
        <v>6</v>
      </c>
      <c r="L3" s="366"/>
      <c r="M3" s="365">
        <v>7</v>
      </c>
      <c r="N3" s="366"/>
      <c r="O3" s="365">
        <v>8</v>
      </c>
      <c r="P3" s="366"/>
      <c r="Q3" s="365">
        <v>9</v>
      </c>
      <c r="R3" s="366"/>
      <c r="S3" s="365">
        <v>10</v>
      </c>
      <c r="T3" s="364"/>
      <c r="U3" s="363">
        <v>1</v>
      </c>
      <c r="V3" s="366"/>
      <c r="W3" s="365">
        <v>2</v>
      </c>
      <c r="X3" s="366"/>
      <c r="Y3" s="365">
        <v>3</v>
      </c>
      <c r="Z3" s="366"/>
      <c r="AA3" s="365">
        <v>4</v>
      </c>
      <c r="AB3" s="366"/>
      <c r="AC3" s="365">
        <v>5</v>
      </c>
      <c r="AD3" s="366"/>
      <c r="AE3" s="365">
        <v>6</v>
      </c>
      <c r="AF3" s="366"/>
      <c r="AG3" s="365">
        <v>7</v>
      </c>
      <c r="AH3" s="366"/>
      <c r="AI3" s="365">
        <v>8</v>
      </c>
      <c r="AJ3" s="366"/>
      <c r="AK3" s="365">
        <v>9</v>
      </c>
      <c r="AL3" s="366"/>
      <c r="AM3" s="365">
        <v>10</v>
      </c>
      <c r="AN3" s="364"/>
      <c r="AO3" s="397" t="s">
        <v>55</v>
      </c>
      <c r="AP3" s="398"/>
      <c r="AQ3" s="398"/>
      <c r="AR3" s="399"/>
      <c r="AS3" s="397" t="s">
        <v>56</v>
      </c>
      <c r="AT3" s="398"/>
      <c r="AU3" s="398"/>
      <c r="AV3" s="398"/>
      <c r="AW3" s="398"/>
      <c r="AX3" s="398"/>
      <c r="AY3" s="363" t="s">
        <v>57</v>
      </c>
      <c r="AZ3" s="396"/>
      <c r="BA3" s="364"/>
      <c r="BB3" s="412" t="s">
        <v>102</v>
      </c>
      <c r="BC3" s="413"/>
      <c r="BD3" s="413"/>
      <c r="BE3" s="413"/>
      <c r="BF3" s="413"/>
      <c r="BG3" s="413"/>
      <c r="BH3" s="413"/>
      <c r="BI3" s="413"/>
      <c r="BJ3" s="413"/>
      <c r="BK3" s="413"/>
      <c r="BL3" s="41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0.35069444444444442</v>
      </c>
      <c r="B7" s="73">
        <v>0.49305555555555558</v>
      </c>
      <c r="C7" s="72">
        <v>0.52777777777777779</v>
      </c>
      <c r="D7" s="73">
        <v>0.71666666666666667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0.49305555555555558</v>
      </c>
      <c r="W7" s="72">
        <v>0.52777777777777779</v>
      </c>
      <c r="X7" s="73">
        <v>0.71666666666666667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0.49305555555555558</v>
      </c>
      <c r="AU7" s="81">
        <f t="shared" si="6"/>
        <v>0.52777777777777779</v>
      </c>
      <c r="AV7" s="81">
        <f t="shared" si="7"/>
        <v>0.71666666666666667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0.14236111111111116</v>
      </c>
      <c r="BC7" s="83">
        <f>X7 - W7</f>
        <v>0.18888888888888888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0.33125000000000004</v>
      </c>
      <c r="BM7" s="71">
        <v>45896</v>
      </c>
    </row>
    <row r="8" spans="1:65" x14ac:dyDescent="0.25">
      <c r="A8" s="72">
        <v>0.3576388888888889</v>
      </c>
      <c r="B8" s="73">
        <v>0.47222222222222227</v>
      </c>
      <c r="C8" s="72">
        <v>0.51388888888888895</v>
      </c>
      <c r="D8" s="73">
        <v>0.6958333333333333</v>
      </c>
      <c r="E8" s="72">
        <v>0.70972222222222225</v>
      </c>
      <c r="F8" s="73">
        <v>0.7680555555555556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0.3576388888888889</v>
      </c>
      <c r="V8" s="73">
        <v>0.47222222222222227</v>
      </c>
      <c r="W8" s="72">
        <v>0.51388888888888895</v>
      </c>
      <c r="X8" s="73">
        <v>0.6958333333333333</v>
      </c>
      <c r="Y8" s="72">
        <v>0.70972222222222225</v>
      </c>
      <c r="Z8" s="73">
        <v>0.7680555555555556</v>
      </c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1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0.3576388888888889</v>
      </c>
      <c r="AT8" s="81">
        <f t="shared" si="5"/>
        <v>0.47222222222222227</v>
      </c>
      <c r="AU8" s="81">
        <f t="shared" si="6"/>
        <v>0.51388888888888895</v>
      </c>
      <c r="AV8" s="81">
        <f t="shared" si="7"/>
        <v>0.7680555555555556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0.11458333333333337</v>
      </c>
      <c r="BC8" s="83">
        <f>X8 - W8</f>
        <v>0.18194444444444435</v>
      </c>
      <c r="BD8" s="83">
        <f>Z8 - Y8</f>
        <v>5.8333333333333348E-2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0.35486111111111107</v>
      </c>
      <c r="BM8" s="71">
        <v>45897</v>
      </c>
    </row>
    <row r="9" spans="1:65" x14ac:dyDescent="0.25">
      <c r="A9" s="72">
        <v>0.33333333333333331</v>
      </c>
      <c r="B9" s="73">
        <v>0.46111111111111108</v>
      </c>
      <c r="C9" s="72">
        <v>0.50277777777777777</v>
      </c>
      <c r="D9" s="73">
        <v>0.75277777777777777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0.33333333333333331</v>
      </c>
      <c r="V9" s="73">
        <v>0.46111111111111108</v>
      </c>
      <c r="W9" s="72">
        <v>0.50277777777777777</v>
      </c>
      <c r="X9" s="73">
        <v>0.75277777777777777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0.33333333333333331</v>
      </c>
      <c r="AT9" s="81">
        <f t="shared" si="5"/>
        <v>0.46111111111111108</v>
      </c>
      <c r="AU9" s="81">
        <f t="shared" si="6"/>
        <v>0.50277777777777777</v>
      </c>
      <c r="AV9" s="81">
        <f t="shared" si="7"/>
        <v>0.75277777777777777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0.12777777777777777</v>
      </c>
      <c r="BC9" s="83">
        <f>X9 - W9</f>
        <v>0.25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0.37777777777777777</v>
      </c>
      <c r="BM9" s="71">
        <v>45898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0.27777777777777779</v>
      </c>
      <c r="B12" s="73">
        <v>0.39930555555555558</v>
      </c>
      <c r="C12" s="72">
        <v>0.41319444444444442</v>
      </c>
      <c r="D12" s="73">
        <v>0.56180555555555556</v>
      </c>
      <c r="E12" s="72">
        <v>0.60347222222222219</v>
      </c>
      <c r="F12" s="73">
        <v>0.70000000000000007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0.27777777777777779</v>
      </c>
      <c r="V12" s="73">
        <v>0.39930555555555558</v>
      </c>
      <c r="W12" s="72">
        <v>0.41319444444444442</v>
      </c>
      <c r="X12" s="73">
        <v>0.56180555555555556</v>
      </c>
      <c r="Y12" s="72">
        <v>0.60347222222222219</v>
      </c>
      <c r="Z12" s="73">
        <v>0.70000000000000007</v>
      </c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0.27777777777777779</v>
      </c>
      <c r="AT12" s="81">
        <f t="shared" si="5"/>
        <v>0.56180555555555556</v>
      </c>
      <c r="AU12" s="81">
        <f t="shared" si="6"/>
        <v>0.60347222222222219</v>
      </c>
      <c r="AV12" s="81">
        <f t="shared" si="7"/>
        <v>0.70000000000000007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0.12152777777777779</v>
      </c>
      <c r="BC12" s="83">
        <f>X12 - W12</f>
        <v>0.14861111111111114</v>
      </c>
      <c r="BD12" s="83">
        <f>Z12 - Y12</f>
        <v>9.6527777777777879E-2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0.36666666666666681</v>
      </c>
      <c r="BM12" s="71">
        <v>45901</v>
      </c>
    </row>
    <row r="13" spans="1:65" x14ac:dyDescent="0.25">
      <c r="A13" s="72">
        <v>0.27777777777777779</v>
      </c>
      <c r="B13" s="73">
        <v>0.41666666666666669</v>
      </c>
      <c r="C13" s="72">
        <v>0.43055555555555558</v>
      </c>
      <c r="D13" s="73">
        <v>0.54305555555555551</v>
      </c>
      <c r="E13" s="72">
        <v>0.58472222222222225</v>
      </c>
      <c r="F13" s="73">
        <v>0.6333333333333333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0.27777777777777779</v>
      </c>
      <c r="V13" s="73">
        <v>0.41666666666666669</v>
      </c>
      <c r="W13" s="72">
        <v>0.43055555555555558</v>
      </c>
      <c r="X13" s="73">
        <v>0.54305555555555551</v>
      </c>
      <c r="Y13" s="72">
        <v>0.58472222222222225</v>
      </c>
      <c r="Z13" s="73">
        <v>0.6333333333333333</v>
      </c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1</v>
      </c>
      <c r="AQ13" s="78">
        <f t="shared" si="2"/>
        <v>0</v>
      </c>
      <c r="AR13" s="79">
        <f t="shared" si="3"/>
        <v>0</v>
      </c>
      <c r="AS13" s="80">
        <f t="shared" si="4"/>
        <v>0.27777777777777779</v>
      </c>
      <c r="AT13" s="81">
        <f t="shared" si="5"/>
        <v>0.54305555555555551</v>
      </c>
      <c r="AU13" s="81">
        <f t="shared" si="6"/>
        <v>0.58472222222222225</v>
      </c>
      <c r="AV13" s="81">
        <f t="shared" si="7"/>
        <v>0.6333333333333333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0.1388888888888889</v>
      </c>
      <c r="BC13" s="83">
        <f>X13 - W13</f>
        <v>0.11249999999999993</v>
      </c>
      <c r="BD13" s="83">
        <f>Z13 - Y13</f>
        <v>4.8611111111111049E-2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0.29999999999999988</v>
      </c>
      <c r="BM13" s="71">
        <v>45902</v>
      </c>
    </row>
    <row r="14" spans="1:65" x14ac:dyDescent="0.25">
      <c r="A14" s="72">
        <v>0.3125</v>
      </c>
      <c r="B14" s="73">
        <v>0.50902777777777775</v>
      </c>
      <c r="C14" s="72">
        <v>0.54375000000000007</v>
      </c>
      <c r="D14" s="73">
        <v>0.68055555555555547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0.3125</v>
      </c>
      <c r="V14" s="73">
        <v>0.50902777777777775</v>
      </c>
      <c r="W14" s="72">
        <v>0.54375000000000007</v>
      </c>
      <c r="X14" s="73">
        <v>0.68055555555555547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0.3125</v>
      </c>
      <c r="AT14" s="81">
        <f t="shared" si="5"/>
        <v>0.50902777777777775</v>
      </c>
      <c r="AU14" s="81">
        <f t="shared" si="6"/>
        <v>0.54375000000000007</v>
      </c>
      <c r="AV14" s="81">
        <f t="shared" si="7"/>
        <v>0.68055555555555547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1</v>
      </c>
      <c r="BB14" s="80">
        <f>V14 - U14</f>
        <v>0.19652777777777775</v>
      </c>
      <c r="BC14" s="83">
        <f>X14 - W14</f>
        <v>0.1368055555555554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0.33333333333333315</v>
      </c>
      <c r="BM14" s="71">
        <v>45903</v>
      </c>
    </row>
    <row r="15" spans="1:65" x14ac:dyDescent="0.25">
      <c r="A15" s="72">
        <v>0.25</v>
      </c>
      <c r="B15" s="73">
        <v>0.34097222222222223</v>
      </c>
      <c r="C15" s="72">
        <v>0.35486111111111113</v>
      </c>
      <c r="D15" s="73">
        <v>0.46736111111111112</v>
      </c>
      <c r="E15" s="72">
        <v>0.50902777777777775</v>
      </c>
      <c r="F15" s="73">
        <v>0.67499999999999993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0.25</v>
      </c>
      <c r="V15" s="73">
        <v>0.34097222222222223</v>
      </c>
      <c r="W15" s="72">
        <v>0.35486111111111113</v>
      </c>
      <c r="X15" s="73">
        <v>0.46736111111111112</v>
      </c>
      <c r="Y15" s="72">
        <v>0.50902777777777775</v>
      </c>
      <c r="Z15" s="73">
        <v>0.67499999999999993</v>
      </c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0.25</v>
      </c>
      <c r="AT15" s="81">
        <f t="shared" si="5"/>
        <v>0.46736111111111112</v>
      </c>
      <c r="AU15" s="81">
        <f t="shared" si="6"/>
        <v>0.50902777777777775</v>
      </c>
      <c r="AV15" s="81">
        <f t="shared" si="7"/>
        <v>0.67499999999999993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9.0972222222222232E-2</v>
      </c>
      <c r="BC15" s="83">
        <f>X15 - W15</f>
        <v>0.11249999999999999</v>
      </c>
      <c r="BD15" s="83">
        <f>Z15 - Y15</f>
        <v>0.16597222222222219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0.36944444444444441</v>
      </c>
      <c r="BM15" s="71">
        <v>45904</v>
      </c>
    </row>
    <row r="16" spans="1:65" x14ac:dyDescent="0.25">
      <c r="A16" s="72">
        <v>0.37152777777777773</v>
      </c>
      <c r="B16" s="73">
        <v>0.49791666666666662</v>
      </c>
      <c r="C16" s="72">
        <v>0.5395833333333333</v>
      </c>
      <c r="D16" s="73">
        <v>0.73888888888888893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0.37152777777777773</v>
      </c>
      <c r="V16" s="73">
        <v>0.49791666666666662</v>
      </c>
      <c r="W16" s="72">
        <v>0.5395833333333333</v>
      </c>
      <c r="X16" s="73">
        <v>0.73888888888888893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0.37152777777777773</v>
      </c>
      <c r="AT16" s="81">
        <f t="shared" si="5"/>
        <v>0.49791666666666662</v>
      </c>
      <c r="AU16" s="81">
        <f t="shared" si="6"/>
        <v>0.5395833333333333</v>
      </c>
      <c r="AV16" s="81">
        <f t="shared" si="7"/>
        <v>0.73888888888888893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0.12638888888888888</v>
      </c>
      <c r="BC16" s="83">
        <f>X16 - W16</f>
        <v>0.19930555555555562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0.32569444444444451</v>
      </c>
      <c r="BM16" s="71">
        <v>45905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0.30555555555555552</v>
      </c>
      <c r="B19" s="73">
        <v>0.54166666666666663</v>
      </c>
      <c r="C19" s="72">
        <v>0.58333333333333337</v>
      </c>
      <c r="D19" s="73">
        <v>0.7631944444444444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0.30555555555555552</v>
      </c>
      <c r="V19" s="73">
        <v>0.54166666666666663</v>
      </c>
      <c r="W19" s="72">
        <v>0.58333333333333337</v>
      </c>
      <c r="X19" s="73">
        <v>0.7631944444444444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0.30555555555555552</v>
      </c>
      <c r="AT19" s="81">
        <f t="shared" si="5"/>
        <v>0.54166666666666663</v>
      </c>
      <c r="AU19" s="81">
        <f t="shared" si="6"/>
        <v>0.58333333333333337</v>
      </c>
      <c r="AV19" s="81">
        <f t="shared" si="7"/>
        <v>0.7631944444444444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0.2361111111111111</v>
      </c>
      <c r="BC19" s="83">
        <f>X19 - W19</f>
        <v>0.17986111111111103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0.41597222222222213</v>
      </c>
      <c r="BM19" s="71">
        <v>45908</v>
      </c>
    </row>
    <row r="20" spans="1:65" x14ac:dyDescent="0.25">
      <c r="A20" s="72">
        <v>0.34027777777777773</v>
      </c>
      <c r="B20" s="73">
        <v>0.45833333333333331</v>
      </c>
      <c r="C20" s="72">
        <v>0.5</v>
      </c>
      <c r="D20" s="73">
        <v>0.71111111111111114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0.34027777777777773</v>
      </c>
      <c r="V20" s="73">
        <v>0.45833333333333331</v>
      </c>
      <c r="W20" s="72">
        <v>0.5</v>
      </c>
      <c r="X20" s="73">
        <v>0.71111111111111114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1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0.34027777777777773</v>
      </c>
      <c r="AT20" s="81">
        <f t="shared" si="5"/>
        <v>0.45833333333333331</v>
      </c>
      <c r="AU20" s="81">
        <f t="shared" si="6"/>
        <v>0.5</v>
      </c>
      <c r="AV20" s="81">
        <f t="shared" si="7"/>
        <v>0.71111111111111114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0.11805555555555558</v>
      </c>
      <c r="BC20" s="83">
        <f>X20 - W20</f>
        <v>0.21111111111111114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0.32916666666666672</v>
      </c>
      <c r="BM20" s="71">
        <v>45909</v>
      </c>
    </row>
    <row r="21" spans="1:65" x14ac:dyDescent="0.25">
      <c r="A21" s="72">
        <v>0.4375</v>
      </c>
      <c r="B21" s="73">
        <v>0.47152777777777777</v>
      </c>
      <c r="C21" s="72">
        <v>0.5131944444444444</v>
      </c>
      <c r="D21" s="73">
        <v>0.70138888888888884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0.4375</v>
      </c>
      <c r="V21" s="73">
        <v>0.47152777777777777</v>
      </c>
      <c r="W21" s="72">
        <v>0.5131944444444444</v>
      </c>
      <c r="X21" s="73">
        <v>0.70138888888888884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0.4375</v>
      </c>
      <c r="AT21" s="81">
        <f t="shared" si="5"/>
        <v>0.47152777777777777</v>
      </c>
      <c r="AU21" s="81">
        <f t="shared" si="6"/>
        <v>0.5131944444444444</v>
      </c>
      <c r="AV21" s="81">
        <f t="shared" si="7"/>
        <v>0.70138888888888884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3.4027777777777768E-2</v>
      </c>
      <c r="BC21" s="83">
        <f>X21 - W21</f>
        <v>0.18819444444444444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0.22222222222222221</v>
      </c>
      <c r="BM21" s="71">
        <v>45910</v>
      </c>
    </row>
    <row r="22" spans="1:65" x14ac:dyDescent="0.25">
      <c r="A22" s="72">
        <v>0.29166666666666669</v>
      </c>
      <c r="B22" s="73">
        <v>0.51180555555555551</v>
      </c>
      <c r="C22" s="72">
        <v>0.55347222222222225</v>
      </c>
      <c r="D22" s="73">
        <v>0.69791666666666663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0.29166666666666669</v>
      </c>
      <c r="V22" s="73">
        <v>0.51180555555555551</v>
      </c>
      <c r="W22" s="72">
        <v>0.55347222222222225</v>
      </c>
      <c r="X22" s="73">
        <v>0.69791666666666663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1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0.29166666666666669</v>
      </c>
      <c r="AT22" s="81">
        <f t="shared" si="5"/>
        <v>0.51180555555555551</v>
      </c>
      <c r="AU22" s="81">
        <f t="shared" si="6"/>
        <v>0.55347222222222225</v>
      </c>
      <c r="AV22" s="81">
        <f t="shared" si="7"/>
        <v>0.69791666666666663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0.22013888888888883</v>
      </c>
      <c r="BC22" s="83">
        <f>X22 - W22</f>
        <v>0.14444444444444438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0.3645833333333332</v>
      </c>
      <c r="BM22" s="71">
        <v>45911</v>
      </c>
    </row>
    <row r="23" spans="1:65" x14ac:dyDescent="0.25">
      <c r="A23" s="72">
        <v>0.35069444444444442</v>
      </c>
      <c r="B23" s="73">
        <v>0.47569444444444442</v>
      </c>
      <c r="C23" s="72">
        <v>0.51736111111111105</v>
      </c>
      <c r="D23" s="73">
        <v>0.67986111111111114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0.35069444444444442</v>
      </c>
      <c r="V23" s="73">
        <v>0.47569444444444442</v>
      </c>
      <c r="W23" s="72">
        <v>0.51736111111111105</v>
      </c>
      <c r="X23" s="73">
        <v>0.67986111111111114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0.35069444444444442</v>
      </c>
      <c r="AT23" s="81">
        <f t="shared" si="5"/>
        <v>0.47569444444444442</v>
      </c>
      <c r="AU23" s="81">
        <f t="shared" si="6"/>
        <v>0.51736111111111105</v>
      </c>
      <c r="AV23" s="81">
        <f t="shared" si="7"/>
        <v>0.67986111111111114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0.125</v>
      </c>
      <c r="BC23" s="83">
        <f>X23 - W23</f>
        <v>0.16250000000000009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0.28750000000000009</v>
      </c>
      <c r="BM23" s="71">
        <v>45912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0.41666666666666669</v>
      </c>
      <c r="B26" s="73">
        <v>0.45833333333333331</v>
      </c>
      <c r="C26" s="72">
        <v>0.5</v>
      </c>
      <c r="D26" s="73">
        <v>0.74722222222222223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0.41666666666666669</v>
      </c>
      <c r="V26" s="73">
        <v>0.45833333333333331</v>
      </c>
      <c r="W26" s="72">
        <v>0.5</v>
      </c>
      <c r="X26" s="73">
        <v>0.74722222222222223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1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0.41666666666666669</v>
      </c>
      <c r="AT26" s="81">
        <f t="shared" si="5"/>
        <v>0.45833333333333331</v>
      </c>
      <c r="AU26" s="81">
        <f t="shared" si="6"/>
        <v>0.5</v>
      </c>
      <c r="AV26" s="81">
        <f t="shared" si="7"/>
        <v>0.74722222222222223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4.166666666666663E-2</v>
      </c>
      <c r="BC26" s="83">
        <f>X26 - W26</f>
        <v>0.24722222222222223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0.28888888888888886</v>
      </c>
      <c r="BM26" s="71">
        <v>45915</v>
      </c>
    </row>
    <row r="27" spans="1:65" x14ac:dyDescent="0.25">
      <c r="A27" s="72">
        <v>0.28819444444444448</v>
      </c>
      <c r="B27" s="73">
        <v>0.49305555555555558</v>
      </c>
      <c r="C27" s="72">
        <v>0.53472222222222221</v>
      </c>
      <c r="D27" s="73">
        <v>0.68611111111111101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0.28819444444444448</v>
      </c>
      <c r="V27" s="73">
        <v>0.49305555555555558</v>
      </c>
      <c r="W27" s="72">
        <v>0.53472222222222221</v>
      </c>
      <c r="X27" s="73">
        <v>0.68611111111111101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0.28819444444444448</v>
      </c>
      <c r="AT27" s="81">
        <f t="shared" si="5"/>
        <v>0.49305555555555558</v>
      </c>
      <c r="AU27" s="81">
        <f t="shared" si="6"/>
        <v>0.53472222222222221</v>
      </c>
      <c r="AV27" s="81">
        <f t="shared" si="7"/>
        <v>0.68611111111111101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0.2048611111111111</v>
      </c>
      <c r="BC27" s="83">
        <f>X27 - W27</f>
        <v>0.1513888888888888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0.3562499999999999</v>
      </c>
      <c r="BM27" s="71">
        <v>45916</v>
      </c>
    </row>
    <row r="28" spans="1:65" x14ac:dyDescent="0.25">
      <c r="A28" s="72">
        <v>0.33333333333333331</v>
      </c>
      <c r="B28" s="73">
        <v>0.45833333333333331</v>
      </c>
      <c r="C28" s="72">
        <v>0.5</v>
      </c>
      <c r="D28" s="73">
        <v>0.71111111111111114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0.33333333333333331</v>
      </c>
      <c r="V28" s="73">
        <v>0.45833333333333331</v>
      </c>
      <c r="W28" s="72">
        <v>0.5</v>
      </c>
      <c r="X28" s="73">
        <v>0.71111111111111114</v>
      </c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1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0.33333333333333331</v>
      </c>
      <c r="AT28" s="81">
        <f t="shared" si="5"/>
        <v>0.45833333333333331</v>
      </c>
      <c r="AU28" s="81">
        <f t="shared" si="6"/>
        <v>0.5</v>
      </c>
      <c r="AV28" s="81">
        <f t="shared" si="7"/>
        <v>0.71111111111111114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0.125</v>
      </c>
      <c r="BC28" s="83">
        <f>X28 - W28</f>
        <v>0.21111111111111114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0.33611111111111114</v>
      </c>
      <c r="BM28" s="71">
        <v>45917</v>
      </c>
    </row>
    <row r="29" spans="1:65" x14ac:dyDescent="0.25">
      <c r="A29" s="72">
        <v>0.25347222222222221</v>
      </c>
      <c r="B29" s="73">
        <v>0.45833333333333331</v>
      </c>
      <c r="C29" s="72">
        <v>0.5</v>
      </c>
      <c r="D29" s="73">
        <v>0.64930555555555558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0.25347222222222221</v>
      </c>
      <c r="V29" s="73">
        <v>0.45833333333333331</v>
      </c>
      <c r="W29" s="72">
        <v>0.5</v>
      </c>
      <c r="X29" s="73">
        <v>0.64930555555555558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0.25347222222222221</v>
      </c>
      <c r="AT29" s="81">
        <f t="shared" si="5"/>
        <v>0.45833333333333331</v>
      </c>
      <c r="AU29" s="81">
        <f t="shared" si="6"/>
        <v>0.5</v>
      </c>
      <c r="AV29" s="81">
        <f t="shared" si="7"/>
        <v>0.64930555555555558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0.2048611111111111</v>
      </c>
      <c r="BC29" s="83">
        <f>X29 - W29</f>
        <v>0.14930555555555558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0.35416666666666669</v>
      </c>
      <c r="BM29" s="71">
        <v>45918</v>
      </c>
    </row>
    <row r="30" spans="1:65" x14ac:dyDescent="0.25">
      <c r="A30" s="72">
        <v>0.3611111111111111</v>
      </c>
      <c r="B30" s="73">
        <v>0.51944444444444449</v>
      </c>
      <c r="C30" s="72">
        <v>0.56111111111111112</v>
      </c>
      <c r="D30" s="73">
        <v>0.69652777777777775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0.3611111111111111</v>
      </c>
      <c r="V30" s="73">
        <v>0.51944444444444449</v>
      </c>
      <c r="W30" s="72">
        <v>0.56111111111111112</v>
      </c>
      <c r="X30" s="73">
        <v>0.69652777777777775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0.3611111111111111</v>
      </c>
      <c r="AT30" s="81">
        <f t="shared" si="5"/>
        <v>0.51944444444444449</v>
      </c>
      <c r="AU30" s="81">
        <f t="shared" si="6"/>
        <v>0.56111111111111112</v>
      </c>
      <c r="AV30" s="81">
        <f t="shared" si="7"/>
        <v>0.69652777777777775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0.15833333333333338</v>
      </c>
      <c r="BC30" s="83">
        <f>X30 - W30</f>
        <v>0.13541666666666663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0.29375000000000001</v>
      </c>
      <c r="BM30" s="71">
        <v>45919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0.28125</v>
      </c>
      <c r="B33" s="73">
        <v>0.48472222222222222</v>
      </c>
      <c r="C33" s="72">
        <v>0.52569444444444446</v>
      </c>
      <c r="D33" s="73">
        <v>0.67291666666666661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0.28125</v>
      </c>
      <c r="V33" s="73">
        <v>0.48472222222222222</v>
      </c>
      <c r="W33" s="72">
        <v>0.52569444444444446</v>
      </c>
      <c r="X33" s="73">
        <v>0.67291666666666661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0.28125</v>
      </c>
      <c r="AT33" s="81">
        <f t="shared" si="5"/>
        <v>0.48472222222222222</v>
      </c>
      <c r="AU33" s="81">
        <f t="shared" si="6"/>
        <v>0.52569444444444446</v>
      </c>
      <c r="AV33" s="81">
        <f t="shared" si="7"/>
        <v>0.67291666666666661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1</v>
      </c>
      <c r="BB33" s="80">
        <f>V33 - U33</f>
        <v>0.20347222222222222</v>
      </c>
      <c r="BC33" s="83">
        <f>X33 - W33</f>
        <v>0.14722222222222214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0.35069444444444436</v>
      </c>
      <c r="BM33" s="71">
        <v>45922</v>
      </c>
    </row>
    <row r="34" spans="1:65" x14ac:dyDescent="0.25">
      <c r="A34" s="72">
        <v>0.36458333333333331</v>
      </c>
      <c r="B34" s="73">
        <v>0.45833333333333331</v>
      </c>
      <c r="C34" s="72">
        <v>0.5</v>
      </c>
      <c r="D34" s="73">
        <v>0.7090277777777777</v>
      </c>
      <c r="E34" s="72">
        <v>0.72291666666666676</v>
      </c>
      <c r="F34" s="73">
        <v>0.77847222222222223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0.36458333333333331</v>
      </c>
      <c r="V34" s="73">
        <v>0.45833333333333331</v>
      </c>
      <c r="W34" s="72">
        <v>0.5</v>
      </c>
      <c r="X34" s="73">
        <v>0.7090277777777777</v>
      </c>
      <c r="Y34" s="72">
        <v>0.72291666666666676</v>
      </c>
      <c r="Z34" s="73">
        <v>0.77847222222222223</v>
      </c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1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0.36458333333333331</v>
      </c>
      <c r="AT34" s="81">
        <f t="shared" si="5"/>
        <v>0.45833333333333331</v>
      </c>
      <c r="AU34" s="81">
        <f t="shared" si="6"/>
        <v>0.5</v>
      </c>
      <c r="AV34" s="81">
        <f t="shared" si="7"/>
        <v>0.77847222222222223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9.375E-2</v>
      </c>
      <c r="BC34" s="83">
        <f>X34 - W34</f>
        <v>0.2090277777777777</v>
      </c>
      <c r="BD34" s="83">
        <f>Z34 - Y34</f>
        <v>5.5555555555555469E-2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0.35833333333333317</v>
      </c>
      <c r="BM34" s="71">
        <v>45923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0.37847222222222227</v>
      </c>
      <c r="B36" s="86">
        <v>0.46875</v>
      </c>
      <c r="C36" s="85">
        <v>0.51041666666666663</v>
      </c>
      <c r="D36" s="86">
        <v>0.75347222222222221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0.37847222222222227</v>
      </c>
      <c r="V36" s="86">
        <v>0.46875</v>
      </c>
      <c r="W36" s="85">
        <v>0.51041666666666663</v>
      </c>
      <c r="X36" s="86">
        <v>0.75347222222222221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0.37847222222222227</v>
      </c>
      <c r="AT36" s="94">
        <f t="shared" si="5"/>
        <v>0.46875</v>
      </c>
      <c r="AU36" s="94">
        <f t="shared" si="6"/>
        <v>0.51041666666666663</v>
      </c>
      <c r="AV36" s="94">
        <f t="shared" si="7"/>
        <v>0.75347222222222221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9.0277777777777735E-2</v>
      </c>
      <c r="BC36" s="83">
        <f>X36 - W36</f>
        <v>0.24305555555555558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0.33333333333333331</v>
      </c>
      <c r="BM36" s="71">
        <v>45925</v>
      </c>
    </row>
    <row r="37" spans="1:65" x14ac:dyDescent="0.25">
      <c r="A37" s="85">
        <v>0.34027777777777773</v>
      </c>
      <c r="B37" s="86">
        <v>0.45833333333333331</v>
      </c>
      <c r="C37" s="85">
        <v>0.5</v>
      </c>
      <c r="D37" s="86">
        <v>0.67222222222222217</v>
      </c>
      <c r="E37" s="85">
        <v>0.68611111111111101</v>
      </c>
      <c r="F37" s="86">
        <v>0.76944444444444438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0.34027777777777773</v>
      </c>
      <c r="V37" s="86">
        <v>0.45833333333333331</v>
      </c>
      <c r="W37" s="85">
        <v>0.5</v>
      </c>
      <c r="X37" s="86">
        <v>0.67222222222222217</v>
      </c>
      <c r="Y37" s="85">
        <v>0.68611111111111101</v>
      </c>
      <c r="Z37" s="86">
        <v>0.76944444444444438</v>
      </c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0.34027777777777773</v>
      </c>
      <c r="AT37" s="94">
        <f t="shared" si="5"/>
        <v>0.45833333333333331</v>
      </c>
      <c r="AU37" s="94">
        <f t="shared" si="6"/>
        <v>0.5</v>
      </c>
      <c r="AV37" s="94">
        <f t="shared" si="7"/>
        <v>0.76944444444444438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0.11805555555555558</v>
      </c>
      <c r="BC37" s="83">
        <f>X37 - W37</f>
        <v>0.17222222222222217</v>
      </c>
      <c r="BD37" s="83">
        <f>Z37 - Y37</f>
        <v>8.333333333333337E-2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0.37361111111111112</v>
      </c>
      <c r="BM37" s="71">
        <v>45926</v>
      </c>
    </row>
    <row r="38" spans="1:65" x14ac:dyDescent="0.25">
      <c r="A38" s="85">
        <v>0.58402777777777781</v>
      </c>
      <c r="B38" s="86">
        <v>0.6972222222222223</v>
      </c>
      <c r="C38" s="85">
        <v>0.71111111111111114</v>
      </c>
      <c r="D38" s="86">
        <v>0.85138888888888886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0.58402777777777781</v>
      </c>
      <c r="V38" s="86">
        <v>0.6972222222222223</v>
      </c>
      <c r="W38" s="85">
        <v>0.71111111111111114</v>
      </c>
      <c r="X38" s="86">
        <v>0.85138888888888886</v>
      </c>
      <c r="Y38" s="85"/>
      <c r="Z38" s="86"/>
      <c r="AA38" s="85"/>
      <c r="AB38" s="86"/>
      <c r="AC38" s="88"/>
      <c r="AD38" s="86"/>
      <c r="AE38" s="88"/>
      <c r="AF38" s="86"/>
      <c r="AG38" s="88"/>
      <c r="AH38" s="86"/>
      <c r="AI38" s="88"/>
      <c r="AJ38" s="86"/>
      <c r="AK38" s="88"/>
      <c r="AL38" s="86"/>
      <c r="AM38" s="85"/>
      <c r="AN38" s="89"/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0.58402777777777781</v>
      </c>
      <c r="AV38" s="94">
        <f t="shared" si="7"/>
        <v>0.6972222222222223</v>
      </c>
      <c r="AW38" s="94">
        <f t="shared" si="8"/>
        <v>0.71111111111111114</v>
      </c>
      <c r="AX38" s="94">
        <f t="shared" si="9"/>
        <v>0.85138888888888886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0.11319444444444449</v>
      </c>
      <c r="BC38" s="83">
        <f>X38 - W38</f>
        <v>0.14027777777777772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0.25347222222222221</v>
      </c>
      <c r="BM38" s="71">
        <v>45927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3</v>
      </c>
      <c r="BB43" s="120" t="str">
        <f t="shared" ref="BB43:BL43" si="14">TRUNC(SUM(BB5:BB42)*24,0) &amp; ":" &amp; RIGHT("00"&amp;ROUND(((SUM(BB5:BB42)*24)-TRUNC(SUM(BB5:BB42)*24,0))*60,2),2)</f>
        <v>75:30</v>
      </c>
      <c r="BC43" s="121" t="str">
        <f t="shared" si="14"/>
        <v>96:33</v>
      </c>
      <c r="BD43" s="121" t="str">
        <f t="shared" si="14"/>
        <v>12:12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184:15</v>
      </c>
      <c r="BM43" s="124"/>
    </row>
    <row r="45" spans="1:65" x14ac:dyDescent="0.25">
      <c r="C45" s="380"/>
      <c r="D45" s="38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0" t="s">
        <v>87</v>
      </c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</row>
    <row r="2" spans="2:17" x14ac:dyDescent="0.25"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41" t="s">
        <v>91</v>
      </c>
      <c r="D6" s="444" t="s">
        <v>92</v>
      </c>
      <c r="E6" s="444" t="s">
        <v>4</v>
      </c>
      <c r="F6" s="447"/>
      <c r="G6" s="447"/>
      <c r="H6" s="449" t="s">
        <v>93</v>
      </c>
      <c r="I6" s="451" t="s">
        <v>4</v>
      </c>
      <c r="J6" s="447"/>
      <c r="K6" s="447"/>
      <c r="L6" s="449" t="s">
        <v>93</v>
      </c>
      <c r="M6" s="453" t="s">
        <v>94</v>
      </c>
      <c r="N6" s="195"/>
      <c r="O6" s="196"/>
    </row>
    <row r="7" spans="2:17" x14ac:dyDescent="0.25">
      <c r="C7" s="442"/>
      <c r="D7" s="445"/>
      <c r="E7" s="448"/>
      <c r="F7" s="448"/>
      <c r="G7" s="448"/>
      <c r="H7" s="450"/>
      <c r="I7" s="452"/>
      <c r="J7" s="448"/>
      <c r="K7" s="448"/>
      <c r="L7" s="450"/>
      <c r="M7" s="454"/>
      <c r="N7" s="195"/>
      <c r="O7" s="196"/>
    </row>
    <row r="8" spans="2:17" x14ac:dyDescent="0.25">
      <c r="C8" s="442"/>
      <c r="D8" s="445"/>
      <c r="E8" s="448"/>
      <c r="F8" s="448"/>
      <c r="G8" s="448"/>
      <c r="H8" s="450"/>
      <c r="I8" s="452"/>
      <c r="J8" s="448"/>
      <c r="K8" s="448"/>
      <c r="L8" s="450"/>
      <c r="M8" s="454"/>
      <c r="N8" s="195"/>
      <c r="O8" s="196"/>
    </row>
    <row r="9" spans="2:17" ht="15.75" thickBot="1" x14ac:dyDescent="0.3">
      <c r="C9" s="443"/>
      <c r="D9" s="446"/>
      <c r="E9" s="197" t="s">
        <v>58</v>
      </c>
      <c r="F9" s="197" t="s">
        <v>59</v>
      </c>
      <c r="G9" s="197" t="s">
        <v>95</v>
      </c>
      <c r="H9" s="450"/>
      <c r="I9" s="198" t="s">
        <v>58</v>
      </c>
      <c r="J9" s="197" t="s">
        <v>59</v>
      </c>
      <c r="K9" s="197" t="s">
        <v>95</v>
      </c>
      <c r="L9" s="450"/>
      <c r="M9" s="454"/>
      <c r="N9" s="195"/>
      <c r="O9" s="196"/>
    </row>
    <row r="10" spans="2:17" ht="15.75" thickBot="1" x14ac:dyDescent="0.3">
      <c r="B10" s="426" t="s">
        <v>80</v>
      </c>
      <c r="C10" s="427"/>
      <c r="D10" s="430"/>
      <c r="E10" s="199"/>
      <c r="F10" s="199"/>
      <c r="G10" s="200"/>
      <c r="H10" s="201"/>
      <c r="I10" s="202"/>
      <c r="J10" s="203"/>
      <c r="K10" s="204"/>
      <c r="L10" s="205"/>
      <c r="M10" s="439"/>
      <c r="N10" s="195"/>
      <c r="O10" s="196"/>
      <c r="P10" s="206"/>
      <c r="Q10" s="206"/>
    </row>
    <row r="11" spans="2:17" ht="15.75" thickBot="1" x14ac:dyDescent="0.3">
      <c r="B11" s="426"/>
      <c r="C11" s="428"/>
      <c r="D11" s="431"/>
      <c r="E11" s="207"/>
      <c r="F11" s="207"/>
      <c r="G11" s="46"/>
      <c r="H11" s="47"/>
      <c r="I11" s="208"/>
      <c r="J11" s="209"/>
      <c r="K11" s="210"/>
      <c r="L11" s="211"/>
      <c r="M11" s="434"/>
      <c r="N11" s="195"/>
      <c r="O11" s="196"/>
      <c r="P11" s="172"/>
      <c r="Q11" s="172"/>
    </row>
    <row r="12" spans="2:17" ht="15.75" thickBot="1" x14ac:dyDescent="0.3">
      <c r="B12" s="426"/>
      <c r="C12" s="429"/>
      <c r="D12" s="432"/>
      <c r="E12" s="212"/>
      <c r="F12" s="212"/>
      <c r="G12" s="213"/>
      <c r="H12" s="214"/>
      <c r="I12" s="215"/>
      <c r="J12" s="216"/>
      <c r="K12" s="217"/>
      <c r="L12" s="218"/>
      <c r="M12" s="435"/>
      <c r="N12" s="195"/>
      <c r="O12" s="196"/>
      <c r="P12" s="172"/>
      <c r="Q12" s="172"/>
    </row>
    <row r="13" spans="2:17" ht="15.75" thickBot="1" x14ac:dyDescent="0.3">
      <c r="B13" s="426" t="s">
        <v>81</v>
      </c>
      <c r="C13" s="427"/>
      <c r="D13" s="430"/>
      <c r="E13" s="199"/>
      <c r="F13" s="199"/>
      <c r="G13" s="200"/>
      <c r="H13" s="201"/>
      <c r="I13" s="202"/>
      <c r="J13" s="203"/>
      <c r="K13" s="204"/>
      <c r="L13" s="205"/>
      <c r="M13" s="433"/>
      <c r="N13" s="195"/>
      <c r="O13" s="219"/>
      <c r="P13" s="172"/>
      <c r="Q13" s="172"/>
    </row>
    <row r="14" spans="2:17" ht="15.75" thickBot="1" x14ac:dyDescent="0.3">
      <c r="B14" s="426"/>
      <c r="C14" s="428"/>
      <c r="D14" s="431"/>
      <c r="E14" s="207"/>
      <c r="F14" s="207"/>
      <c r="G14" s="46"/>
      <c r="H14" s="47"/>
      <c r="I14" s="208"/>
      <c r="J14" s="209"/>
      <c r="K14" s="210"/>
      <c r="L14" s="211"/>
      <c r="M14" s="434"/>
      <c r="N14" s="220"/>
      <c r="O14" s="219"/>
      <c r="P14" s="172"/>
      <c r="Q14" s="172"/>
    </row>
    <row r="15" spans="2:17" ht="15.75" thickBot="1" x14ac:dyDescent="0.3">
      <c r="B15" s="426"/>
      <c r="C15" s="429"/>
      <c r="D15" s="432"/>
      <c r="E15" s="212"/>
      <c r="F15" s="212"/>
      <c r="G15" s="213"/>
      <c r="H15" s="214"/>
      <c r="I15" s="215"/>
      <c r="J15" s="216"/>
      <c r="K15" s="217"/>
      <c r="L15" s="218"/>
      <c r="M15" s="435"/>
      <c r="N15" s="220"/>
      <c r="O15" s="219"/>
      <c r="P15" s="172"/>
      <c r="Q15" s="172"/>
    </row>
    <row r="16" spans="2:17" ht="15.75" thickBot="1" x14ac:dyDescent="0.3">
      <c r="B16" s="426" t="s">
        <v>82</v>
      </c>
      <c r="C16" s="427"/>
      <c r="D16" s="430"/>
      <c r="E16" s="199"/>
      <c r="F16" s="199"/>
      <c r="G16" s="200"/>
      <c r="H16" s="201"/>
      <c r="I16" s="202"/>
      <c r="J16" s="203"/>
      <c r="K16" s="204"/>
      <c r="L16" s="205"/>
      <c r="M16" s="433"/>
      <c r="N16" s="220"/>
      <c r="O16" s="219"/>
      <c r="P16" s="172"/>
      <c r="Q16" s="172"/>
    </row>
    <row r="17" spans="2:17" ht="15.75" thickBot="1" x14ac:dyDescent="0.3">
      <c r="B17" s="426"/>
      <c r="C17" s="428"/>
      <c r="D17" s="431"/>
      <c r="E17" s="207"/>
      <c r="F17" s="207"/>
      <c r="G17" s="46"/>
      <c r="H17" s="47"/>
      <c r="I17" s="208"/>
      <c r="J17" s="209"/>
      <c r="K17" s="210"/>
      <c r="L17" s="211"/>
      <c r="M17" s="434"/>
      <c r="N17" s="220"/>
      <c r="O17" s="219"/>
      <c r="P17" s="172"/>
      <c r="Q17" s="172"/>
    </row>
    <row r="18" spans="2:17" ht="15.75" thickBot="1" x14ac:dyDescent="0.3">
      <c r="B18" s="426"/>
      <c r="C18" s="429"/>
      <c r="D18" s="432"/>
      <c r="E18" s="212"/>
      <c r="F18" s="212"/>
      <c r="G18" s="213"/>
      <c r="H18" s="214"/>
      <c r="I18" s="215"/>
      <c r="J18" s="216"/>
      <c r="K18" s="217"/>
      <c r="L18" s="218"/>
      <c r="M18" s="435"/>
      <c r="N18" s="220"/>
      <c r="O18" s="219"/>
      <c r="P18" s="172"/>
      <c r="Q18" s="172"/>
    </row>
    <row r="19" spans="2:17" ht="15.75" thickBot="1" x14ac:dyDescent="0.3">
      <c r="B19" s="426" t="s">
        <v>83</v>
      </c>
      <c r="C19" s="427"/>
      <c r="D19" s="430"/>
      <c r="E19" s="199"/>
      <c r="F19" s="199"/>
      <c r="G19" s="200"/>
      <c r="H19" s="201"/>
      <c r="I19" s="202"/>
      <c r="J19" s="203"/>
      <c r="K19" s="204"/>
      <c r="L19" s="205"/>
      <c r="M19" s="433"/>
      <c r="N19" s="220"/>
      <c r="O19" s="219"/>
      <c r="P19" s="172"/>
      <c r="Q19" s="172"/>
    </row>
    <row r="20" spans="2:17" ht="15.75" thickBot="1" x14ac:dyDescent="0.3">
      <c r="B20" s="426"/>
      <c r="C20" s="428"/>
      <c r="D20" s="431"/>
      <c r="E20" s="207"/>
      <c r="F20" s="207"/>
      <c r="G20" s="46"/>
      <c r="H20" s="47"/>
      <c r="I20" s="208"/>
      <c r="J20" s="209"/>
      <c r="K20" s="210"/>
      <c r="L20" s="211"/>
      <c r="M20" s="434"/>
      <c r="N20" s="220"/>
      <c r="O20" s="219"/>
      <c r="P20" s="172"/>
      <c r="Q20" s="172"/>
    </row>
    <row r="21" spans="2:17" ht="15.75" thickBot="1" x14ac:dyDescent="0.3">
      <c r="B21" s="426"/>
      <c r="C21" s="429"/>
      <c r="D21" s="432"/>
      <c r="E21" s="212"/>
      <c r="F21" s="212"/>
      <c r="G21" s="213"/>
      <c r="H21" s="214"/>
      <c r="I21" s="215"/>
      <c r="J21" s="216"/>
      <c r="K21" s="217"/>
      <c r="L21" s="218"/>
      <c r="M21" s="435"/>
      <c r="N21" s="220"/>
      <c r="O21" s="219"/>
      <c r="P21" s="172"/>
      <c r="Q21" s="172"/>
    </row>
    <row r="22" spans="2:17" ht="15.75" thickBot="1" x14ac:dyDescent="0.3">
      <c r="B22" s="426" t="s">
        <v>84</v>
      </c>
      <c r="C22" s="427"/>
      <c r="D22" s="430"/>
      <c r="E22" s="199"/>
      <c r="F22" s="199"/>
      <c r="G22" s="200"/>
      <c r="H22" s="201"/>
      <c r="I22" s="202"/>
      <c r="J22" s="203"/>
      <c r="K22" s="204"/>
      <c r="L22" s="205"/>
      <c r="M22" s="433"/>
      <c r="N22" s="195"/>
      <c r="O22" s="219"/>
      <c r="P22" s="172"/>
      <c r="Q22" s="172"/>
    </row>
    <row r="23" spans="2:17" ht="15.75" thickBot="1" x14ac:dyDescent="0.3">
      <c r="B23" s="426"/>
      <c r="C23" s="428"/>
      <c r="D23" s="431"/>
      <c r="E23" s="207"/>
      <c r="F23" s="207"/>
      <c r="G23" s="46"/>
      <c r="H23" s="47"/>
      <c r="I23" s="208"/>
      <c r="J23" s="209"/>
      <c r="K23" s="210"/>
      <c r="L23" s="211"/>
      <c r="M23" s="434"/>
      <c r="N23" s="220"/>
      <c r="O23" s="219"/>
      <c r="P23" s="172"/>
      <c r="Q23" s="172"/>
    </row>
    <row r="24" spans="2:17" ht="15.75" thickBot="1" x14ac:dyDescent="0.3">
      <c r="B24" s="426"/>
      <c r="C24" s="429"/>
      <c r="D24" s="432"/>
      <c r="E24" s="212"/>
      <c r="F24" s="212"/>
      <c r="G24" s="213"/>
      <c r="H24" s="214"/>
      <c r="I24" s="215"/>
      <c r="J24" s="216"/>
      <c r="K24" s="217"/>
      <c r="L24" s="218"/>
      <c r="M24" s="435"/>
      <c r="N24" s="220"/>
      <c r="O24" s="219"/>
      <c r="P24" s="172"/>
      <c r="Q24" s="172"/>
    </row>
    <row r="25" spans="2:17" ht="15.75" thickBot="1" x14ac:dyDescent="0.3">
      <c r="B25" s="426" t="s">
        <v>85</v>
      </c>
      <c r="C25" s="427"/>
      <c r="D25" s="430"/>
      <c r="E25" s="199"/>
      <c r="F25" s="199"/>
      <c r="G25" s="200"/>
      <c r="H25" s="201"/>
      <c r="I25" s="202"/>
      <c r="J25" s="203"/>
      <c r="K25" s="204"/>
      <c r="L25" s="205"/>
      <c r="M25" s="433"/>
      <c r="N25" s="220"/>
      <c r="O25" s="219"/>
      <c r="P25" s="172"/>
      <c r="Q25" s="172"/>
    </row>
    <row r="26" spans="2:17" ht="15.75" thickBot="1" x14ac:dyDescent="0.3">
      <c r="B26" s="426"/>
      <c r="C26" s="428"/>
      <c r="D26" s="431"/>
      <c r="E26" s="207"/>
      <c r="F26" s="207"/>
      <c r="G26" s="46"/>
      <c r="H26" s="47"/>
      <c r="I26" s="208"/>
      <c r="J26" s="209"/>
      <c r="K26" s="210"/>
      <c r="L26" s="211"/>
      <c r="M26" s="434"/>
      <c r="N26" s="220"/>
      <c r="O26" s="219"/>
      <c r="P26" s="172"/>
      <c r="Q26" s="172"/>
    </row>
    <row r="27" spans="2:17" ht="15.75" thickBot="1" x14ac:dyDescent="0.3">
      <c r="B27" s="426"/>
      <c r="C27" s="429"/>
      <c r="D27" s="432"/>
      <c r="E27" s="212"/>
      <c r="F27" s="212"/>
      <c r="G27" s="213"/>
      <c r="H27" s="214"/>
      <c r="I27" s="215"/>
      <c r="J27" s="216"/>
      <c r="K27" s="217"/>
      <c r="L27" s="218"/>
      <c r="M27" s="435"/>
      <c r="N27" s="220"/>
      <c r="O27" s="219"/>
      <c r="P27" s="172"/>
      <c r="Q27" s="172"/>
    </row>
    <row r="28" spans="2:17" ht="15.75" thickBot="1" x14ac:dyDescent="0.3">
      <c r="B28" s="426" t="s">
        <v>86</v>
      </c>
      <c r="C28" s="427"/>
      <c r="D28" s="430"/>
      <c r="E28" s="199"/>
      <c r="F28" s="199"/>
      <c r="G28" s="200"/>
      <c r="H28" s="201"/>
      <c r="I28" s="202"/>
      <c r="J28" s="203"/>
      <c r="K28" s="204"/>
      <c r="L28" s="205"/>
      <c r="M28" s="433"/>
      <c r="N28" s="220"/>
      <c r="O28" s="219"/>
      <c r="P28" s="172"/>
      <c r="Q28" s="172"/>
    </row>
    <row r="29" spans="2:17" ht="15.75" thickBot="1" x14ac:dyDescent="0.3">
      <c r="B29" s="426"/>
      <c r="C29" s="428"/>
      <c r="D29" s="431"/>
      <c r="E29" s="207"/>
      <c r="F29" s="207"/>
      <c r="G29" s="46"/>
      <c r="H29" s="47"/>
      <c r="I29" s="208"/>
      <c r="J29" s="209"/>
      <c r="K29" s="210"/>
      <c r="L29" s="211"/>
      <c r="M29" s="434"/>
      <c r="N29" s="220"/>
      <c r="O29" s="219"/>
      <c r="P29" s="172"/>
      <c r="Q29" s="172"/>
    </row>
    <row r="30" spans="2:17" ht="15.75" thickBot="1" x14ac:dyDescent="0.3">
      <c r="B30" s="426"/>
      <c r="C30" s="429"/>
      <c r="D30" s="432"/>
      <c r="E30" s="212"/>
      <c r="F30" s="212"/>
      <c r="G30" s="213"/>
      <c r="H30" s="214"/>
      <c r="I30" s="215"/>
      <c r="J30" s="216"/>
      <c r="K30" s="217"/>
      <c r="L30" s="218"/>
      <c r="M30" s="435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36" t="s">
        <v>98</v>
      </c>
      <c r="C36" s="437"/>
      <c r="D36" s="437"/>
      <c r="E36" s="437"/>
      <c r="F36" s="437"/>
      <c r="G36" s="437"/>
      <c r="H36" s="437"/>
      <c r="I36" s="437"/>
      <c r="J36" s="438"/>
      <c r="K36" s="436" t="s">
        <v>99</v>
      </c>
      <c r="L36" s="437"/>
      <c r="M36" s="437"/>
      <c r="N36" s="358"/>
      <c r="O36" s="359"/>
    </row>
    <row r="37" spans="2:15" x14ac:dyDescent="0.25">
      <c r="B37" s="415"/>
      <c r="C37" s="416"/>
      <c r="D37" s="416"/>
      <c r="E37" s="416"/>
      <c r="F37" s="416"/>
      <c r="G37" s="416"/>
      <c r="H37" s="416"/>
      <c r="I37" s="416"/>
      <c r="J37" s="417"/>
      <c r="K37" s="424" t="s">
        <v>100</v>
      </c>
      <c r="L37" s="358"/>
      <c r="M37" s="359"/>
      <c r="N37" s="424" t="s">
        <v>101</v>
      </c>
      <c r="O37" s="425"/>
    </row>
    <row r="38" spans="2:15" x14ac:dyDescent="0.25">
      <c r="B38" s="418"/>
      <c r="C38" s="419"/>
      <c r="D38" s="419"/>
      <c r="E38" s="419"/>
      <c r="F38" s="419"/>
      <c r="G38" s="419"/>
      <c r="H38" s="419"/>
      <c r="I38" s="419"/>
      <c r="J38" s="420"/>
      <c r="K38" s="415"/>
      <c r="L38" s="416"/>
      <c r="M38" s="417"/>
      <c r="N38" s="415"/>
      <c r="O38" s="417"/>
    </row>
    <row r="39" spans="2:15" x14ac:dyDescent="0.25">
      <c r="B39" s="418"/>
      <c r="C39" s="419"/>
      <c r="D39" s="419"/>
      <c r="E39" s="419"/>
      <c r="F39" s="419"/>
      <c r="G39" s="419"/>
      <c r="H39" s="419"/>
      <c r="I39" s="419"/>
      <c r="J39" s="420"/>
      <c r="K39" s="418"/>
      <c r="L39" s="419"/>
      <c r="M39" s="420"/>
      <c r="N39" s="418"/>
      <c r="O39" s="420"/>
    </row>
    <row r="40" spans="2:15" x14ac:dyDescent="0.25">
      <c r="B40" s="418"/>
      <c r="C40" s="419"/>
      <c r="D40" s="419"/>
      <c r="E40" s="419"/>
      <c r="F40" s="419"/>
      <c r="G40" s="419"/>
      <c r="H40" s="419"/>
      <c r="I40" s="419"/>
      <c r="J40" s="420"/>
      <c r="K40" s="418"/>
      <c r="L40" s="419"/>
      <c r="M40" s="420"/>
      <c r="N40" s="418"/>
      <c r="O40" s="420"/>
    </row>
    <row r="41" spans="2:15" x14ac:dyDescent="0.25">
      <c r="B41" s="421"/>
      <c r="C41" s="422"/>
      <c r="D41" s="422"/>
      <c r="E41" s="422"/>
      <c r="F41" s="422"/>
      <c r="G41" s="422"/>
      <c r="H41" s="422"/>
      <c r="I41" s="422"/>
      <c r="J41" s="423"/>
      <c r="K41" s="421"/>
      <c r="L41" s="422"/>
      <c r="M41" s="423"/>
      <c r="N41" s="421"/>
      <c r="O41" s="423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2025-09-28T18:07:55Z</dcterms:modified>
</cp:coreProperties>
</file>