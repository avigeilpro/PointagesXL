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tables/table1.xml" ContentType="application/vnd.openxmlformats-officedocument.spreadsheetml.table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Android_studio\PointagesXL\Amb\"/>
    </mc:Choice>
  </mc:AlternateContent>
  <bookViews>
    <workbookView xWindow="-120" yWindow="-120" windowWidth="29040" windowHeight="16440" tabRatio="768"/>
  </bookViews>
  <sheets>
    <sheet name="Inter" sheetId="92" r:id="rId1"/>
    <sheet name="Édition Pointages" sheetId="78" r:id="rId2"/>
    <sheet name="Gestion" sheetId="3" r:id="rId3"/>
    <sheet name="Saisie" sheetId="145" r:id="rId4"/>
    <sheet name="Calcul" sheetId="93" state="hidden" r:id="rId5"/>
    <sheet name="GPS_Data" sheetId="99" state="hidden" r:id="rId6"/>
    <sheet name="FHebdo" sheetId="94" state="hidden" r:id="rId7"/>
    <sheet name="FHebdo_O" sheetId="105" state="hidden" r:id="rId8"/>
    <sheet name="Archives" sheetId="85" state="hidden" r:id="rId9"/>
  </sheets>
  <functionGroups builtInGroupCount="18"/>
  <definedNames>
    <definedName name="_xlnm._FilterDatabase" localSheetId="8" hidden="1">Archives!$A$1:$E$7</definedName>
    <definedName name="_xlnm._FilterDatabase" localSheetId="2" hidden="1">Gestion!$A$1:$A$37</definedName>
    <definedName name="liste1">INDIRECT("'Gestion Pointages'!$A$2:$A$"&amp;1+COUNTA(Gestion!$A$2:$A$30))</definedName>
    <definedName name="test">Gestion!$A$2:$A$3</definedName>
    <definedName name="_xlnm.Print_Area" localSheetId="7">FHebdo_O!$B$1:$M$17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K49" i="93" l="1"/>
  <c r="BJ49" i="93"/>
  <c r="BI49" i="93"/>
  <c r="BH49" i="93"/>
  <c r="BG49" i="93"/>
  <c r="BF49" i="93"/>
  <c r="BE49" i="93"/>
  <c r="BD49" i="93"/>
  <c r="BC49" i="93"/>
  <c r="BB49" i="93"/>
  <c r="BL49" i="93" s="1"/>
  <c r="BK48" i="93"/>
  <c r="BJ48" i="93"/>
  <c r="BI48" i="93"/>
  <c r="BH48" i="93"/>
  <c r="BG48" i="93"/>
  <c r="BF48" i="93"/>
  <c r="BE48" i="93"/>
  <c r="BD48" i="93"/>
  <c r="BC48" i="93"/>
  <c r="BB48" i="93"/>
  <c r="BL48" i="93" s="1"/>
  <c r="BK47" i="93"/>
  <c r="BJ47" i="93"/>
  <c r="BI47" i="93"/>
  <c r="BH47" i="93"/>
  <c r="BG47" i="93"/>
  <c r="BF47" i="93"/>
  <c r="BE47" i="93"/>
  <c r="BD47" i="93"/>
  <c r="BC47" i="93"/>
  <c r="BL47" i="93" s="1"/>
  <c r="BB47" i="93"/>
  <c r="BK46" i="93"/>
  <c r="BJ46" i="93"/>
  <c r="BI46" i="93"/>
  <c r="BH46" i="93"/>
  <c r="BG46" i="93"/>
  <c r="BF46" i="93"/>
  <c r="BE46" i="93"/>
  <c r="BD46" i="93"/>
  <c r="BC46" i="93"/>
  <c r="BB46" i="93"/>
  <c r="BL46" i="93" s="1"/>
  <c r="BK45" i="93"/>
  <c r="BJ45" i="93"/>
  <c r="BI45" i="93"/>
  <c r="BH45" i="93"/>
  <c r="BG45" i="93"/>
  <c r="BF45" i="93"/>
  <c r="BE45" i="93"/>
  <c r="BD45" i="93"/>
  <c r="BC45" i="93"/>
  <c r="BB45" i="93"/>
  <c r="BL45" i="93" s="1"/>
  <c r="BL44" i="93"/>
  <c r="BK44" i="93"/>
  <c r="BJ44" i="93"/>
  <c r="BI44" i="93"/>
  <c r="BH44" i="93"/>
  <c r="BG44" i="93"/>
  <c r="BF44" i="93"/>
  <c r="BE44" i="93"/>
  <c r="BD44" i="93"/>
  <c r="BC44" i="93"/>
  <c r="BB44" i="93"/>
  <c r="BK43" i="93"/>
  <c r="BJ43" i="93"/>
  <c r="BI43" i="93"/>
  <c r="BH43" i="93"/>
  <c r="BG43" i="93"/>
  <c r="BF43" i="93"/>
  <c r="BE43" i="93"/>
  <c r="BD43" i="93"/>
  <c r="BC43" i="93"/>
  <c r="BB43" i="93"/>
  <c r="BL43" i="93" s="1"/>
  <c r="BK42" i="93"/>
  <c r="BJ42" i="93"/>
  <c r="BI42" i="93"/>
  <c r="BH42" i="93"/>
  <c r="BG42" i="93"/>
  <c r="BF42" i="93"/>
  <c r="BE42" i="93"/>
  <c r="BD42" i="93"/>
  <c r="BC42" i="93"/>
  <c r="BB42" i="93"/>
  <c r="BL42" i="93" s="1"/>
  <c r="BK41" i="93"/>
  <c r="BJ41" i="93"/>
  <c r="BI41" i="93"/>
  <c r="BH41" i="93"/>
  <c r="BG41" i="93"/>
  <c r="BF41" i="93"/>
  <c r="BE41" i="93"/>
  <c r="BD41" i="93"/>
  <c r="BC41" i="93"/>
  <c r="BB41" i="93"/>
  <c r="BL41" i="93" s="1"/>
  <c r="BK40" i="93"/>
  <c r="BJ40" i="93"/>
  <c r="BI40" i="93"/>
  <c r="BH40" i="93"/>
  <c r="BG40" i="93"/>
  <c r="BF40" i="93"/>
  <c r="BE40" i="93"/>
  <c r="BD40" i="93"/>
  <c r="BC40" i="93"/>
  <c r="BB40" i="93"/>
  <c r="BL40" i="93" s="1"/>
  <c r="BK39" i="93"/>
  <c r="BJ39" i="93"/>
  <c r="BI39" i="93"/>
  <c r="BH39" i="93"/>
  <c r="BG39" i="93"/>
  <c r="BF39" i="93"/>
  <c r="BE39" i="93"/>
  <c r="BD39" i="93"/>
  <c r="BC39" i="93"/>
  <c r="BL39" i="93" s="1"/>
  <c r="BB39" i="93"/>
  <c r="BK38" i="93"/>
  <c r="BJ38" i="93"/>
  <c r="BI38" i="93"/>
  <c r="BH38" i="93"/>
  <c r="BG38" i="93"/>
  <c r="BF38" i="93"/>
  <c r="BE38" i="93"/>
  <c r="BD38" i="93"/>
  <c r="BC38" i="93"/>
  <c r="BL38" i="93" s="1"/>
  <c r="BB38" i="93"/>
  <c r="BK37" i="93"/>
  <c r="BJ37" i="93"/>
  <c r="BI37" i="93"/>
  <c r="BH37" i="93"/>
  <c r="BG37" i="93"/>
  <c r="BF37" i="93"/>
  <c r="BE37" i="93"/>
  <c r="BD37" i="93"/>
  <c r="BC37" i="93"/>
  <c r="BB37" i="93"/>
  <c r="BL37" i="93" s="1"/>
  <c r="BK36" i="93"/>
  <c r="BJ36" i="93"/>
  <c r="BI36" i="93"/>
  <c r="BH36" i="93"/>
  <c r="BG36" i="93"/>
  <c r="BF36" i="93"/>
  <c r="BE36" i="93"/>
  <c r="BD36" i="93"/>
  <c r="BL36" i="93" s="1"/>
  <c r="BC36" i="93"/>
  <c r="BB36" i="93"/>
  <c r="BK35" i="93"/>
  <c r="BJ35" i="93"/>
  <c r="BI35" i="93"/>
  <c r="BH35" i="93"/>
  <c r="BG35" i="93"/>
  <c r="BF35" i="93"/>
  <c r="BE35" i="93"/>
  <c r="BD35" i="93"/>
  <c r="BC35" i="93"/>
  <c r="BB35" i="93"/>
  <c r="BL35" i="93" s="1"/>
  <c r="BK34" i="93"/>
  <c r="BJ34" i="93"/>
  <c r="BI34" i="93"/>
  <c r="BH34" i="93"/>
  <c r="BG34" i="93"/>
  <c r="BF34" i="93"/>
  <c r="BE34" i="93"/>
  <c r="BD34" i="93"/>
  <c r="BC34" i="93"/>
  <c r="BB34" i="93"/>
  <c r="BL34" i="93" s="1"/>
  <c r="BK33" i="93"/>
  <c r="BJ33" i="93"/>
  <c r="BI33" i="93"/>
  <c r="BH33" i="93"/>
  <c r="BG33" i="93"/>
  <c r="BF33" i="93"/>
  <c r="BE33" i="93"/>
  <c r="BD33" i="93"/>
  <c r="BC33" i="93"/>
  <c r="BB33" i="93"/>
  <c r="BL33" i="93" s="1"/>
  <c r="BK32" i="93"/>
  <c r="BJ32" i="93"/>
  <c r="BI32" i="93"/>
  <c r="BH32" i="93"/>
  <c r="BG32" i="93"/>
  <c r="BF32" i="93"/>
  <c r="BE32" i="93"/>
  <c r="BD32" i="93"/>
  <c r="BC32" i="93"/>
  <c r="BB32" i="93"/>
  <c r="BL32" i="93" s="1"/>
  <c r="BK31" i="93"/>
  <c r="BJ31" i="93"/>
  <c r="BI31" i="93"/>
  <c r="BH31" i="93"/>
  <c r="BG31" i="93"/>
  <c r="BF31" i="93"/>
  <c r="BE31" i="93"/>
  <c r="BD31" i="93"/>
  <c r="BC31" i="93"/>
  <c r="BL31" i="93" s="1"/>
  <c r="BB31" i="93"/>
  <c r="BK30" i="93"/>
  <c r="BJ30" i="93"/>
  <c r="BI30" i="93"/>
  <c r="BH30" i="93"/>
  <c r="BG30" i="93"/>
  <c r="BF30" i="93"/>
  <c r="BE30" i="93"/>
  <c r="BD30" i="93"/>
  <c r="BC30" i="93"/>
  <c r="BB30" i="93"/>
  <c r="BL30" i="93" s="1"/>
  <c r="BK29" i="93"/>
  <c r="BJ29" i="93"/>
  <c r="BI29" i="93"/>
  <c r="BH29" i="93"/>
  <c r="BG29" i="93"/>
  <c r="BF29" i="93"/>
  <c r="BE29" i="93"/>
  <c r="BD29" i="93"/>
  <c r="BC29" i="93"/>
  <c r="BB29" i="93"/>
  <c r="BL29" i="93" s="1"/>
  <c r="BL28" i="93"/>
  <c r="BK28" i="93"/>
  <c r="BJ28" i="93"/>
  <c r="BI28" i="93"/>
  <c r="BH28" i="93"/>
  <c r="BG28" i="93"/>
  <c r="BF28" i="93"/>
  <c r="BE28" i="93"/>
  <c r="BD28" i="93"/>
  <c r="BC28" i="93"/>
  <c r="BB28" i="93"/>
  <c r="BK27" i="93"/>
  <c r="BJ27" i="93"/>
  <c r="BI27" i="93"/>
  <c r="BH27" i="93"/>
  <c r="BG27" i="93"/>
  <c r="BF27" i="93"/>
  <c r="BE27" i="93"/>
  <c r="BD27" i="93"/>
  <c r="BC27" i="93"/>
  <c r="BB27" i="93"/>
  <c r="BL27" i="93" s="1"/>
  <c r="BK26" i="93"/>
  <c r="BJ26" i="93"/>
  <c r="BI26" i="93"/>
  <c r="BH26" i="93"/>
  <c r="BG26" i="93"/>
  <c r="BF26" i="93"/>
  <c r="BE26" i="93"/>
  <c r="BD26" i="93"/>
  <c r="BC26" i="93"/>
  <c r="BB26" i="93"/>
  <c r="BL26" i="93" s="1"/>
  <c r="BK25" i="93"/>
  <c r="BJ25" i="93"/>
  <c r="BI25" i="93"/>
  <c r="BH25" i="93"/>
  <c r="BG25" i="93"/>
  <c r="BF25" i="93"/>
  <c r="BE25" i="93"/>
  <c r="BD25" i="93"/>
  <c r="BC25" i="93"/>
  <c r="BB25" i="93"/>
  <c r="BL25" i="93" s="1"/>
  <c r="BK24" i="93"/>
  <c r="BJ24" i="93"/>
  <c r="BI24" i="93"/>
  <c r="BH24" i="93"/>
  <c r="BG24" i="93"/>
  <c r="BF24" i="93"/>
  <c r="BE24" i="93"/>
  <c r="BD24" i="93"/>
  <c r="BC24" i="93"/>
  <c r="BB24" i="93"/>
  <c r="BL24" i="93" s="1"/>
  <c r="BK23" i="93"/>
  <c r="BJ23" i="93"/>
  <c r="BI23" i="93"/>
  <c r="BH23" i="93"/>
  <c r="BG23" i="93"/>
  <c r="BF23" i="93"/>
  <c r="BE23" i="93"/>
  <c r="BD23" i="93"/>
  <c r="BC23" i="93"/>
  <c r="BL23" i="93" s="1"/>
  <c r="BB23" i="93"/>
  <c r="BK22" i="93"/>
  <c r="BJ22" i="93"/>
  <c r="BI22" i="93"/>
  <c r="BH22" i="93"/>
  <c r="BG22" i="93"/>
  <c r="BF22" i="93"/>
  <c r="BE22" i="93"/>
  <c r="BD22" i="93"/>
  <c r="BC22" i="93"/>
  <c r="BB22" i="93"/>
  <c r="BL22" i="93" s="1"/>
  <c r="BK21" i="93"/>
  <c r="BJ21" i="93"/>
  <c r="BI21" i="93"/>
  <c r="BH21" i="93"/>
  <c r="BG21" i="93"/>
  <c r="BF21" i="93"/>
  <c r="BE21" i="93"/>
  <c r="BD21" i="93"/>
  <c r="BC21" i="93"/>
  <c r="BB21" i="93"/>
  <c r="BL21" i="93" s="1"/>
  <c r="BK20" i="93"/>
  <c r="BJ20" i="93"/>
  <c r="BI20" i="93"/>
  <c r="BH20" i="93"/>
  <c r="BG20" i="93"/>
  <c r="BF20" i="93"/>
  <c r="BE20" i="93"/>
  <c r="BD20" i="93"/>
  <c r="BL20" i="93" s="1"/>
  <c r="BC20" i="93"/>
  <c r="BB20" i="93"/>
  <c r="BK19" i="93"/>
  <c r="BJ19" i="93"/>
  <c r="BI19" i="93"/>
  <c r="BH19" i="93"/>
  <c r="BG19" i="93"/>
  <c r="BF19" i="93"/>
  <c r="BE19" i="93"/>
  <c r="BD19" i="93"/>
  <c r="BC19" i="93"/>
  <c r="BB19" i="93"/>
  <c r="BL19" i="93" s="1"/>
  <c r="BK18" i="93"/>
  <c r="BJ18" i="93"/>
  <c r="BI18" i="93"/>
  <c r="BH18" i="93"/>
  <c r="BG18" i="93"/>
  <c r="BF18" i="93"/>
  <c r="BE18" i="93"/>
  <c r="BD18" i="93"/>
  <c r="BC18" i="93"/>
  <c r="BB18" i="93"/>
  <c r="BL18" i="93" s="1"/>
  <c r="BK17" i="93"/>
  <c r="BJ17" i="93"/>
  <c r="BI17" i="93"/>
  <c r="BH17" i="93"/>
  <c r="BG17" i="93"/>
  <c r="BF17" i="93"/>
  <c r="BE17" i="93"/>
  <c r="BD17" i="93"/>
  <c r="BC17" i="93"/>
  <c r="BB17" i="93"/>
  <c r="BL17" i="93" s="1"/>
  <c r="BK16" i="93"/>
  <c r="BJ16" i="93"/>
  <c r="BI16" i="93"/>
  <c r="BH16" i="93"/>
  <c r="BG16" i="93"/>
  <c r="BF16" i="93"/>
  <c r="BE16" i="93"/>
  <c r="BD16" i="93"/>
  <c r="BC16" i="93"/>
  <c r="BB16" i="93"/>
  <c r="BL16" i="93" s="1"/>
  <c r="BK15" i="93"/>
  <c r="BJ15" i="93"/>
  <c r="BI15" i="93"/>
  <c r="BH15" i="93"/>
  <c r="BG15" i="93"/>
  <c r="BF15" i="93"/>
  <c r="BE15" i="93"/>
  <c r="BD15" i="93"/>
  <c r="BC15" i="93"/>
  <c r="BB15" i="93"/>
  <c r="BL15" i="93" s="1"/>
  <c r="BK14" i="93"/>
  <c r="BJ14" i="93"/>
  <c r="BI14" i="93"/>
  <c r="BH14" i="93"/>
  <c r="BG14" i="93"/>
  <c r="BF14" i="93"/>
  <c r="BE14" i="93"/>
  <c r="BD14" i="93"/>
  <c r="BC14" i="93"/>
  <c r="BL14" i="93" s="1"/>
  <c r="BB14" i="93"/>
  <c r="BK13" i="93"/>
  <c r="BJ13" i="93"/>
  <c r="BI13" i="93"/>
  <c r="BH13" i="93"/>
  <c r="BG13" i="93"/>
  <c r="BF13" i="93"/>
  <c r="BE13" i="93"/>
  <c r="BD13" i="93"/>
  <c r="BC13" i="93"/>
  <c r="BB13" i="93"/>
  <c r="BL13" i="93" s="1"/>
  <c r="BK12" i="93"/>
  <c r="BJ12" i="93"/>
  <c r="BI12" i="93"/>
  <c r="BH12" i="93"/>
  <c r="BG12" i="93"/>
  <c r="BF12" i="93"/>
  <c r="BE12" i="93"/>
  <c r="BD12" i="93"/>
  <c r="BL12" i="93" s="1"/>
  <c r="BC12" i="93"/>
  <c r="BB12" i="93"/>
  <c r="BK11" i="93"/>
  <c r="BJ11" i="93"/>
  <c r="BI11" i="93"/>
  <c r="BH11" i="93"/>
  <c r="BG11" i="93"/>
  <c r="BF11" i="93"/>
  <c r="BE11" i="93"/>
  <c r="BD11" i="93"/>
  <c r="BC11" i="93"/>
  <c r="BB11" i="93"/>
  <c r="BL11" i="93" s="1"/>
  <c r="BK10" i="93"/>
  <c r="BJ10" i="93"/>
  <c r="BI10" i="93"/>
  <c r="BH10" i="93"/>
  <c r="BG10" i="93"/>
  <c r="BF10" i="93"/>
  <c r="BE10" i="93"/>
  <c r="BD10" i="93"/>
  <c r="BC10" i="93"/>
  <c r="BB10" i="93"/>
  <c r="BL10" i="93" s="1"/>
  <c r="BK9" i="93"/>
  <c r="BJ9" i="93"/>
  <c r="BI9" i="93"/>
  <c r="BH9" i="93"/>
  <c r="BG9" i="93"/>
  <c r="BF9" i="93"/>
  <c r="BE9" i="93"/>
  <c r="BD9" i="93"/>
  <c r="BC9" i="93"/>
  <c r="BB9" i="93"/>
  <c r="BL9" i="93" s="1"/>
  <c r="BK8" i="93"/>
  <c r="BJ8" i="93"/>
  <c r="BI8" i="93"/>
  <c r="BH8" i="93"/>
  <c r="BG8" i="93"/>
  <c r="BF8" i="93"/>
  <c r="BE8" i="93"/>
  <c r="BD8" i="93"/>
  <c r="BC8" i="93"/>
  <c r="BB8" i="93"/>
  <c r="BL8" i="93" s="1"/>
  <c r="BK7" i="93"/>
  <c r="BJ7" i="93"/>
  <c r="BI7" i="93"/>
  <c r="BH7" i="93"/>
  <c r="BG7" i="93"/>
  <c r="BF7" i="93"/>
  <c r="BE7" i="93"/>
  <c r="BD7" i="93"/>
  <c r="BC7" i="93"/>
  <c r="BB7" i="93"/>
  <c r="BL7" i="93" s="1"/>
  <c r="BK6" i="93"/>
  <c r="BJ6" i="93"/>
  <c r="BI6" i="93"/>
  <c r="BH6" i="93"/>
  <c r="BG6" i="93"/>
  <c r="BF6" i="93"/>
  <c r="BE6" i="93"/>
  <c r="BD6" i="93"/>
  <c r="BL6" i="93" s="1"/>
  <c r="BC6" i="93"/>
  <c r="BB6" i="93"/>
  <c r="BK5" i="93"/>
  <c r="BJ5" i="93"/>
  <c r="BI5" i="93"/>
  <c r="BH5" i="93"/>
  <c r="BG5" i="93"/>
  <c r="BF5" i="93"/>
  <c r="BE5" i="93"/>
  <c r="BD5" i="93"/>
  <c r="BC5" i="93"/>
  <c r="BB5" i="93"/>
  <c r="BL5" i="93" s="1"/>
  <c r="AE70" i="92" l="1"/>
  <c r="D4" i="94" l="1"/>
  <c r="D3" i="105" l="1"/>
  <c r="AI63" i="92" l="1"/>
  <c r="AE63" i="92"/>
  <c r="AI56" i="92"/>
  <c r="AE56" i="92"/>
  <c r="AI49" i="92"/>
  <c r="AE49" i="92"/>
  <c r="AI42" i="92"/>
  <c r="AE42" i="92"/>
  <c r="AI35" i="92"/>
  <c r="AE35" i="92"/>
  <c r="AI28" i="92"/>
  <c r="AE28" i="92"/>
  <c r="AO39" i="93" l="1"/>
  <c r="AP39" i="93"/>
  <c r="AQ39" i="93"/>
  <c r="AR39" i="93"/>
  <c r="AS39" i="93"/>
  <c r="AT39" i="93" s="1"/>
  <c r="AU39" i="93" s="1"/>
  <c r="AO40" i="93"/>
  <c r="AP40" i="93"/>
  <c r="AQ40" i="93"/>
  <c r="AR40" i="93"/>
  <c r="AS40" i="93"/>
  <c r="AT40" i="93" s="1"/>
  <c r="AU40" i="93"/>
  <c r="AW40" i="93" s="1"/>
  <c r="AX40" i="93" s="1"/>
  <c r="AO41" i="93"/>
  <c r="AP41" i="93"/>
  <c r="AQ41" i="93"/>
  <c r="AR41" i="93"/>
  <c r="AS41" i="93"/>
  <c r="AT41" i="93" s="1"/>
  <c r="AU41" i="93"/>
  <c r="AW41" i="93" s="1"/>
  <c r="AX41" i="93" s="1"/>
  <c r="AO42" i="93"/>
  <c r="AP42" i="93"/>
  <c r="AQ42" i="93"/>
  <c r="AR42" i="93"/>
  <c r="AS42" i="93"/>
  <c r="AT42" i="93" s="1"/>
  <c r="AU42" i="93"/>
  <c r="AW42" i="93" s="1"/>
  <c r="AX42" i="93" s="1"/>
  <c r="AO43" i="93"/>
  <c r="AP43" i="93"/>
  <c r="AQ43" i="93"/>
  <c r="AR43" i="93"/>
  <c r="AS43" i="93"/>
  <c r="AT43" i="93" s="1"/>
  <c r="AU43" i="93"/>
  <c r="AW43" i="93" s="1"/>
  <c r="AX43" i="93" s="1"/>
  <c r="AO44" i="93"/>
  <c r="AP44" i="93"/>
  <c r="AQ44" i="93"/>
  <c r="AR44" i="93"/>
  <c r="AS44" i="93"/>
  <c r="AT44" i="93" s="1"/>
  <c r="AU44" i="93"/>
  <c r="AW44" i="93" s="1"/>
  <c r="AX44" i="93" s="1"/>
  <c r="AO45" i="93"/>
  <c r="AP45" i="93"/>
  <c r="AQ45" i="93"/>
  <c r="AR45" i="93"/>
  <c r="AS45" i="93"/>
  <c r="AT45" i="93" s="1"/>
  <c r="AU45" i="93"/>
  <c r="AW45" i="93" s="1"/>
  <c r="AX45" i="93" s="1"/>
  <c r="AV45" i="93" l="1"/>
  <c r="AZ45" i="93" s="1"/>
  <c r="AV44" i="93"/>
  <c r="AY44" i="93" s="1"/>
  <c r="AV43" i="93"/>
  <c r="AY43" i="93" s="1"/>
  <c r="AV42" i="93"/>
  <c r="AZ42" i="93" s="1"/>
  <c r="AV41" i="93"/>
  <c r="AY41" i="93" s="1"/>
  <c r="AV40" i="93"/>
  <c r="AY40" i="93" s="1"/>
  <c r="AV39" i="93"/>
  <c r="AI70" i="92"/>
  <c r="AB70" i="92"/>
  <c r="AW39" i="93" l="1"/>
  <c r="AX39" i="93" s="1"/>
  <c r="AY45" i="93"/>
  <c r="BA45" i="93"/>
  <c r="AZ44" i="93"/>
  <c r="BA43" i="93"/>
  <c r="BA42" i="93"/>
  <c r="AZ43" i="93"/>
  <c r="BA40" i="93"/>
  <c r="AY42" i="93"/>
  <c r="AZ40" i="93"/>
  <c r="BA41" i="93"/>
  <c r="BA44" i="93"/>
  <c r="AZ39" i="93"/>
  <c r="AZ41" i="93"/>
  <c r="BA39" i="93" l="1"/>
  <c r="AY39" i="93"/>
  <c r="B5" i="105"/>
  <c r="BL50" i="93" l="1"/>
  <c r="BK50" i="93"/>
  <c r="BJ50" i="93"/>
  <c r="BI50" i="93"/>
  <c r="BH50" i="93"/>
  <c r="BG50" i="93"/>
  <c r="BF50" i="93"/>
  <c r="BE50" i="93"/>
  <c r="BD50" i="93"/>
  <c r="BC50" i="93"/>
  <c r="BB50" i="93"/>
  <c r="AW49" i="93"/>
  <c r="AX49" i="93" s="1"/>
  <c r="AU49" i="93"/>
  <c r="AV49" i="93" s="1"/>
  <c r="AS49" i="93"/>
  <c r="AT49" i="93" s="1"/>
  <c r="AR49" i="93"/>
  <c r="AQ49" i="93"/>
  <c r="AP49" i="93"/>
  <c r="AO49" i="93"/>
  <c r="AN49" i="93"/>
  <c r="AM49" i="93"/>
  <c r="AL49" i="93"/>
  <c r="AK49" i="93"/>
  <c r="AJ49" i="93"/>
  <c r="AI49" i="93"/>
  <c r="AH49" i="93"/>
  <c r="AG49" i="93"/>
  <c r="AF49" i="93"/>
  <c r="AE49" i="93"/>
  <c r="AD49" i="93"/>
  <c r="AC49" i="93"/>
  <c r="AB49" i="93"/>
  <c r="AA49" i="93"/>
  <c r="Z49" i="93"/>
  <c r="Y49" i="93"/>
  <c r="X49" i="93"/>
  <c r="W49" i="93"/>
  <c r="V49" i="93"/>
  <c r="U49" i="93"/>
  <c r="AW48" i="93"/>
  <c r="AX48" i="93" s="1"/>
  <c r="AU48" i="93"/>
  <c r="AV48" i="93" s="1"/>
  <c r="AS48" i="93"/>
  <c r="AT48" i="93" s="1"/>
  <c r="AR48" i="93"/>
  <c r="AQ48" i="93"/>
  <c r="AP48" i="93"/>
  <c r="AO48" i="93"/>
  <c r="AN48" i="93"/>
  <c r="AM48" i="93"/>
  <c r="AL48" i="93"/>
  <c r="AK48" i="93"/>
  <c r="AJ48" i="93"/>
  <c r="AI48" i="93"/>
  <c r="AH48" i="93"/>
  <c r="AG48" i="93"/>
  <c r="AF48" i="93"/>
  <c r="AE48" i="93"/>
  <c r="AD48" i="93"/>
  <c r="AC48" i="93"/>
  <c r="AB48" i="93"/>
  <c r="AA48" i="93"/>
  <c r="Z48" i="93"/>
  <c r="Y48" i="93"/>
  <c r="X48" i="93"/>
  <c r="W48" i="93"/>
  <c r="V48" i="93"/>
  <c r="U48" i="93"/>
  <c r="AW47" i="93"/>
  <c r="AX47" i="93" s="1"/>
  <c r="AU47" i="93"/>
  <c r="AV47" i="93" s="1"/>
  <c r="AS47" i="93"/>
  <c r="AR47" i="93"/>
  <c r="AQ47" i="93"/>
  <c r="AP47" i="93"/>
  <c r="AO47" i="93"/>
  <c r="AN47" i="93"/>
  <c r="AM47" i="93"/>
  <c r="AL47" i="93"/>
  <c r="AK47" i="93"/>
  <c r="AJ47" i="93"/>
  <c r="AI47" i="93"/>
  <c r="AH47" i="93"/>
  <c r="AG47" i="93"/>
  <c r="AF47" i="93"/>
  <c r="AE47" i="93"/>
  <c r="AD47" i="93"/>
  <c r="AC47" i="93"/>
  <c r="AB47" i="93"/>
  <c r="AA47" i="93"/>
  <c r="Z47" i="93"/>
  <c r="Y47" i="93"/>
  <c r="X47" i="93"/>
  <c r="W47" i="93"/>
  <c r="V47" i="93"/>
  <c r="U47" i="93"/>
  <c r="AW46" i="93"/>
  <c r="AX46" i="93" s="1"/>
  <c r="AU46" i="93"/>
  <c r="AV46" i="93" s="1"/>
  <c r="AS46" i="93"/>
  <c r="AT46" i="93" s="1"/>
  <c r="AR46" i="93"/>
  <c r="AQ46" i="93"/>
  <c r="AP46" i="93"/>
  <c r="AO46" i="93"/>
  <c r="AS38" i="93"/>
  <c r="AU38" i="93" s="1"/>
  <c r="AV38" i="93" s="1"/>
  <c r="AP38" i="93"/>
  <c r="AO38" i="93"/>
  <c r="AS37" i="93"/>
  <c r="AT37" i="93" s="1"/>
  <c r="AP37" i="93"/>
  <c r="AO37" i="93"/>
  <c r="AS36" i="93"/>
  <c r="AT36" i="93" s="1"/>
  <c r="AP36" i="93"/>
  <c r="AO36" i="93"/>
  <c r="AS35" i="93"/>
  <c r="AP35" i="93"/>
  <c r="AO35" i="93"/>
  <c r="AS34" i="93"/>
  <c r="AT34" i="93" s="1"/>
  <c r="AP34" i="93"/>
  <c r="AO34" i="93"/>
  <c r="AS33" i="93"/>
  <c r="AP33" i="93"/>
  <c r="AO33" i="93"/>
  <c r="AS32" i="93"/>
  <c r="AT32" i="93" s="1"/>
  <c r="AU32" i="93" s="1"/>
  <c r="AP32" i="93"/>
  <c r="AO32" i="93"/>
  <c r="AS31" i="93"/>
  <c r="AT31" i="93" s="1"/>
  <c r="AP31" i="93"/>
  <c r="AO31" i="93"/>
  <c r="AS30" i="93"/>
  <c r="AP30" i="93"/>
  <c r="AO30" i="93"/>
  <c r="AS29" i="93"/>
  <c r="AP29" i="93"/>
  <c r="AO29" i="93"/>
  <c r="AS28" i="93"/>
  <c r="AT28" i="93" s="1"/>
  <c r="AP28" i="93"/>
  <c r="AO28" i="93"/>
  <c r="AS27" i="93"/>
  <c r="AP27" i="93"/>
  <c r="AO27" i="93"/>
  <c r="AS26" i="93"/>
  <c r="AT26" i="93" s="1"/>
  <c r="AP26" i="93"/>
  <c r="AO26" i="93"/>
  <c r="AS25" i="93"/>
  <c r="AT25" i="93" s="1"/>
  <c r="AP25" i="93"/>
  <c r="AO25" i="93"/>
  <c r="AS24" i="93"/>
  <c r="AT24" i="93" s="1"/>
  <c r="AP24" i="93"/>
  <c r="AO24" i="93"/>
  <c r="AS23" i="93"/>
  <c r="AT23" i="93" s="1"/>
  <c r="AU23" i="93" s="1"/>
  <c r="AP23" i="93"/>
  <c r="AO23" i="93"/>
  <c r="AS22" i="93"/>
  <c r="AP22" i="93"/>
  <c r="AO22" i="93"/>
  <c r="AS21" i="93"/>
  <c r="AP21" i="93"/>
  <c r="AO21" i="93"/>
  <c r="AS20" i="93"/>
  <c r="AT20" i="93" s="1"/>
  <c r="AU20" i="93" s="1"/>
  <c r="AV20" i="93" s="1"/>
  <c r="AP20" i="93"/>
  <c r="AO20" i="93"/>
  <c r="AS19" i="93"/>
  <c r="AP19" i="93"/>
  <c r="AO19" i="93"/>
  <c r="AS18" i="93"/>
  <c r="AT18" i="93" s="1"/>
  <c r="AP18" i="93"/>
  <c r="AO18" i="93"/>
  <c r="AS17" i="93"/>
  <c r="AP17" i="93"/>
  <c r="AO17" i="93"/>
  <c r="AS16" i="93"/>
  <c r="AT16" i="93" s="1"/>
  <c r="AP16" i="93"/>
  <c r="AO16" i="93"/>
  <c r="AS15" i="93"/>
  <c r="AP15" i="93"/>
  <c r="AO15" i="93"/>
  <c r="AS14" i="93"/>
  <c r="AP14" i="93"/>
  <c r="AO14" i="93"/>
  <c r="AS13" i="93"/>
  <c r="AP13" i="93"/>
  <c r="AO13" i="93"/>
  <c r="AS12" i="93"/>
  <c r="AT12" i="93" s="1"/>
  <c r="AP12" i="93"/>
  <c r="AO12" i="93"/>
  <c r="AS11" i="93"/>
  <c r="AP11" i="93"/>
  <c r="AO11" i="93"/>
  <c r="AS10" i="93"/>
  <c r="AT10" i="93" s="1"/>
  <c r="AP10" i="93"/>
  <c r="AO10" i="93"/>
  <c r="AS9" i="93"/>
  <c r="AT9" i="93" s="1"/>
  <c r="AP9" i="93"/>
  <c r="AO9" i="93"/>
  <c r="AS8" i="93"/>
  <c r="AT8" i="93" s="1"/>
  <c r="AP8" i="93"/>
  <c r="AO8" i="93"/>
  <c r="AS7" i="93"/>
  <c r="AT7" i="93" s="1"/>
  <c r="AP7" i="93"/>
  <c r="AO7" i="93"/>
  <c r="AS6" i="93"/>
  <c r="AP6" i="93"/>
  <c r="AO6" i="93"/>
  <c r="AS5" i="93"/>
  <c r="AT5" i="93" s="1"/>
  <c r="AP5" i="93"/>
  <c r="AO5" i="93"/>
  <c r="AZ49" i="93" l="1"/>
  <c r="AU18" i="93"/>
  <c r="AV18" i="93" s="1"/>
  <c r="AQ18" i="93" s="1"/>
  <c r="AU24" i="93"/>
  <c r="AV24" i="93" s="1"/>
  <c r="AQ24" i="93" s="1"/>
  <c r="AU28" i="93"/>
  <c r="AV28" i="93" s="1"/>
  <c r="AQ28" i="93" s="1"/>
  <c r="AU10" i="93"/>
  <c r="AY48" i="93"/>
  <c r="AZ48" i="93"/>
  <c r="AY49" i="93"/>
  <c r="BA49" i="93"/>
  <c r="AT47" i="93"/>
  <c r="AZ47" i="93" s="1"/>
  <c r="BA48" i="93"/>
  <c r="AU37" i="93"/>
  <c r="AU36" i="93"/>
  <c r="AV36" i="93" s="1"/>
  <c r="AQ36" i="93" s="1"/>
  <c r="AU34" i="93"/>
  <c r="AV34" i="93" s="1"/>
  <c r="AW34" i="93" s="1"/>
  <c r="AX34" i="93" s="1"/>
  <c r="AR34" i="93" s="1"/>
  <c r="AU25" i="93"/>
  <c r="AV25" i="93" s="1"/>
  <c r="AW25" i="93" s="1"/>
  <c r="AU26" i="93"/>
  <c r="AV26" i="93" s="1"/>
  <c r="AW26" i="93" s="1"/>
  <c r="AV32" i="93"/>
  <c r="AW32" i="93" s="1"/>
  <c r="AU31" i="93"/>
  <c r="AV31" i="93" s="1"/>
  <c r="AQ31" i="93" s="1"/>
  <c r="AU12" i="93"/>
  <c r="AV12" i="93" s="1"/>
  <c r="AW12" i="93" s="1"/>
  <c r="AX12" i="93" s="1"/>
  <c r="AR12" i="93" s="1"/>
  <c r="AU8" i="93"/>
  <c r="AV8" i="93" s="1"/>
  <c r="AW8" i="93" s="1"/>
  <c r="AX8" i="93" s="1"/>
  <c r="AR8" i="93" s="1"/>
  <c r="AV23" i="93"/>
  <c r="AQ23" i="93" s="1"/>
  <c r="AU9" i="93"/>
  <c r="AV9" i="93" s="1"/>
  <c r="AQ9" i="93" s="1"/>
  <c r="AU16" i="93"/>
  <c r="AV16" i="93" s="1"/>
  <c r="AQ16" i="93" s="1"/>
  <c r="AU5" i="93"/>
  <c r="AV5" i="93" s="1"/>
  <c r="AQ5" i="93" s="1"/>
  <c r="AU7" i="93"/>
  <c r="AV7" i="93" s="1"/>
  <c r="AQ7" i="93" s="1"/>
  <c r="AW20" i="93"/>
  <c r="AX20" i="93" s="1"/>
  <c r="AR20" i="93" s="1"/>
  <c r="AQ38" i="93"/>
  <c r="AT17" i="93"/>
  <c r="AT29" i="93"/>
  <c r="AT21" i="93"/>
  <c r="AT13" i="93"/>
  <c r="AQ20" i="93"/>
  <c r="AT33" i="93"/>
  <c r="AZ46" i="93"/>
  <c r="AT14" i="93"/>
  <c r="AT22" i="93"/>
  <c r="AT30" i="93"/>
  <c r="AT38" i="93"/>
  <c r="AT6" i="93"/>
  <c r="AT11" i="93"/>
  <c r="AT19" i="93"/>
  <c r="AT27" i="93"/>
  <c r="AT35" i="93"/>
  <c r="AY46" i="93"/>
  <c r="BA46" i="93"/>
  <c r="AT15" i="93"/>
  <c r="AU11" i="93" l="1"/>
  <c r="AW18" i="93"/>
  <c r="AW24" i="93"/>
  <c r="AU17" i="93"/>
  <c r="AW28" i="93"/>
  <c r="AU27" i="93"/>
  <c r="AV10" i="93"/>
  <c r="AW10" i="93" s="1"/>
  <c r="AX10" i="93" s="1"/>
  <c r="AR10" i="93" s="1"/>
  <c r="AY47" i="93"/>
  <c r="BA47" i="93"/>
  <c r="AQ25" i="93"/>
  <c r="AU30" i="93"/>
  <c r="AW36" i="93"/>
  <c r="AV37" i="93"/>
  <c r="AW37" i="93" s="1"/>
  <c r="AX37" i="93" s="1"/>
  <c r="AR37" i="93" s="1"/>
  <c r="AW38" i="93"/>
  <c r="AX38" i="93" s="1"/>
  <c r="AR38" i="93" s="1"/>
  <c r="AY38" i="93" s="1"/>
  <c r="AU35" i="93"/>
  <c r="AZ34" i="93"/>
  <c r="AQ34" i="93"/>
  <c r="AY34" i="93" s="1"/>
  <c r="AQ26" i="93"/>
  <c r="AQ32" i="93"/>
  <c r="AX26" i="93"/>
  <c r="AR26" i="93" s="1"/>
  <c r="AZ26" i="93"/>
  <c r="AX25" i="93"/>
  <c r="AR25" i="93" s="1"/>
  <c r="AZ25" i="93"/>
  <c r="AX32" i="93"/>
  <c r="AR32" i="93" s="1"/>
  <c r="AZ32" i="93"/>
  <c r="AU33" i="93"/>
  <c r="AW31" i="93"/>
  <c r="AU29" i="93"/>
  <c r="AQ12" i="93"/>
  <c r="AY12" i="93" s="1"/>
  <c r="AZ8" i="93"/>
  <c r="AQ8" i="93"/>
  <c r="AY8" i="93" s="1"/>
  <c r="AZ20" i="93"/>
  <c r="BA20" i="93"/>
  <c r="AZ12" i="93"/>
  <c r="AU22" i="93"/>
  <c r="AU19" i="93"/>
  <c r="AU14" i="93"/>
  <c r="AW9" i="93"/>
  <c r="AZ9" i="93" s="1"/>
  <c r="AW7" i="93"/>
  <c r="AU15" i="93"/>
  <c r="AW5" i="93"/>
  <c r="AW23" i="93"/>
  <c r="AW16" i="93"/>
  <c r="AY20" i="93"/>
  <c r="AU6" i="93"/>
  <c r="AU21" i="93"/>
  <c r="AU13" i="93"/>
  <c r="AV11" i="93" l="1"/>
  <c r="AW11" i="93" s="1"/>
  <c r="AX11" i="93" s="1"/>
  <c r="AR11" i="93" s="1"/>
  <c r="BA12" i="93"/>
  <c r="BA8" i="93"/>
  <c r="BA34" i="93"/>
  <c r="AX18" i="93"/>
  <c r="AR18" i="93" s="1"/>
  <c r="AY18" i="93" s="1"/>
  <c r="AZ18" i="93"/>
  <c r="AX24" i="93"/>
  <c r="AR24" i="93" s="1"/>
  <c r="AY24" i="93" s="1"/>
  <c r="AZ24" i="93"/>
  <c r="AV17" i="93"/>
  <c r="AW17" i="93" s="1"/>
  <c r="AX28" i="93"/>
  <c r="AR28" i="93" s="1"/>
  <c r="AY28" i="93" s="1"/>
  <c r="AZ28" i="93"/>
  <c r="BA10" i="93"/>
  <c r="AQ10" i="93"/>
  <c r="AY10" i="93" s="1"/>
  <c r="AZ10" i="93"/>
  <c r="AV27" i="93"/>
  <c r="AW27" i="93" s="1"/>
  <c r="AX27" i="93" s="1"/>
  <c r="AR27" i="93" s="1"/>
  <c r="AY25" i="93"/>
  <c r="BA38" i="93"/>
  <c r="AZ38" i="93"/>
  <c r="AQ37" i="93"/>
  <c r="AY37" i="93" s="1"/>
  <c r="AZ37" i="93"/>
  <c r="AX36" i="93"/>
  <c r="AR36" i="93" s="1"/>
  <c r="AY36" i="93" s="1"/>
  <c r="AZ36" i="93"/>
  <c r="AV30" i="93"/>
  <c r="AQ30" i="93" s="1"/>
  <c r="AV35" i="93"/>
  <c r="AQ35" i="93" s="1"/>
  <c r="BA26" i="93"/>
  <c r="BA25" i="93"/>
  <c r="AY26" i="93"/>
  <c r="AY32" i="93"/>
  <c r="BA32" i="93"/>
  <c r="AX31" i="93"/>
  <c r="AR31" i="93" s="1"/>
  <c r="AZ31" i="93"/>
  <c r="AV33" i="93"/>
  <c r="AW33" i="93" s="1"/>
  <c r="AX33" i="93" s="1"/>
  <c r="AR33" i="93" s="1"/>
  <c r="AV29" i="93"/>
  <c r="AW29" i="93" s="1"/>
  <c r="AX29" i="93" s="1"/>
  <c r="AR29" i="93" s="1"/>
  <c r="AV14" i="93"/>
  <c r="AW14" i="93" s="1"/>
  <c r="AX14" i="93" s="1"/>
  <c r="AR14" i="93" s="1"/>
  <c r="AX23" i="93"/>
  <c r="AR23" i="93" s="1"/>
  <c r="AY23" i="93" s="1"/>
  <c r="AZ23" i="93"/>
  <c r="AX5" i="93"/>
  <c r="AR5" i="93" s="1"/>
  <c r="AY5" i="93" s="1"/>
  <c r="AZ5" i="93"/>
  <c r="AV19" i="93"/>
  <c r="AW19" i="93" s="1"/>
  <c r="AX19" i="93" s="1"/>
  <c r="AR19" i="93" s="1"/>
  <c r="AV21" i="93"/>
  <c r="AW21" i="93" s="1"/>
  <c r="AX21" i="93" s="1"/>
  <c r="AR21" i="93" s="1"/>
  <c r="AV15" i="93"/>
  <c r="AV22" i="93"/>
  <c r="AW22" i="93" s="1"/>
  <c r="AX22" i="93" s="1"/>
  <c r="AR22" i="93" s="1"/>
  <c r="AV6" i="93"/>
  <c r="AW6" i="93" s="1"/>
  <c r="AX6" i="93" s="1"/>
  <c r="AR6" i="93" s="1"/>
  <c r="AX7" i="93"/>
  <c r="AR7" i="93" s="1"/>
  <c r="AY7" i="93" s="1"/>
  <c r="AZ7" i="93"/>
  <c r="AX16" i="93"/>
  <c r="AR16" i="93" s="1"/>
  <c r="AY16" i="93" s="1"/>
  <c r="AZ16" i="93"/>
  <c r="AX9" i="93"/>
  <c r="AR9" i="93" s="1"/>
  <c r="AY9" i="93" s="1"/>
  <c r="AV13" i="93"/>
  <c r="AW13" i="93" s="1"/>
  <c r="AX13" i="93" s="1"/>
  <c r="AR13" i="93" s="1"/>
  <c r="AQ11" i="93" l="1"/>
  <c r="AY11" i="93" s="1"/>
  <c r="AZ11" i="93"/>
  <c r="BA11" i="93"/>
  <c r="BA37" i="93"/>
  <c r="BA18" i="93"/>
  <c r="BA24" i="93"/>
  <c r="AX17" i="93"/>
  <c r="AR17" i="93" s="1"/>
  <c r="AZ17" i="93"/>
  <c r="AQ17" i="93"/>
  <c r="BA28" i="93"/>
  <c r="AZ27" i="93"/>
  <c r="AQ27" i="93"/>
  <c r="AY27" i="93" s="1"/>
  <c r="BA36" i="93"/>
  <c r="AW35" i="93"/>
  <c r="AX35" i="93" s="1"/>
  <c r="AR35" i="93" s="1"/>
  <c r="AY35" i="93" s="1"/>
  <c r="AW30" i="93"/>
  <c r="AX30" i="93" s="1"/>
  <c r="AR30" i="93" s="1"/>
  <c r="AY30" i="93" s="1"/>
  <c r="AY31" i="93"/>
  <c r="BA31" i="93"/>
  <c r="AQ29" i="93"/>
  <c r="AY29" i="93" s="1"/>
  <c r="AZ29" i="93"/>
  <c r="AZ33" i="93"/>
  <c r="BA23" i="93"/>
  <c r="AQ33" i="93"/>
  <c r="AY33" i="93" s="1"/>
  <c r="BA33" i="93"/>
  <c r="AZ14" i="93"/>
  <c r="BA16" i="93"/>
  <c r="BA9" i="93"/>
  <c r="BA5" i="93"/>
  <c r="BA7" i="93"/>
  <c r="AZ22" i="93"/>
  <c r="AZ19" i="93"/>
  <c r="AQ15" i="93"/>
  <c r="AQ21" i="93"/>
  <c r="AY21" i="93" s="1"/>
  <c r="AQ19" i="93"/>
  <c r="AY19" i="93" s="1"/>
  <c r="AQ22" i="93"/>
  <c r="AY22" i="93" s="1"/>
  <c r="AQ14" i="93"/>
  <c r="AY14" i="93" s="1"/>
  <c r="AQ6" i="93"/>
  <c r="AY6" i="93" s="1"/>
  <c r="AZ6" i="93"/>
  <c r="AW15" i="93"/>
  <c r="AX15" i="93" s="1"/>
  <c r="AR15" i="93" s="1"/>
  <c r="AZ21" i="93"/>
  <c r="AZ13" i="93"/>
  <c r="AQ13" i="93"/>
  <c r="AY13" i="93" s="1"/>
  <c r="BA29" i="93" l="1"/>
  <c r="BA6" i="93"/>
  <c r="BA27" i="93"/>
  <c r="BA19" i="93"/>
  <c r="BA17" i="93"/>
  <c r="AY17" i="93"/>
  <c r="BA13" i="93"/>
  <c r="BA22" i="93"/>
  <c r="AZ30" i="93"/>
  <c r="BA35" i="93"/>
  <c r="AZ35" i="93"/>
  <c r="BA30" i="93"/>
  <c r="BA14" i="93"/>
  <c r="BA21" i="93"/>
  <c r="AZ15" i="93"/>
  <c r="BA15" i="93"/>
  <c r="AY15" i="93"/>
  <c r="AY50" i="93" l="1"/>
  <c r="AZ50" i="93"/>
  <c r="BA50" i="93"/>
</calcChain>
</file>

<file path=xl/comments1.xml><?xml version="1.0" encoding="utf-8"?>
<comments xmlns="http://schemas.openxmlformats.org/spreadsheetml/2006/main">
  <authors>
    <author>Utilisateur Windows</author>
  </authors>
  <commentList>
    <comment ref="Z28" authorId="0" shapeId="0">
      <text>
        <r>
          <rPr>
            <sz val="9"/>
            <color indexed="81"/>
            <rFont val="Tahoma"/>
            <family val="2"/>
          </rPr>
          <t>29/12/2025</t>
        </r>
      </text>
    </comment>
    <comment ref="Z29" authorId="0" shapeId="0">
      <text>
        <r>
          <rPr>
            <sz val="9"/>
            <color indexed="81"/>
            <rFont val="Tahoma"/>
            <family val="2"/>
          </rPr>
          <t>30/12/2025</t>
        </r>
      </text>
    </comment>
    <comment ref="Z30" authorId="0" shapeId="0">
      <text>
        <r>
          <rPr>
            <sz val="9"/>
            <color indexed="81"/>
            <rFont val="Tahoma"/>
            <family val="2"/>
          </rPr>
          <t>31/12/2025</t>
        </r>
      </text>
    </comment>
    <comment ref="Z31" authorId="0" shapeId="0">
      <text>
        <r>
          <rPr>
            <sz val="9"/>
            <color indexed="81"/>
            <rFont val="Tahoma"/>
            <family val="2"/>
          </rPr>
          <t>01/01/2026</t>
        </r>
      </text>
    </comment>
    <comment ref="Z32" authorId="0" shapeId="0">
      <text>
        <r>
          <rPr>
            <sz val="9"/>
            <color indexed="81"/>
            <rFont val="Tahoma"/>
            <family val="2"/>
          </rPr>
          <t>02/01/2026</t>
        </r>
      </text>
    </comment>
    <comment ref="Z33" authorId="0" shapeId="0">
      <text>
        <r>
          <rPr>
            <sz val="9"/>
            <color indexed="81"/>
            <rFont val="Tahoma"/>
            <family val="2"/>
          </rPr>
          <t>03/01/2026</t>
        </r>
      </text>
    </comment>
    <comment ref="Z34" authorId="0" shapeId="0">
      <text>
        <r>
          <rPr>
            <sz val="9"/>
            <color indexed="81"/>
            <rFont val="Tahoma"/>
            <family val="2"/>
          </rPr>
          <t>04/01/2026</t>
        </r>
      </text>
    </comment>
    <comment ref="Z35" authorId="0" shapeId="0">
      <text>
        <r>
          <rPr>
            <sz val="9"/>
            <color indexed="81"/>
            <rFont val="Tahoma"/>
            <family val="2"/>
          </rPr>
          <t>05/01/2026</t>
        </r>
      </text>
    </comment>
    <comment ref="Z36" authorId="0" shapeId="0">
      <text>
        <r>
          <rPr>
            <sz val="9"/>
            <color indexed="81"/>
            <rFont val="Tahoma"/>
            <family val="2"/>
          </rPr>
          <t>06/01/2026</t>
        </r>
      </text>
    </comment>
    <comment ref="Z37" authorId="0" shapeId="0">
      <text>
        <r>
          <rPr>
            <sz val="9"/>
            <color indexed="81"/>
            <rFont val="Tahoma"/>
            <family val="2"/>
          </rPr>
          <t>07/01/2026</t>
        </r>
      </text>
    </comment>
    <comment ref="Z38" authorId="0" shapeId="0">
      <text>
        <r>
          <rPr>
            <sz val="9"/>
            <color indexed="81"/>
            <rFont val="Tahoma"/>
            <family val="2"/>
          </rPr>
          <t>08/01/2026</t>
        </r>
      </text>
    </comment>
    <comment ref="Z39" authorId="0" shapeId="0">
      <text>
        <r>
          <rPr>
            <sz val="9"/>
            <color indexed="81"/>
            <rFont val="Tahoma"/>
            <family val="2"/>
          </rPr>
          <t>09/01/2026</t>
        </r>
      </text>
    </comment>
    <comment ref="Z40" authorId="0" shapeId="0">
      <text>
        <r>
          <rPr>
            <sz val="9"/>
            <color indexed="81"/>
            <rFont val="Tahoma"/>
            <family val="2"/>
          </rPr>
          <t>10/01/2026</t>
        </r>
      </text>
    </comment>
    <comment ref="Z41" authorId="0" shapeId="0">
      <text>
        <r>
          <rPr>
            <sz val="9"/>
            <color indexed="81"/>
            <rFont val="Tahoma"/>
            <family val="2"/>
          </rPr>
          <t>11/01/2026</t>
        </r>
      </text>
    </comment>
    <comment ref="Z42" authorId="0" shapeId="0">
      <text>
        <r>
          <rPr>
            <sz val="9"/>
            <color indexed="81"/>
            <rFont val="Tahoma"/>
            <family val="2"/>
          </rPr>
          <t>12/01/2026</t>
        </r>
      </text>
    </comment>
    <comment ref="Z43" authorId="0" shapeId="0">
      <text>
        <r>
          <rPr>
            <sz val="9"/>
            <color indexed="81"/>
            <rFont val="Tahoma"/>
            <family val="2"/>
          </rPr>
          <t>13/01/2026</t>
        </r>
      </text>
    </comment>
    <comment ref="Z44" authorId="0" shapeId="0">
      <text>
        <r>
          <rPr>
            <sz val="9"/>
            <color indexed="81"/>
            <rFont val="Tahoma"/>
            <family val="2"/>
          </rPr>
          <t>14/01/2026</t>
        </r>
      </text>
    </comment>
    <comment ref="Z45" authorId="0" shapeId="0">
      <text>
        <r>
          <rPr>
            <sz val="9"/>
            <color indexed="81"/>
            <rFont val="Tahoma"/>
            <family val="2"/>
          </rPr>
          <t>15/01/2026</t>
        </r>
      </text>
    </comment>
    <comment ref="Z46" authorId="0" shapeId="0">
      <text>
        <r>
          <rPr>
            <sz val="9"/>
            <color indexed="81"/>
            <rFont val="Tahoma"/>
            <family val="2"/>
          </rPr>
          <t>16/01/2026</t>
        </r>
      </text>
    </comment>
    <comment ref="Z47" authorId="0" shapeId="0">
      <text>
        <r>
          <rPr>
            <sz val="9"/>
            <color indexed="81"/>
            <rFont val="Tahoma"/>
            <family val="2"/>
          </rPr>
          <t>17/01/2026</t>
        </r>
      </text>
    </comment>
    <comment ref="Z48" authorId="0" shapeId="0">
      <text>
        <r>
          <rPr>
            <sz val="9"/>
            <color indexed="81"/>
            <rFont val="Tahoma"/>
            <family val="2"/>
          </rPr>
          <t>18/01/2026</t>
        </r>
      </text>
    </comment>
    <comment ref="Z49" authorId="0" shapeId="0">
      <text>
        <r>
          <rPr>
            <sz val="9"/>
            <color indexed="81"/>
            <rFont val="Tahoma"/>
            <family val="2"/>
          </rPr>
          <t>19/01/2026</t>
        </r>
      </text>
    </comment>
    <comment ref="Z50" authorId="0" shapeId="0">
      <text>
        <r>
          <rPr>
            <sz val="9"/>
            <color indexed="81"/>
            <rFont val="Tahoma"/>
            <family val="2"/>
          </rPr>
          <t>20/01/2026</t>
        </r>
      </text>
    </comment>
    <comment ref="Z51" authorId="0" shapeId="0">
      <text>
        <r>
          <rPr>
            <sz val="9"/>
            <color indexed="81"/>
            <rFont val="Tahoma"/>
            <family val="2"/>
          </rPr>
          <t>21/01/2026</t>
        </r>
      </text>
    </comment>
    <comment ref="Z52" authorId="0" shapeId="0">
      <text>
        <r>
          <rPr>
            <sz val="9"/>
            <color indexed="81"/>
            <rFont val="Tahoma"/>
            <family val="2"/>
          </rPr>
          <t>22/01/2026</t>
        </r>
      </text>
    </comment>
    <comment ref="Z53" authorId="0" shapeId="0">
      <text>
        <r>
          <rPr>
            <sz val="9"/>
            <color indexed="81"/>
            <rFont val="Tahoma"/>
            <family val="2"/>
          </rPr>
          <t>23/01/2026</t>
        </r>
      </text>
    </comment>
    <comment ref="Z54" authorId="0" shapeId="0">
      <text>
        <r>
          <rPr>
            <sz val="9"/>
            <color indexed="81"/>
            <rFont val="Tahoma"/>
            <family val="2"/>
          </rPr>
          <t>24/01/2026</t>
        </r>
      </text>
    </comment>
    <comment ref="Z55" authorId="0" shapeId="0">
      <text>
        <r>
          <rPr>
            <sz val="9"/>
            <color indexed="81"/>
            <rFont val="Tahoma"/>
            <family val="2"/>
          </rPr>
          <t>25/01/2026</t>
        </r>
      </text>
    </comment>
  </commentList>
</comments>
</file>

<file path=xl/comments2.xml><?xml version="1.0" encoding="utf-8"?>
<comments xmlns="http://schemas.openxmlformats.org/spreadsheetml/2006/main">
  <authors>
    <author>PIERRE Olivier</author>
    <author>JLP</author>
  </authors>
  <commentList>
    <comment ref="AO3" authorId="0" shapeId="0">
      <text>
        <r>
          <rPr>
            <b/>
            <sz val="9"/>
            <color indexed="81"/>
            <rFont val="Tahoma"/>
            <family val="2"/>
          </rPr>
          <t>Pause repas = 1h
aucune = 0
11h / 14h = 1
18h30 / 22h = 6</t>
        </r>
      </text>
    </comment>
    <comment ref="AO4" authorId="0" shapeId="0">
      <text>
        <r>
          <rPr>
            <b/>
            <sz val="9"/>
            <color indexed="81"/>
            <rFont val="Tahoma"/>
            <family val="2"/>
          </rPr>
          <t>Pause repas entre 
Fin 1 et Début 2</t>
        </r>
      </text>
    </comment>
    <comment ref="AP4" authorId="0" shapeId="0">
      <text>
        <r>
          <rPr>
            <b/>
            <sz val="9"/>
            <color indexed="81"/>
            <rFont val="Tahoma"/>
            <family val="2"/>
          </rPr>
          <t>Pause repas entre 
Fin 2 et Début 3</t>
        </r>
      </text>
    </comment>
    <comment ref="AQ4" authorId="0" shapeId="0">
      <text>
        <r>
          <rPr>
            <b/>
            <sz val="9"/>
            <color indexed="81"/>
            <rFont val="Tahoma"/>
            <family val="2"/>
          </rPr>
          <t>Pause repas entre 
Fin 3 et Début 4</t>
        </r>
      </text>
    </comment>
    <comment ref="AR4" authorId="0" shapeId="0">
      <text>
        <r>
          <rPr>
            <b/>
            <sz val="9"/>
            <color indexed="81"/>
            <rFont val="Tahoma"/>
            <family val="2"/>
          </rPr>
          <t>Pause repas entre 
Fin 4 et Début 5</t>
        </r>
      </text>
    </comment>
    <comment ref="U50" authorId="1" shapeId="0">
      <text>
        <r>
          <rPr>
            <b/>
            <sz val="9"/>
            <color indexed="81"/>
            <rFont val="Tahoma"/>
            <family val="2"/>
          </rPr>
          <t>Ecart maximal entre
deux courses pour le
regroupement</t>
        </r>
      </text>
    </comment>
  </commentList>
</comments>
</file>

<file path=xl/sharedStrings.xml><?xml version="1.0" encoding="utf-8"?>
<sst xmlns="http://schemas.openxmlformats.org/spreadsheetml/2006/main" count="572" uniqueCount="344">
  <si>
    <t>Employé</t>
  </si>
  <si>
    <t>Code</t>
  </si>
  <si>
    <t>Date</t>
  </si>
  <si>
    <t>Heure</t>
  </si>
  <si>
    <t>Pause</t>
  </si>
  <si>
    <t>Bouton F1 :</t>
  </si>
  <si>
    <t>Bouton F2 :</t>
  </si>
  <si>
    <t>Bouton F3 :</t>
  </si>
  <si>
    <t>Bouton F4 :</t>
  </si>
  <si>
    <t>\n représente un retour à la ligne</t>
  </si>
  <si>
    <t>La couleur de remplissage de la cellule est la couleur attribuée au bouton</t>
  </si>
  <si>
    <t>Fct</t>
  </si>
  <si>
    <t>GPS</t>
  </si>
  <si>
    <t>Employé :</t>
  </si>
  <si>
    <t>Date :</t>
  </si>
  <si>
    <t>Entrée</t>
  </si>
  <si>
    <t>Sortie</t>
  </si>
  <si>
    <t>Créer un pointage:</t>
  </si>
  <si>
    <t>Fonction:</t>
  </si>
  <si>
    <t>Horaire:</t>
  </si>
  <si>
    <t>Raccourcis clavier :</t>
  </si>
  <si>
    <t>Supprimer pointage</t>
  </si>
  <si>
    <t>Alt + S</t>
  </si>
  <si>
    <t>Alt + D</t>
  </si>
  <si>
    <t>Créer pointage</t>
  </si>
  <si>
    <t>Alt + C</t>
  </si>
  <si>
    <t>(Dés)Activer pointage</t>
  </si>
  <si>
    <t>&lt;== NE PAS TOUCHER SANS AVOIR PRÉPARÉ LA BASE DE DONNÉE !!!</t>
  </si>
  <si>
    <t>Branche :</t>
  </si>
  <si>
    <t>App Version</t>
  </si>
  <si>
    <t>Version actuelle de l'application android:</t>
  </si>
  <si>
    <t>Ajouté par l'éditeur</t>
  </si>
  <si>
    <t>Demande de suppression en attente de validation</t>
  </si>
  <si>
    <t>Demande d'ajout en attente de validation</t>
  </si>
  <si>
    <t>Désactivé</t>
  </si>
  <si>
    <t>Contrôle des pointages :</t>
  </si>
  <si>
    <t>Déb/Fin Trav :</t>
  </si>
  <si>
    <t>Seules les couleurs sont modifiable</t>
  </si>
  <si>
    <t>Pause :</t>
  </si>
  <si>
    <t>sur ces deux boutons</t>
  </si>
  <si>
    <t>Pointage en attente de validation</t>
  </si>
  <si>
    <t>Telegram =&gt;</t>
  </si>
  <si>
    <t>Token:</t>
  </si>
  <si>
    <t>Destinataires</t>
  </si>
  <si>
    <t>Configuration:</t>
  </si>
  <si>
    <t>Développement</t>
  </si>
  <si>
    <t>TODO :</t>
  </si>
  <si>
    <t>Temps Partiel (x)</t>
  </si>
  <si>
    <t>Code Employé</t>
  </si>
  <si>
    <t>Pointage</t>
  </si>
  <si>
    <t>Alt + A</t>
  </si>
  <si>
    <t>Calendrier</t>
  </si>
  <si>
    <t>TRADUCTION HORAIRE</t>
  </si>
  <si>
    <t>Frais de déplacement</t>
  </si>
  <si>
    <t>Pauses repas</t>
  </si>
  <si>
    <t>Indemnités</t>
  </si>
  <si>
    <t>REPAS</t>
  </si>
  <si>
    <t>Début</t>
  </si>
  <si>
    <t>Fin</t>
  </si>
  <si>
    <t>1/2</t>
  </si>
  <si>
    <t>2/3</t>
  </si>
  <si>
    <t>3/4</t>
  </si>
  <si>
    <t>4/5</t>
  </si>
  <si>
    <t>AM</t>
  </si>
  <si>
    <t>Soir</t>
  </si>
  <si>
    <t>C.C.</t>
  </si>
  <si>
    <t>I.S.</t>
  </si>
  <si>
    <t>I.R.</t>
  </si>
  <si>
    <t>Total</t>
  </si>
  <si>
    <t>Dates</t>
  </si>
  <si>
    <t>11h</t>
  </si>
  <si>
    <t>14h30</t>
  </si>
  <si>
    <t>18h30</t>
  </si>
  <si>
    <t>22h</t>
  </si>
  <si>
    <t>Liste employés :</t>
  </si>
  <si>
    <t>Actualiser</t>
  </si>
  <si>
    <t>Afficher tous les pointages</t>
  </si>
  <si>
    <t>TRAVAIL EFFECTIF</t>
  </si>
  <si>
    <t>C.Pay</t>
  </si>
  <si>
    <t>Lundi</t>
  </si>
  <si>
    <t>Mardi</t>
  </si>
  <si>
    <t>Mercredi</t>
  </si>
  <si>
    <t>Jeudi</t>
  </si>
  <si>
    <t>Vendredi</t>
  </si>
  <si>
    <t>Samedi</t>
  </si>
  <si>
    <t>Dimanche</t>
  </si>
  <si>
    <t>Entreprise :</t>
  </si>
  <si>
    <t>Nom du salarié :</t>
  </si>
  <si>
    <t>J.férié / Rep. Divers</t>
  </si>
  <si>
    <t>Heure Prise de service</t>
  </si>
  <si>
    <t>Qualif Pause</t>
  </si>
  <si>
    <t>Heure fin de service</t>
  </si>
  <si>
    <t>Lieu</t>
  </si>
  <si>
    <r>
      <rPr>
        <b/>
        <i/>
        <sz val="9"/>
        <rFont val="Arial"/>
        <family val="2"/>
      </rPr>
      <t>PR</t>
    </r>
    <r>
      <rPr>
        <i/>
        <sz val="9"/>
        <rFont val="Arial"/>
        <family val="2"/>
      </rPr>
      <t xml:space="preserve"> &gt; Pause Repas - </t>
    </r>
    <r>
      <rPr>
        <b/>
        <i/>
        <sz val="9"/>
        <rFont val="Arial"/>
        <family val="2"/>
      </rPr>
      <t>PL</t>
    </r>
    <r>
      <rPr>
        <i/>
        <sz val="9"/>
        <rFont val="Arial"/>
        <family val="2"/>
      </rPr>
      <t xml:space="preserve"> &gt; Pause "légale" (minimum 20 mn) -</t>
    </r>
    <r>
      <rPr>
        <b/>
        <i/>
        <sz val="9"/>
        <rFont val="Arial"/>
        <family val="2"/>
      </rPr>
      <t xml:space="preserve"> Ind Rep</t>
    </r>
    <r>
      <rPr>
        <i/>
        <sz val="9"/>
        <rFont val="Arial"/>
        <family val="2"/>
      </rPr>
      <t xml:space="preserve"> &gt; Indemnité Repas</t>
    </r>
  </si>
  <si>
    <r>
      <rPr>
        <b/>
        <i/>
        <sz val="9"/>
        <rFont val="Arial"/>
        <family val="2"/>
      </rPr>
      <t>Repos</t>
    </r>
    <r>
      <rPr>
        <i/>
        <sz val="9"/>
        <rFont val="Arial"/>
        <family val="2"/>
      </rPr>
      <t xml:space="preserve"> &gt; repos hebdo. - </t>
    </r>
    <r>
      <rPr>
        <b/>
        <i/>
        <sz val="9"/>
        <rFont val="Arial"/>
        <family val="2"/>
      </rPr>
      <t>Rep.Eq</t>
    </r>
    <r>
      <rPr>
        <i/>
        <sz val="9"/>
        <rFont val="Arial"/>
        <family val="2"/>
      </rPr>
      <t xml:space="preserve"> &gt; Repos Equivalent (Hr.Supl.) - </t>
    </r>
    <r>
      <rPr>
        <b/>
        <i/>
        <sz val="9"/>
        <rFont val="Arial"/>
        <family val="2"/>
      </rPr>
      <t>C.Pay</t>
    </r>
    <r>
      <rPr>
        <i/>
        <sz val="9"/>
        <rFont val="Arial"/>
        <family val="2"/>
      </rPr>
      <t xml:space="preserve"> &gt; Congés Payés</t>
    </r>
  </si>
  <si>
    <t>Observations éventuelles à défaut d'autre moyen</t>
  </si>
  <si>
    <t>SIGNATURES</t>
  </si>
  <si>
    <t>Employeur</t>
  </si>
  <si>
    <t>Salarié</t>
  </si>
  <si>
    <t>Temps de travail non arrondi</t>
  </si>
  <si>
    <t>TTE / Jr</t>
  </si>
  <si>
    <t>TTE Hebdo</t>
  </si>
  <si>
    <t>Ampl / Jr</t>
  </si>
  <si>
    <t>Ampl Hebdo</t>
  </si>
  <si>
    <t>R.Heb</t>
  </si>
  <si>
    <t>Observations</t>
  </si>
  <si>
    <t>Autres</t>
  </si>
  <si>
    <t>- Contrôle de validité des observations</t>
  </si>
  <si>
    <t>Nom</t>
  </si>
  <si>
    <t>46.23285614859085, 1.4826128980639826</t>
  </si>
  <si>
    <t>Bureau</t>
  </si>
  <si>
    <t>CH Guéret</t>
  </si>
  <si>
    <t>MGEN Ste Feyre</t>
  </si>
  <si>
    <t>46.14013868413426, 1.8869415621329233</t>
  </si>
  <si>
    <t>CHU Limoges</t>
  </si>
  <si>
    <t>Cl Chénieux</t>
  </si>
  <si>
    <t>Cl Emailleurs</t>
  </si>
  <si>
    <t>45.81562710227935, 1.2255181095088743</t>
  </si>
  <si>
    <t>CH Chateauroux</t>
  </si>
  <si>
    <t>46.79842480902446, 1.6975370977510424</t>
  </si>
  <si>
    <t>Localisation</t>
  </si>
  <si>
    <t>TOTAL MOIS</t>
  </si>
  <si>
    <t>Précision (km)</t>
  </si>
  <si>
    <t>45.81480104706949, 1.2377474157138155</t>
  </si>
  <si>
    <t>45.81323562762661, 1.2845069859595228</t>
  </si>
  <si>
    <t>Limoges</t>
  </si>
  <si>
    <t>45.84302984316936, 1.2647604638193972</t>
  </si>
  <si>
    <t>46.23624300648508, 1.4901916896936207</t>
  </si>
  <si>
    <t>46.1707573558332, 1.8751925824527278</t>
  </si>
  <si>
    <t>Guéret</t>
  </si>
  <si>
    <t>46.163923022950286, 1.8697310588252858</t>
  </si>
  <si>
    <t>Paris</t>
  </si>
  <si>
    <t>48.86189519754428, 2.3415460616961217</t>
  </si>
  <si>
    <t>CH Necker Paris</t>
  </si>
  <si>
    <t>48.84494995512461, 2.3153032912655243</t>
  </si>
  <si>
    <t>Bourganeuf</t>
  </si>
  <si>
    <t>45.95487004437042, 1.7564605180073685</t>
  </si>
  <si>
    <t>-Fusion des data GPS à l'importation</t>
  </si>
  <si>
    <t>IR</t>
  </si>
  <si>
    <t>RELEVE HEBDOMADAIRE DES TEMPS DE TRAVAIL</t>
  </si>
  <si>
    <t>Signature employeur</t>
  </si>
  <si>
    <t>Signature Salarié</t>
  </si>
  <si>
    <t>Lun</t>
  </si>
  <si>
    <t>Mar</t>
  </si>
  <si>
    <t>Mer</t>
  </si>
  <si>
    <t>Jeu</t>
  </si>
  <si>
    <t>Ven</t>
  </si>
  <si>
    <t>Sam</t>
  </si>
  <si>
    <t>Dim</t>
  </si>
  <si>
    <t>Bourges</t>
  </si>
  <si>
    <t>47.0845128,2.4369835</t>
  </si>
  <si>
    <t>Châteauroux</t>
  </si>
  <si>
    <t>Semaine séléctionnée:</t>
  </si>
  <si>
    <t>La Souterraine</t>
  </si>
  <si>
    <t>46.23536000000001,1.532241666666667</t>
  </si>
  <si>
    <t>Amplit. Jour</t>
  </si>
  <si>
    <t>Tâches complément</t>
  </si>
  <si>
    <t>Type 1/2/3</t>
  </si>
  <si>
    <t>AMBULANCES PIERRE</t>
  </si>
  <si>
    <t>Avenant n°1 à l'accord du 16 juin 2016</t>
  </si>
  <si>
    <t>46.240006,1.5111769</t>
  </si>
  <si>
    <t>Route proche La Souterraine</t>
  </si>
  <si>
    <t>46.24245333333333,1.4709983333333332</t>
  </si>
  <si>
    <t>Route proche Saint-Agnant-de-Versillat</t>
  </si>
  <si>
    <t>46.26246666666666,1.52324</t>
  </si>
  <si>
    <t>Route proche Lizières</t>
  </si>
  <si>
    <t>46.23042166666667,1.5497549999999998</t>
  </si>
  <si>
    <t>46.2402038,1.5203172</t>
  </si>
  <si>
    <t>Saint-Priest la Feuille</t>
  </si>
  <si>
    <t>46.1981156,1.536377</t>
  </si>
  <si>
    <t>Route proche Bessines-sur-Gartempe</t>
  </si>
  <si>
    <t>46.0874613,1.3601469</t>
  </si>
  <si>
    <t>46.2369,1.528315</t>
  </si>
  <si>
    <t>45.8138052,1.2363445</t>
  </si>
  <si>
    <t>46.2267283,1.4754314</t>
  </si>
  <si>
    <t>Bessines-sur-Gartempe</t>
  </si>
  <si>
    <t>46.1323054,1.371249</t>
  </si>
  <si>
    <t>Châteauponsac</t>
  </si>
  <si>
    <t>46.1373631,1.2746129</t>
  </si>
  <si>
    <t>Route proche Bénévent-l'Abbaye</t>
  </si>
  <si>
    <t>46.1188289,1.6271273</t>
  </si>
  <si>
    <t>Fursac</t>
  </si>
  <si>
    <t>46.1462204,1.5150072</t>
  </si>
  <si>
    <t>46.10919833333334,1.653903333333333</t>
  </si>
  <si>
    <t>46.2078623,1.4813688</t>
  </si>
  <si>
    <t>Bénévent-l'Abbaye</t>
  </si>
  <si>
    <t>46.1160502,1.6203611</t>
  </si>
  <si>
    <t>Montaigut-le-Blanc</t>
  </si>
  <si>
    <t>46.1212981,1.7347924</t>
  </si>
  <si>
    <t>Route proche Saint-Priest-la-Feuille</t>
  </si>
  <si>
    <t>46.1772614,1.5753145</t>
  </si>
  <si>
    <t>Route proche Marsac</t>
  </si>
  <si>
    <t>46.09409,1.5871075</t>
  </si>
  <si>
    <t>Route proche Le Grand-Bourg</t>
  </si>
  <si>
    <t>46.178455,1.65098</t>
  </si>
  <si>
    <t>46.122749999999996,1.5946916666666666</t>
  </si>
  <si>
    <t>Route proche Fursac</t>
  </si>
  <si>
    <t>46.15766166666667,1.503201666666667</t>
  </si>
  <si>
    <t>Beaumont</t>
  </si>
  <si>
    <t>45.7597376,3.0918344</t>
  </si>
  <si>
    <t>46.222635000000004,1.4870583333333334</t>
  </si>
  <si>
    <t>45.89512,1.281855</t>
  </si>
  <si>
    <t>46.8153222,1.6968789</t>
  </si>
  <si>
    <t>46.11058,1.3718016666666666</t>
  </si>
  <si>
    <t>46.1501055,1.5105005</t>
  </si>
  <si>
    <t>46.1682657,1.6414338</t>
  </si>
  <si>
    <t>46.129511666666666,1.5754933333333332</t>
  </si>
  <si>
    <t>Route proche Saint-Silvain-Montaigut</t>
  </si>
  <si>
    <t>46.136070000000004,1.7607416666666666</t>
  </si>
  <si>
    <t>46.12307666666667,1.5884516666666664</t>
  </si>
  <si>
    <t>46.1226776,1.6336749</t>
  </si>
  <si>
    <t>Saint-Silvain-Montaigut</t>
  </si>
  <si>
    <t>46.1389054,1.7655407</t>
  </si>
  <si>
    <t>46.1469059,1.5189311</t>
  </si>
  <si>
    <t>Le Grand-Bourg</t>
  </si>
  <si>
    <t>46.1635135,1.6426256</t>
  </si>
  <si>
    <t>46.257295000000006,1.5175316666666665</t>
  </si>
  <si>
    <t>Saint-Agnant-de-Versillat</t>
  </si>
  <si>
    <t>46.2741757,1.5091615</t>
  </si>
  <si>
    <t>46.248070000000006,1.5003183333333334</t>
  </si>
  <si>
    <t>Route proche Vareilles</t>
  </si>
  <si>
    <t>46.298534999999994,1.4628533333333333</t>
  </si>
  <si>
    <t>Noth</t>
  </si>
  <si>
    <t>46.2361381,1.5613223</t>
  </si>
  <si>
    <t>Route proche Saint-Maurice-la-Souterraine</t>
  </si>
  <si>
    <t>46.2262638,1.4650029</t>
  </si>
  <si>
    <t>46.1473712,1.5979496</t>
  </si>
  <si>
    <t>46.0936696,1.5958984</t>
  </si>
  <si>
    <t>Route proche Montaigut-le-Blanc</t>
  </si>
  <si>
    <t>46.131885,1.7566983333333335</t>
  </si>
  <si>
    <t>46.118195,1.6345933333333336</t>
  </si>
  <si>
    <t>46.12325333333333,1.614901666666667</t>
  </si>
  <si>
    <t>46.13565333333333,1.5592683333333333</t>
  </si>
  <si>
    <t>46.1591003,1.4807582</t>
  </si>
  <si>
    <t>45.8142124,1.2251919</t>
  </si>
  <si>
    <t>Saint-Maurice-la-Souterraine</t>
  </si>
  <si>
    <t>46.2119228,1.428949</t>
  </si>
  <si>
    <t>46.2310601,1.5103611</t>
  </si>
  <si>
    <t>Route proche Razès</t>
  </si>
  <si>
    <t>46.064218,1.35873</t>
  </si>
  <si>
    <t>46.217295,1.4284850000000002</t>
  </si>
  <si>
    <t>46.21543666666666,1.4130083333333334</t>
  </si>
  <si>
    <t>46.2215239,1.5660984</t>
  </si>
  <si>
    <t>46.2306779,1.5166542</t>
  </si>
  <si>
    <t>46.1935184,1.4590062</t>
  </si>
  <si>
    <t>46.2036775,1.4537681</t>
  </si>
  <si>
    <t>45.8113856,1.2339876</t>
  </si>
  <si>
    <t>Permanences</t>
  </si>
  <si>
    <t>46.2436301,1.521899</t>
  </si>
  <si>
    <t>Route proche Arnac-la-Poste</t>
  </si>
  <si>
    <t>46.25255833333334,1.3831016666666667</t>
  </si>
  <si>
    <t>Lyon</t>
  </si>
  <si>
    <t>45.7460431,4.8481145</t>
  </si>
  <si>
    <t>Cumul hebdo.</t>
  </si>
  <si>
    <t>F1</t>
  </si>
  <si>
    <t>F2</t>
  </si>
  <si>
    <t>F3</t>
  </si>
  <si>
    <t>F4</t>
  </si>
  <si>
    <t>IHM Datas</t>
  </si>
  <si>
    <t>Exported_To</t>
  </si>
  <si>
    <t>Default_Printer</t>
  </si>
  <si>
    <t>Selected_User</t>
  </si>
  <si>
    <t>Selected_Week</t>
  </si>
  <si>
    <t>Route proche Saint-Cyprien</t>
  </si>
  <si>
    <t>44.8664055,1.0435022</t>
  </si>
  <si>
    <t>Saint-Cyprien</t>
  </si>
  <si>
    <t>44.8634416,1.04124</t>
  </si>
  <si>
    <t xml:space="preserve"> </t>
  </si>
  <si>
    <t>45.8142261,1.2833255</t>
  </si>
  <si>
    <t>Route proche Limoges</t>
  </si>
  <si>
    <t>45.818025000000006,1.28977</t>
  </si>
  <si>
    <t>TC</t>
  </si>
  <si>
    <t xml:space="preserve">  </t>
  </si>
  <si>
    <t>46.20863333333333,1.398555</t>
  </si>
  <si>
    <t xml:space="preserve">   </t>
  </si>
  <si>
    <t>Route proche Guéret</t>
  </si>
  <si>
    <t>46.18942833333334,1.8962350000000001</t>
  </si>
  <si>
    <t>46.22069499999999,1.491005</t>
  </si>
  <si>
    <t>Route proche Fromental</t>
  </si>
  <si>
    <t>46.175505,1.4359808</t>
  </si>
  <si>
    <t>46.111689999999996,1.6560566666666667</t>
  </si>
  <si>
    <t>46.1552709,1.6441576</t>
  </si>
  <si>
    <t>Route proche Saint-Sulpice-le-Guérétois</t>
  </si>
  <si>
    <t>46.17148666666667,1.8209133333333332</t>
  </si>
  <si>
    <t>46.1461986,1.7400523</t>
  </si>
  <si>
    <t>46.14324333333334,1.6425966666666667</t>
  </si>
  <si>
    <t>Route proche Laurière</t>
  </si>
  <si>
    <t>46.0762164,1.4736524</t>
  </si>
  <si>
    <t>46.17592166666667,1.4989133333333333</t>
  </si>
  <si>
    <t>46.118358333333326,1.6669983333333334</t>
  </si>
  <si>
    <t>46.1419497,1.5178253</t>
  </si>
  <si>
    <t>46.25422333333333,1.5334400000000001</t>
  </si>
  <si>
    <t>46.239124999999994,1.5249500000000002</t>
  </si>
  <si>
    <t>46.23429833333333,1.54276</t>
  </si>
  <si>
    <t>46.257705,1.5408133333333334</t>
  </si>
  <si>
    <t>46.120155000000004,1.6781700000000002</t>
  </si>
  <si>
    <t>46.09764666666667,1.5883033333333336</t>
  </si>
  <si>
    <t>FEUILLE DE ROUTE HEBDOMADAIRE - TRANSPORT SANITAIRE</t>
  </si>
  <si>
    <t>Preview</t>
  </si>
  <si>
    <t>46.12378999999999,1.6070066666666667</t>
  </si>
  <si>
    <t>Route proche Saint-Priest-la-Plaine</t>
  </si>
  <si>
    <t>46.2091427,1.6257488</t>
  </si>
  <si>
    <t>Route proche La Brionne</t>
  </si>
  <si>
    <t>46.167026666666665,1.7987083333333336</t>
  </si>
  <si>
    <t>46.1536451,1.5075224</t>
  </si>
  <si>
    <t>Saint-Léger-le-Guérétois</t>
  </si>
  <si>
    <t>46.151914,1.8145316</t>
  </si>
  <si>
    <t>46.11164999999999,1.64289</t>
  </si>
  <si>
    <t>46.2173014,1.4816641</t>
  </si>
  <si>
    <t>Route proche Saint-Vaury</t>
  </si>
  <si>
    <t>46.19802500000001,1.76052</t>
  </si>
  <si>
    <t>46.17310666666667,1.8302683333333334</t>
  </si>
  <si>
    <t>46.15732333333334,1.4990983333333332</t>
  </si>
  <si>
    <t>46.121390000000005,1.624906666666667</t>
  </si>
  <si>
    <t>46.2122279,1.4940162</t>
  </si>
  <si>
    <t>$O$9</t>
  </si>
  <si>
    <t>2026.1.0</t>
  </si>
  <si>
    <t>Semaine n° 2 du 05/01/2026 au 11/01/2026</t>
  </si>
  <si>
    <t>Microsoft Print to PDF sur Ne02:</t>
  </si>
  <si>
    <t>BRESSY Jean-Paul</t>
  </si>
  <si>
    <t>PR</t>
  </si>
  <si>
    <t>DOM</t>
  </si>
  <si>
    <t>46.2152198,1.4253921</t>
  </si>
  <si>
    <t>Route proche Noth</t>
  </si>
  <si>
    <t>46.2348541,1.5873887</t>
  </si>
  <si>
    <t>46.24102166666667,1.5159083333333334</t>
  </si>
  <si>
    <t>Route proche Saint-Léger-le-Guérétois</t>
  </si>
  <si>
    <t>46.1698129,1.8022587</t>
  </si>
  <si>
    <t>46.23941333333334,1.5364149999999999</t>
  </si>
  <si>
    <t>46.22509333333334,1.461361666666667</t>
  </si>
  <si>
    <t>46.198519999999995,1.4990283333333334</t>
  </si>
  <si>
    <t>46.17052,1.8382533333333333</t>
  </si>
  <si>
    <t>46.13456166666666,1.6339849999999998</t>
  </si>
  <si>
    <t>46.11532999999999,1.6389316666666667</t>
  </si>
  <si>
    <t>46.10916333333333,1.6098166666666667</t>
  </si>
  <si>
    <t>46.106948333333335,1.651125</t>
  </si>
  <si>
    <t>46.186681666666665,1.4807533333333334</t>
  </si>
  <si>
    <t>46.171519999999994,1.8057083333333335</t>
  </si>
  <si>
    <t>46.129396666666665,1.6329999999999998</t>
  </si>
  <si>
    <t>Microsoft Print to PDF sur Ne03:</t>
  </si>
  <si>
    <t>Janvier</t>
  </si>
  <si>
    <t>n° 1 du 29/12/2025 au 04/01/2026</t>
  </si>
  <si>
    <t>OLIVIER</t>
  </si>
  <si>
    <t>SÉBASTIEN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</si>
</sst>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h:mm;@"/>
    <numFmt numFmtId="165" formatCode="[hh]:mm"/>
    <numFmt numFmtId="166" formatCode="hh&quot;h&quot;mm"/>
    <numFmt numFmtId="167" formatCode="[hh]&quot;h&quot;mm"/>
  </numFmts>
  <fonts count="38" x14ac:knownFonts="1">
    <font>
      <sz val="11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name val="Calibri"/>
      <family val="2"/>
      <scheme val="minor"/>
    </font>
    <font>
      <b/>
      <sz val="12"/>
      <color rgb="FFC0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name val="Arial"/>
      <family val="2"/>
    </font>
    <font>
      <b/>
      <sz val="9"/>
      <color indexed="81"/>
      <name val="Tahoma"/>
      <family val="2"/>
    </font>
    <font>
      <b/>
      <sz val="12"/>
      <color theme="1"/>
      <name val="Calibri"/>
      <family val="2"/>
      <scheme val="minor"/>
    </font>
    <font>
      <b/>
      <sz val="11"/>
      <color theme="1"/>
      <name val="Arial"/>
      <family val="2"/>
    </font>
    <font>
      <u/>
      <sz val="11"/>
      <color theme="1"/>
      <name val="Calibri"/>
      <family val="2"/>
      <scheme val="minor"/>
    </font>
    <font>
      <sz val="10"/>
      <name val="Arial"/>
      <family val="2"/>
    </font>
    <font>
      <sz val="10"/>
      <color indexed="9"/>
      <name val="Arial"/>
      <family val="2"/>
    </font>
    <font>
      <b/>
      <sz val="10"/>
      <color indexed="9"/>
      <name val="Arial"/>
      <family val="2"/>
    </font>
    <font>
      <sz val="10"/>
      <color rgb="FF000000"/>
      <name val="Arial"/>
      <family val="2"/>
    </font>
    <font>
      <sz val="10"/>
      <color theme="0"/>
      <name val="Arial"/>
      <family val="2"/>
    </font>
    <font>
      <sz val="8"/>
      <name val="Arial"/>
      <family val="2"/>
    </font>
    <font>
      <sz val="9"/>
      <name val="Arial"/>
      <family val="2"/>
    </font>
    <font>
      <i/>
      <sz val="9"/>
      <name val="Arial"/>
      <family val="2"/>
    </font>
    <font>
      <b/>
      <i/>
      <sz val="9"/>
      <name val="Arial"/>
      <family val="2"/>
    </font>
    <font>
      <b/>
      <sz val="13"/>
      <color theme="1"/>
      <name val="Calibri"/>
      <family val="2"/>
      <scheme val="minor"/>
    </font>
    <font>
      <u/>
      <sz val="11"/>
      <name val="Calibri"/>
      <family val="2"/>
      <scheme val="minor"/>
    </font>
    <font>
      <b/>
      <sz val="10"/>
      <color theme="1"/>
      <name val="Arial"/>
      <family val="2"/>
    </font>
    <font>
      <b/>
      <sz val="11"/>
      <name val="Arial"/>
      <family val="2"/>
    </font>
    <font>
      <b/>
      <sz val="11"/>
      <name val="Calibri"/>
      <family val="2"/>
      <scheme val="minor"/>
    </font>
    <font>
      <b/>
      <sz val="10"/>
      <name val="Calibri"/>
      <family val="2"/>
      <scheme val="minor"/>
    </font>
    <font>
      <sz val="15"/>
      <name val="Arial"/>
      <family val="2"/>
    </font>
    <font>
      <sz val="12"/>
      <name val="Arial"/>
      <family val="2"/>
    </font>
    <font>
      <b/>
      <sz val="14"/>
      <name val="Arial"/>
      <family val="2"/>
    </font>
    <font>
      <b/>
      <sz val="12"/>
      <name val="Arial"/>
      <family val="2"/>
    </font>
    <font>
      <b/>
      <sz val="10"/>
      <color theme="0"/>
      <name val="Arial"/>
      <family val="2"/>
    </font>
    <font>
      <sz val="16"/>
      <name val="Arial"/>
      <family val="2"/>
    </font>
    <font>
      <sz val="12"/>
      <color theme="1"/>
      <name val="Arial"/>
      <family val="2"/>
    </font>
    <font>
      <b/>
      <sz val="13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9"/>
      <color indexed="81"/>
      <name val="Tahoma"/>
      <family val="2"/>
    </font>
  </fonts>
  <fills count="21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8CFFFF"/>
        <bgColor indexed="64"/>
      </patternFill>
    </fill>
    <fill>
      <patternFill patternType="solid">
        <fgColor rgb="FFFFC90E"/>
        <bgColor indexed="64"/>
      </patternFill>
    </fill>
    <fill>
      <patternFill patternType="solid">
        <fgColor rgb="FFFF6A6A"/>
        <bgColor indexed="64"/>
      </patternFill>
    </fill>
    <fill>
      <patternFill patternType="solid">
        <fgColor rgb="FFFFAA55"/>
        <bgColor indexed="64"/>
      </patternFill>
    </fill>
    <fill>
      <patternFill patternType="solid">
        <fgColor rgb="FF5C5C5C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rgb="FFD1FEC6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1D1D1"/>
        <bgColor indexed="64"/>
      </patternFill>
    </fill>
    <fill>
      <patternFill patternType="darkGrid"/>
    </fill>
    <fill>
      <patternFill patternType="solid">
        <fgColor theme="2" tint="-9.9948118533890809E-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DF0FF"/>
        <bgColor indexed="64"/>
      </patternFill>
    </fill>
    <fill>
      <patternFill patternType="solid">
        <fgColor rgb="FF0000EE"/>
        <bgColor indexed="64"/>
      </patternFill>
    </fill>
  </fills>
  <borders count="216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dashed">
        <color auto="1"/>
      </bottom>
      <diagonal/>
    </border>
    <border>
      <left style="medium">
        <color auto="1"/>
      </left>
      <right style="medium">
        <color auto="1"/>
      </right>
      <top style="dashed">
        <color auto="1"/>
      </top>
      <bottom style="dashed">
        <color auto="1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double">
        <color indexed="64"/>
      </top>
      <bottom style="medium">
        <color indexed="64"/>
      </bottom>
      <diagonal/>
    </border>
    <border>
      <left style="thin">
        <color indexed="64"/>
      </left>
      <right/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ck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ck">
        <color auto="1"/>
      </bottom>
      <diagonal/>
    </border>
    <border>
      <left style="thin">
        <color auto="1"/>
      </left>
      <right style="thin">
        <color auto="1"/>
      </right>
      <top/>
      <bottom style="thick">
        <color auto="1"/>
      </bottom>
      <diagonal/>
    </border>
    <border>
      <left style="thin">
        <color auto="1"/>
      </left>
      <right/>
      <top/>
      <bottom style="thick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indexed="64"/>
      </left>
      <right/>
      <top style="medium">
        <color auto="1"/>
      </top>
      <bottom style="medium">
        <color indexed="64"/>
      </bottom>
      <diagonal/>
    </border>
    <border>
      <left style="medium">
        <color indexed="8"/>
      </left>
      <right style="dashed">
        <color auto="1"/>
      </right>
      <top style="thick">
        <color indexed="8"/>
      </top>
      <bottom style="thin">
        <color indexed="8"/>
      </bottom>
      <diagonal/>
    </border>
    <border>
      <left style="dashed">
        <color auto="1"/>
      </left>
      <right style="dashed">
        <color auto="1"/>
      </right>
      <top style="thick">
        <color indexed="8"/>
      </top>
      <bottom style="thin">
        <color indexed="8"/>
      </bottom>
      <diagonal/>
    </border>
    <border>
      <left style="dashed">
        <color auto="1"/>
      </left>
      <right style="medium">
        <color indexed="8"/>
      </right>
      <top style="thick">
        <color indexed="8"/>
      </top>
      <bottom style="thin">
        <color indexed="8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auto="1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medium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medium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medium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medium">
        <color rgb="FF000000"/>
      </right>
      <top style="hair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hair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hair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hair">
        <color rgb="FF000000"/>
      </bottom>
      <diagonal/>
    </border>
    <border>
      <left style="medium">
        <color rgb="FF000000"/>
      </left>
      <right style="thin">
        <color rgb="FF000000"/>
      </right>
      <top style="hair">
        <color rgb="FF000000"/>
      </top>
      <bottom/>
      <diagonal/>
    </border>
    <border>
      <left style="medium">
        <color rgb="FF000000"/>
      </left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medium">
        <color rgb="FF000000"/>
      </right>
      <top style="hair">
        <color rgb="FF000000"/>
      </top>
      <bottom/>
      <diagonal/>
    </border>
    <border>
      <left style="thin">
        <color rgb="FF000000"/>
      </left>
      <right style="medium">
        <color rgb="FF000000"/>
      </right>
      <top/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hair">
        <color rgb="FF000000"/>
      </top>
      <bottom style="hair">
        <color rgb="FF000000"/>
      </bottom>
      <diagonal/>
    </border>
    <border>
      <left style="medium">
        <color rgb="FF000000"/>
      </left>
      <right style="medium">
        <color rgb="FF000000"/>
      </right>
      <top style="hair">
        <color rgb="FF000000"/>
      </top>
      <bottom/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hair">
        <color rgb="FF000000"/>
      </bottom>
      <diagonal/>
    </border>
    <border>
      <left style="medium">
        <color rgb="FF000000"/>
      </left>
      <right style="medium">
        <color rgb="FF000000"/>
      </right>
      <top style="hair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hair">
        <color rgb="FF000000"/>
      </bottom>
      <diagonal/>
    </border>
    <border>
      <left style="medium">
        <color rgb="FF000000"/>
      </left>
      <right style="medium">
        <color rgb="FF000000"/>
      </right>
      <top style="hair">
        <color rgb="FF000000"/>
      </top>
      <bottom style="medium">
        <color rgb="FF000000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dashed">
        <color indexed="64"/>
      </bottom>
      <diagonal/>
    </border>
    <border>
      <left style="medium">
        <color auto="1"/>
      </left>
      <right/>
      <top style="dashed">
        <color indexed="64"/>
      </top>
      <bottom style="dashed">
        <color indexed="64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hair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hair">
        <color rgb="FF000000"/>
      </bottom>
      <diagonal/>
    </border>
    <border>
      <left style="thin">
        <color rgb="FF000000"/>
      </left>
      <right/>
      <top style="medium">
        <color rgb="FF000000"/>
      </top>
      <bottom style="hair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hair">
        <color rgb="FF000000"/>
      </bottom>
      <diagonal/>
    </border>
    <border>
      <left style="medium">
        <color auto="1"/>
      </left>
      <right/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 style="thin">
        <color indexed="64"/>
      </top>
      <bottom style="thin">
        <color indexed="64"/>
      </bottom>
      <diagonal/>
    </border>
    <border>
      <left/>
      <right style="medium">
        <color auto="1"/>
      </right>
      <top/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/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auto="1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auto="1"/>
      </bottom>
      <diagonal/>
    </border>
    <border>
      <left style="medium">
        <color rgb="FF000000"/>
      </left>
      <right style="thin">
        <color rgb="FF000000"/>
      </right>
      <top style="thin">
        <color auto="1"/>
      </top>
      <bottom style="hair">
        <color rgb="FF000000"/>
      </bottom>
      <diagonal/>
    </border>
    <border>
      <left style="medium">
        <color rgb="FF000000"/>
      </left>
      <right style="thin">
        <color rgb="FF000000"/>
      </right>
      <top style="hair">
        <color rgb="FF000000"/>
      </top>
      <bottom style="thin">
        <color auto="1"/>
      </bottom>
      <diagonal/>
    </border>
    <border>
      <left style="thin">
        <color rgb="FF000000"/>
      </left>
      <right style="medium">
        <color rgb="FF000000"/>
      </right>
      <top style="thin">
        <color auto="1"/>
      </top>
      <bottom style="hair">
        <color rgb="FF000000"/>
      </bottom>
      <diagonal/>
    </border>
    <border>
      <left style="thin">
        <color rgb="FF000000"/>
      </left>
      <right style="medium">
        <color rgb="FF000000"/>
      </right>
      <top style="hair">
        <color rgb="FF000000"/>
      </top>
      <bottom style="thin">
        <color auto="1"/>
      </bottom>
      <diagonal/>
    </border>
    <border>
      <left style="thin">
        <color rgb="FF000000"/>
      </left>
      <right/>
      <top style="thin">
        <color auto="1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auto="1"/>
      </bottom>
      <diagonal/>
    </border>
    <border>
      <left/>
      <right style="thin">
        <color rgb="FF000000"/>
      </right>
      <top style="thin">
        <color auto="1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auto="1"/>
      </bottom>
      <diagonal/>
    </border>
    <border>
      <left style="medium">
        <color indexed="8"/>
      </left>
      <right style="dashed">
        <color auto="1"/>
      </right>
      <top style="thin">
        <color indexed="8"/>
      </top>
      <bottom style="thin">
        <color indexed="8"/>
      </bottom>
      <diagonal/>
    </border>
    <border>
      <left style="dashed">
        <color auto="1"/>
      </left>
      <right style="dashed">
        <color auto="1"/>
      </right>
      <top style="thin">
        <color indexed="8"/>
      </top>
      <bottom style="thin">
        <color indexed="8"/>
      </bottom>
      <diagonal/>
    </border>
    <border>
      <left style="dashed">
        <color auto="1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dashed">
        <color auto="1"/>
      </right>
      <top style="thin">
        <color indexed="8"/>
      </top>
      <bottom style="medium">
        <color indexed="8"/>
      </bottom>
      <diagonal/>
    </border>
    <border>
      <left style="dashed">
        <color auto="1"/>
      </left>
      <right style="dashed">
        <color auto="1"/>
      </right>
      <top style="thin">
        <color indexed="8"/>
      </top>
      <bottom style="medium">
        <color indexed="8"/>
      </bottom>
      <diagonal/>
    </border>
    <border>
      <left style="dashed">
        <color auto="1"/>
      </left>
      <right style="medium">
        <color indexed="8"/>
      </right>
      <top style="thin">
        <color indexed="8"/>
      </top>
      <bottom style="medium">
        <color indexed="8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 style="thin">
        <color rgb="FF000000"/>
      </right>
      <top style="medium">
        <color auto="1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auto="1"/>
      </top>
      <bottom style="hair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auto="1"/>
      </top>
      <bottom style="hair">
        <color rgb="FF000000"/>
      </bottom>
      <diagonal/>
    </border>
    <border>
      <left style="thin">
        <color rgb="FF000000"/>
      </left>
      <right/>
      <top style="medium">
        <color auto="1"/>
      </top>
      <bottom style="hair">
        <color rgb="FF000000"/>
      </bottom>
      <diagonal/>
    </border>
    <border>
      <left/>
      <right style="thin">
        <color rgb="FF000000"/>
      </right>
      <top style="medium">
        <color auto="1"/>
      </top>
      <bottom style="hair">
        <color rgb="FF000000"/>
      </bottom>
      <diagonal/>
    </border>
  </borders>
  <cellStyleXfs count="2">
    <xf numFmtId="0" fontId="0" fillId="0" borderId="0"/>
    <xf numFmtId="0" fontId="13" fillId="0" borderId="0"/>
  </cellStyleXfs>
  <cellXfs count="664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0" borderId="0" xfId="0" applyFont="1"/>
    <xf numFmtId="0" fontId="2" fillId="0" borderId="0" xfId="0" applyFont="1"/>
    <xf numFmtId="0" fontId="0" fillId="0" borderId="1" xfId="0" applyBorder="1"/>
    <xf numFmtId="0" fontId="0" fillId="0" borderId="6" xfId="0" applyBorder="1"/>
    <xf numFmtId="0" fontId="0" fillId="0" borderId="8" xfId="0" applyBorder="1"/>
    <xf numFmtId="0" fontId="0" fillId="0" borderId="7" xfId="0" applyBorder="1"/>
    <xf numFmtId="49" fontId="0" fillId="0" borderId="12" xfId="0" applyNumberFormat="1" applyBorder="1"/>
    <xf numFmtId="14" fontId="0" fillId="0" borderId="15" xfId="0" applyNumberFormat="1" applyBorder="1"/>
    <xf numFmtId="20" fontId="0" fillId="0" borderId="15" xfId="0" applyNumberFormat="1" applyBorder="1"/>
    <xf numFmtId="49" fontId="0" fillId="0" borderId="13" xfId="0" applyNumberFormat="1" applyBorder="1"/>
    <xf numFmtId="14" fontId="0" fillId="0" borderId="14" xfId="0" applyNumberFormat="1" applyBorder="1"/>
    <xf numFmtId="20" fontId="0" fillId="0" borderId="14" xfId="0" applyNumberFormat="1" applyBorder="1"/>
    <xf numFmtId="49" fontId="0" fillId="0" borderId="9" xfId="0" applyNumberFormat="1" applyBorder="1"/>
    <xf numFmtId="0" fontId="0" fillId="0" borderId="2" xfId="0" applyBorder="1"/>
    <xf numFmtId="20" fontId="0" fillId="0" borderId="8" xfId="0" applyNumberFormat="1" applyBorder="1" applyAlignment="1">
      <alignment horizontal="center"/>
    </xf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3" fillId="0" borderId="0" xfId="0" applyFont="1" applyFill="1"/>
    <xf numFmtId="0" fontId="0" fillId="0" borderId="0" xfId="0"/>
    <xf numFmtId="0" fontId="4" fillId="0" borderId="0" xfId="0" applyFont="1"/>
    <xf numFmtId="0" fontId="0" fillId="0" borderId="0" xfId="0" applyAlignment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0" xfId="0" applyBorder="1"/>
    <xf numFmtId="0" fontId="0" fillId="0" borderId="1" xfId="0" quotePrefix="1" applyBorder="1"/>
    <xf numFmtId="0" fontId="0" fillId="0" borderId="0" xfId="0" quotePrefix="1" applyBorder="1"/>
    <xf numFmtId="0" fontId="0" fillId="0" borderId="21" xfId="0" applyBorder="1"/>
    <xf numFmtId="0" fontId="0" fillId="0" borderId="22" xfId="0" applyBorder="1"/>
    <xf numFmtId="0" fontId="0" fillId="0" borderId="17" xfId="0" applyBorder="1"/>
    <xf numFmtId="14" fontId="0" fillId="0" borderId="21" xfId="0" applyNumberFormat="1" applyBorder="1"/>
    <xf numFmtId="20" fontId="0" fillId="0" borderId="21" xfId="0" applyNumberFormat="1" applyBorder="1"/>
    <xf numFmtId="14" fontId="0" fillId="0" borderId="22" xfId="0" applyNumberFormat="1" applyBorder="1"/>
    <xf numFmtId="20" fontId="0" fillId="0" borderId="22" xfId="0" applyNumberFormat="1" applyBorder="1"/>
    <xf numFmtId="0" fontId="0" fillId="0" borderId="0" xfId="0" applyNumberFormat="1"/>
    <xf numFmtId="20" fontId="0" fillId="0" borderId="0" xfId="0" applyNumberFormat="1"/>
    <xf numFmtId="0" fontId="0" fillId="0" borderId="0" xfId="0" applyAlignment="1">
      <alignment horizontal="center"/>
    </xf>
    <xf numFmtId="0" fontId="0" fillId="0" borderId="0" xfId="0" applyFill="1"/>
    <xf numFmtId="0" fontId="8" fillId="0" borderId="0" xfId="0" applyFont="1" applyAlignment="1">
      <alignment horizontal="center"/>
    </xf>
    <xf numFmtId="19" fontId="8" fillId="0" borderId="0" xfId="0" applyNumberFormat="1" applyFont="1" applyAlignment="1">
      <alignment horizontal="center"/>
    </xf>
    <xf numFmtId="0" fontId="0" fillId="0" borderId="36" xfId="0" applyBorder="1" applyAlignment="1">
      <alignment horizontal="center"/>
    </xf>
    <xf numFmtId="0" fontId="0" fillId="0" borderId="37" xfId="0" applyBorder="1" applyAlignment="1">
      <alignment horizontal="center"/>
    </xf>
    <xf numFmtId="0" fontId="0" fillId="0" borderId="38" xfId="0" quotePrefix="1" applyBorder="1" applyAlignment="1">
      <alignment horizontal="center"/>
    </xf>
    <xf numFmtId="0" fontId="0" fillId="0" borderId="36" xfId="0" quotePrefix="1" applyBorder="1" applyAlignment="1">
      <alignment horizontal="center"/>
    </xf>
    <xf numFmtId="0" fontId="0" fillId="0" borderId="37" xfId="0" quotePrefix="1" applyBorder="1" applyAlignment="1">
      <alignment horizontal="center"/>
    </xf>
    <xf numFmtId="0" fontId="8" fillId="0" borderId="38" xfId="0" applyFont="1" applyBorder="1" applyAlignment="1">
      <alignment horizontal="center"/>
    </xf>
    <xf numFmtId="0" fontId="8" fillId="0" borderId="26" xfId="0" applyFont="1" applyBorder="1" applyAlignment="1">
      <alignment horizontal="center"/>
    </xf>
    <xf numFmtId="0" fontId="8" fillId="0" borderId="37" xfId="0" applyFont="1" applyBorder="1" applyAlignment="1">
      <alignment horizontal="center"/>
    </xf>
    <xf numFmtId="0" fontId="8" fillId="0" borderId="39" xfId="0" applyFont="1" applyBorder="1" applyAlignment="1">
      <alignment horizontal="center"/>
    </xf>
    <xf numFmtId="0" fontId="0" fillId="0" borderId="40" xfId="0" applyBorder="1" applyAlignment="1">
      <alignment horizontal="center"/>
    </xf>
    <xf numFmtId="164" fontId="0" fillId="0" borderId="41" xfId="0" applyNumberFormat="1" applyBorder="1" applyAlignment="1">
      <alignment horizontal="right"/>
    </xf>
    <xf numFmtId="164" fontId="0" fillId="0" borderId="42" xfId="0" applyNumberFormat="1" applyBorder="1" applyAlignment="1">
      <alignment horizontal="right"/>
    </xf>
    <xf numFmtId="164" fontId="0" fillId="0" borderId="43" xfId="0" applyNumberFormat="1" applyBorder="1" applyAlignment="1">
      <alignment horizontal="right"/>
    </xf>
    <xf numFmtId="164" fontId="0" fillId="0" borderId="44" xfId="0" applyNumberFormat="1" applyBorder="1" applyAlignment="1">
      <alignment horizontal="right"/>
    </xf>
    <xf numFmtId="164" fontId="0" fillId="0" borderId="45" xfId="0" applyNumberFormat="1" applyBorder="1" applyAlignment="1">
      <alignment horizontal="right"/>
    </xf>
    <xf numFmtId="0" fontId="0" fillId="0" borderId="46" xfId="0" applyBorder="1" applyAlignment="1">
      <alignment horizontal="right"/>
    </xf>
    <xf numFmtId="0" fontId="0" fillId="0" borderId="47" xfId="0" applyBorder="1" applyAlignment="1">
      <alignment horizontal="right"/>
    </xf>
    <xf numFmtId="0" fontId="0" fillId="0" borderId="48" xfId="0" applyBorder="1" applyAlignment="1">
      <alignment horizontal="right"/>
    </xf>
    <xf numFmtId="164" fontId="0" fillId="0" borderId="46" xfId="0" applyNumberFormat="1" applyBorder="1" applyAlignment="1">
      <alignment horizontal="right"/>
    </xf>
    <xf numFmtId="164" fontId="0" fillId="0" borderId="49" xfId="0" applyNumberFormat="1" applyBorder="1" applyAlignment="1">
      <alignment horizontal="right"/>
    </xf>
    <xf numFmtId="0" fontId="0" fillId="0" borderId="49" xfId="0" applyBorder="1" applyAlignment="1">
      <alignment horizontal="right"/>
    </xf>
    <xf numFmtId="164" fontId="0" fillId="0" borderId="50" xfId="0" applyNumberFormat="1" applyBorder="1" applyAlignment="1">
      <alignment horizontal="right"/>
    </xf>
    <xf numFmtId="164" fontId="0" fillId="0" borderId="51" xfId="0" applyNumberFormat="1" applyBorder="1" applyAlignment="1">
      <alignment horizontal="right"/>
    </xf>
    <xf numFmtId="164" fontId="0" fillId="0" borderId="52" xfId="0" applyNumberFormat="1" applyBorder="1" applyAlignment="1">
      <alignment horizontal="right"/>
    </xf>
    <xf numFmtId="164" fontId="8" fillId="0" borderId="53" xfId="0" applyNumberFormat="1" applyFont="1" applyBorder="1" applyAlignment="1">
      <alignment horizontal="right"/>
    </xf>
    <xf numFmtId="14" fontId="0" fillId="0" borderId="54" xfId="0" applyNumberFormat="1" applyBorder="1"/>
    <xf numFmtId="164" fontId="0" fillId="0" borderId="55" xfId="0" applyNumberFormat="1" applyBorder="1" applyAlignment="1">
      <alignment horizontal="right"/>
    </xf>
    <xf numFmtId="164" fontId="0" fillId="0" borderId="56" xfId="0" applyNumberFormat="1" applyBorder="1" applyAlignment="1">
      <alignment horizontal="right"/>
    </xf>
    <xf numFmtId="164" fontId="0" fillId="0" borderId="57" xfId="0" applyNumberFormat="1" applyBorder="1" applyAlignment="1">
      <alignment horizontal="right"/>
    </xf>
    <xf numFmtId="164" fontId="0" fillId="0" borderId="58" xfId="0" applyNumberFormat="1" applyBorder="1" applyAlignment="1">
      <alignment horizontal="right"/>
    </xf>
    <xf numFmtId="164" fontId="0" fillId="0" borderId="59" xfId="0" applyNumberFormat="1" applyBorder="1" applyAlignment="1">
      <alignment horizontal="right"/>
    </xf>
    <xf numFmtId="0" fontId="0" fillId="0" borderId="60" xfId="0" applyBorder="1" applyAlignment="1">
      <alignment horizontal="right"/>
    </xf>
    <xf numFmtId="0" fontId="0" fillId="0" borderId="61" xfId="0" applyBorder="1" applyAlignment="1">
      <alignment horizontal="right"/>
    </xf>
    <xf numFmtId="0" fontId="0" fillId="0" borderId="62" xfId="0" applyBorder="1" applyAlignment="1">
      <alignment horizontal="right"/>
    </xf>
    <xf numFmtId="164" fontId="0" fillId="0" borderId="60" xfId="0" applyNumberFormat="1" applyBorder="1" applyAlignment="1">
      <alignment horizontal="right"/>
    </xf>
    <xf numFmtId="164" fontId="0" fillId="0" borderId="63" xfId="0" applyNumberFormat="1" applyBorder="1" applyAlignment="1">
      <alignment horizontal="right"/>
    </xf>
    <xf numFmtId="0" fontId="0" fillId="0" borderId="63" xfId="0" applyBorder="1" applyAlignment="1">
      <alignment horizontal="right"/>
    </xf>
    <xf numFmtId="164" fontId="0" fillId="0" borderId="61" xfId="0" applyNumberFormat="1" applyBorder="1" applyAlignment="1">
      <alignment horizontal="right"/>
    </xf>
    <xf numFmtId="164" fontId="8" fillId="0" borderId="64" xfId="0" applyNumberFormat="1" applyFont="1" applyBorder="1" applyAlignment="1">
      <alignment horizontal="right"/>
    </xf>
    <xf numFmtId="164" fontId="0" fillId="0" borderId="65" xfId="0" applyNumberFormat="1" applyBorder="1" applyAlignment="1">
      <alignment horizontal="right"/>
    </xf>
    <xf numFmtId="164" fontId="0" fillId="0" borderId="66" xfId="0" applyNumberFormat="1" applyBorder="1" applyAlignment="1">
      <alignment horizontal="right"/>
    </xf>
    <xf numFmtId="164" fontId="0" fillId="0" borderId="67" xfId="0" applyNumberFormat="1" applyBorder="1" applyAlignment="1">
      <alignment horizontal="right"/>
    </xf>
    <xf numFmtId="164" fontId="0" fillId="0" borderId="68" xfId="0" applyNumberFormat="1" applyBorder="1" applyAlignment="1">
      <alignment horizontal="right"/>
    </xf>
    <xf numFmtId="164" fontId="0" fillId="0" borderId="69" xfId="0" applyNumberFormat="1" applyBorder="1" applyAlignment="1">
      <alignment horizontal="right"/>
    </xf>
    <xf numFmtId="0" fontId="0" fillId="0" borderId="70" xfId="0" applyBorder="1" applyAlignment="1">
      <alignment horizontal="right"/>
    </xf>
    <xf numFmtId="0" fontId="0" fillId="0" borderId="71" xfId="0" applyBorder="1" applyAlignment="1">
      <alignment horizontal="right"/>
    </xf>
    <xf numFmtId="0" fontId="0" fillId="0" borderId="72" xfId="0" applyBorder="1" applyAlignment="1">
      <alignment horizontal="right"/>
    </xf>
    <xf numFmtId="164" fontId="0" fillId="0" borderId="70" xfId="0" applyNumberFormat="1" applyBorder="1" applyAlignment="1">
      <alignment horizontal="right"/>
    </xf>
    <xf numFmtId="164" fontId="0" fillId="0" borderId="73" xfId="0" applyNumberFormat="1" applyBorder="1" applyAlignment="1">
      <alignment horizontal="right"/>
    </xf>
    <xf numFmtId="0" fontId="0" fillId="0" borderId="73" xfId="0" applyBorder="1" applyAlignment="1">
      <alignment horizontal="right"/>
    </xf>
    <xf numFmtId="164" fontId="8" fillId="0" borderId="74" xfId="0" applyNumberFormat="1" applyFont="1" applyBorder="1" applyAlignment="1">
      <alignment horizontal="right"/>
    </xf>
    <xf numFmtId="164" fontId="0" fillId="0" borderId="75" xfId="0" applyNumberFormat="1" applyBorder="1" applyAlignment="1">
      <alignment horizontal="right"/>
    </xf>
    <xf numFmtId="164" fontId="0" fillId="0" borderId="76" xfId="0" applyNumberFormat="1" applyBorder="1" applyAlignment="1">
      <alignment horizontal="right"/>
    </xf>
    <xf numFmtId="164" fontId="0" fillId="0" borderId="77" xfId="0" applyNumberFormat="1" applyBorder="1" applyAlignment="1">
      <alignment horizontal="right"/>
    </xf>
    <xf numFmtId="164" fontId="0" fillId="0" borderId="78" xfId="0" applyNumberFormat="1" applyBorder="1" applyAlignment="1">
      <alignment horizontal="right"/>
    </xf>
    <xf numFmtId="164" fontId="0" fillId="0" borderId="79" xfId="0" applyNumberFormat="1" applyBorder="1" applyAlignment="1">
      <alignment horizontal="right"/>
    </xf>
    <xf numFmtId="0" fontId="0" fillId="0" borderId="80" xfId="0" applyBorder="1" applyAlignment="1">
      <alignment horizontal="right"/>
    </xf>
    <xf numFmtId="0" fontId="0" fillId="0" borderId="81" xfId="0" applyBorder="1" applyAlignment="1">
      <alignment horizontal="right"/>
    </xf>
    <xf numFmtId="0" fontId="0" fillId="0" borderId="82" xfId="0" applyBorder="1" applyAlignment="1">
      <alignment horizontal="right"/>
    </xf>
    <xf numFmtId="164" fontId="0" fillId="0" borderId="80" xfId="0" applyNumberFormat="1" applyBorder="1" applyAlignment="1">
      <alignment horizontal="right"/>
    </xf>
    <xf numFmtId="164" fontId="0" fillId="0" borderId="83" xfId="0" applyNumberFormat="1" applyBorder="1" applyAlignment="1">
      <alignment horizontal="right"/>
    </xf>
    <xf numFmtId="0" fontId="0" fillId="0" borderId="83" xfId="0" applyBorder="1" applyAlignment="1">
      <alignment horizontal="right"/>
    </xf>
    <xf numFmtId="164" fontId="0" fillId="0" borderId="81" xfId="0" applyNumberFormat="1" applyBorder="1" applyAlignment="1">
      <alignment horizontal="right"/>
    </xf>
    <xf numFmtId="164" fontId="0" fillId="0" borderId="82" xfId="0" applyNumberFormat="1" applyBorder="1" applyAlignment="1">
      <alignment horizontal="right"/>
    </xf>
    <xf numFmtId="164" fontId="8" fillId="0" borderId="84" xfId="0" applyNumberFormat="1" applyFont="1" applyBorder="1" applyAlignment="1">
      <alignment horizontal="right"/>
    </xf>
    <xf numFmtId="0" fontId="0" fillId="0" borderId="50" xfId="0" applyBorder="1" applyAlignment="1">
      <alignment horizontal="right"/>
    </xf>
    <xf numFmtId="0" fontId="0" fillId="0" borderId="85" xfId="0" applyBorder="1" applyAlignment="1">
      <alignment horizontal="right"/>
    </xf>
    <xf numFmtId="0" fontId="0" fillId="0" borderId="52" xfId="0" applyBorder="1" applyAlignment="1">
      <alignment horizontal="right"/>
    </xf>
    <xf numFmtId="164" fontId="0" fillId="0" borderId="47" xfId="0" applyNumberFormat="1" applyBorder="1" applyAlignment="1">
      <alignment horizontal="right"/>
    </xf>
    <xf numFmtId="164" fontId="0" fillId="0" borderId="0" xfId="0" applyNumberFormat="1"/>
    <xf numFmtId="0" fontId="0" fillId="0" borderId="86" xfId="0" applyBorder="1"/>
    <xf numFmtId="0" fontId="0" fillId="0" borderId="87" xfId="0" applyBorder="1"/>
    <xf numFmtId="0" fontId="0" fillId="0" borderId="88" xfId="0" applyBorder="1"/>
    <xf numFmtId="0" fontId="0" fillId="0" borderId="89" xfId="0" applyBorder="1"/>
    <xf numFmtId="0" fontId="0" fillId="0" borderId="38" xfId="0" applyBorder="1" applyAlignment="1">
      <alignment horizontal="right"/>
    </xf>
    <xf numFmtId="0" fontId="0" fillId="0" borderId="36" xfId="0" applyBorder="1" applyAlignment="1">
      <alignment horizontal="right"/>
    </xf>
    <xf numFmtId="0" fontId="0" fillId="0" borderId="37" xfId="0" applyBorder="1" applyAlignment="1">
      <alignment horizontal="right"/>
    </xf>
    <xf numFmtId="0" fontId="8" fillId="0" borderId="90" xfId="0" applyFont="1" applyBorder="1" applyAlignment="1">
      <alignment horizontal="right"/>
    </xf>
    <xf numFmtId="0" fontId="0" fillId="0" borderId="91" xfId="0" applyBorder="1"/>
    <xf numFmtId="0" fontId="10" fillId="0" borderId="0" xfId="0" applyFont="1" applyAlignment="1">
      <alignment horizontal="center"/>
    </xf>
    <xf numFmtId="0" fontId="0" fillId="0" borderId="0" xfId="0" applyFont="1" applyFill="1" applyBorder="1" applyAlignment="1">
      <alignment horizontal="center"/>
    </xf>
    <xf numFmtId="165" fontId="0" fillId="0" borderId="0" xfId="0" applyNumberFormat="1" applyFont="1" applyFill="1" applyBorder="1" applyAlignment="1">
      <alignment horizontal="center"/>
    </xf>
    <xf numFmtId="14" fontId="13" fillId="0" borderId="93" xfId="0" applyNumberFormat="1" applyFont="1" applyBorder="1" applyAlignment="1">
      <alignment horizontal="center"/>
    </xf>
    <xf numFmtId="0" fontId="0" fillId="0" borderId="0" xfId="0" applyFont="1" applyFill="1" applyBorder="1" applyAlignment="1"/>
    <xf numFmtId="165" fontId="0" fillId="0" borderId="0" xfId="0" applyNumberFormat="1" applyFont="1" applyFill="1" applyBorder="1" applyAlignment="1"/>
    <xf numFmtId="0" fontId="0" fillId="0" borderId="0" xfId="0" applyFont="1" applyFill="1" applyBorder="1"/>
    <xf numFmtId="0" fontId="0" fillId="0" borderId="93" xfId="0" applyBorder="1"/>
    <xf numFmtId="0" fontId="0" fillId="0" borderId="106" xfId="0" applyBorder="1"/>
    <xf numFmtId="0" fontId="0" fillId="0" borderId="107" xfId="0" applyBorder="1"/>
    <xf numFmtId="0" fontId="0" fillId="0" borderId="108" xfId="0" applyBorder="1" applyAlignment="1">
      <alignment horizontal="center"/>
    </xf>
    <xf numFmtId="0" fontId="0" fillId="0" borderId="109" xfId="0" applyBorder="1" applyAlignment="1">
      <alignment horizontal="center"/>
    </xf>
    <xf numFmtId="0" fontId="0" fillId="0" borderId="113" xfId="0" applyBorder="1"/>
    <xf numFmtId="0" fontId="0" fillId="0" borderId="115" xfId="0" applyBorder="1" applyAlignment="1">
      <alignment horizontal="center"/>
    </xf>
    <xf numFmtId="0" fontId="0" fillId="0" borderId="0" xfId="0"/>
    <xf numFmtId="0" fontId="3" fillId="0" borderId="0" xfId="0" applyFont="1" applyBorder="1"/>
    <xf numFmtId="0" fontId="3" fillId="0" borderId="0" xfId="0" applyFont="1" applyBorder="1" applyAlignment="1"/>
    <xf numFmtId="0" fontId="23" fillId="0" borderId="0" xfId="0" applyFont="1" applyBorder="1" applyAlignment="1">
      <alignment horizontal="center" vertical="center"/>
    </xf>
    <xf numFmtId="0" fontId="0" fillId="0" borderId="94" xfId="0" applyBorder="1" applyAlignment="1">
      <alignment horizontal="center"/>
    </xf>
    <xf numFmtId="49" fontId="0" fillId="0" borderId="16" xfId="0" applyNumberFormat="1" applyBorder="1" applyAlignment="1">
      <alignment horizontal="center"/>
    </xf>
    <xf numFmtId="49" fontId="0" fillId="0" borderId="105" xfId="0" applyNumberFormat="1" applyBorder="1" applyAlignment="1">
      <alignment horizontal="center"/>
    </xf>
    <xf numFmtId="0" fontId="0" fillId="0" borderId="104" xfId="0" applyBorder="1" applyAlignment="1">
      <alignment horizontal="center"/>
    </xf>
    <xf numFmtId="49" fontId="0" fillId="0" borderId="114" xfId="0" applyNumberFormat="1" applyBorder="1" applyAlignment="1">
      <alignment horizontal="center"/>
    </xf>
    <xf numFmtId="0" fontId="0" fillId="0" borderId="110" xfId="0" applyBorder="1" applyAlignment="1">
      <alignment horizontal="center"/>
    </xf>
    <xf numFmtId="0" fontId="0" fillId="0" borderId="111" xfId="0" applyBorder="1" applyAlignment="1">
      <alignment horizontal="center"/>
    </xf>
    <xf numFmtId="0" fontId="0" fillId="0" borderId="112" xfId="0" applyBorder="1" applyAlignment="1">
      <alignment horizontal="center"/>
    </xf>
    <xf numFmtId="20" fontId="0" fillId="0" borderId="16" xfId="0" applyNumberFormat="1" applyBorder="1" applyAlignment="1">
      <alignment horizontal="center"/>
    </xf>
    <xf numFmtId="20" fontId="0" fillId="0" borderId="105" xfId="0" applyNumberFormat="1" applyBorder="1" applyAlignment="1">
      <alignment horizontal="center"/>
    </xf>
    <xf numFmtId="0" fontId="0" fillId="0" borderId="105" xfId="0" applyBorder="1" applyAlignment="1">
      <alignment horizontal="center"/>
    </xf>
    <xf numFmtId="0" fontId="0" fillId="0" borderId="114" xfId="0" applyBorder="1" applyAlignment="1">
      <alignment horizontal="center"/>
    </xf>
    <xf numFmtId="0" fontId="0" fillId="0" borderId="39" xfId="0" applyBorder="1"/>
    <xf numFmtId="0" fontId="0" fillId="0" borderId="0" xfId="0"/>
    <xf numFmtId="0" fontId="0" fillId="0" borderId="0" xfId="0"/>
    <xf numFmtId="0" fontId="0" fillId="0" borderId="0" xfId="0"/>
    <xf numFmtId="0" fontId="13" fillId="0" borderId="0" xfId="1"/>
    <xf numFmtId="14" fontId="13" fillId="0" borderId="0" xfId="1" applyNumberFormat="1"/>
    <xf numFmtId="0" fontId="13" fillId="0" borderId="85" xfId="1" applyBorder="1" applyAlignment="1">
      <alignment horizontal="left" vertical="center"/>
    </xf>
    <xf numFmtId="1" fontId="13" fillId="0" borderId="120" xfId="1" applyNumberFormat="1" applyBorder="1" applyAlignment="1">
      <alignment horizontal="right" vertical="center"/>
    </xf>
    <xf numFmtId="0" fontId="13" fillId="0" borderId="63" xfId="1" applyBorder="1" applyAlignment="1">
      <alignment horizontal="left" vertical="center"/>
    </xf>
    <xf numFmtId="1" fontId="13" fillId="0" borderId="121" xfId="1" applyNumberFormat="1" applyBorder="1" applyAlignment="1">
      <alignment vertical="center"/>
    </xf>
    <xf numFmtId="0" fontId="13" fillId="0" borderId="83" xfId="1" applyBorder="1" applyAlignment="1">
      <alignment horizontal="left" vertical="center"/>
    </xf>
    <xf numFmtId="1" fontId="13" fillId="0" borderId="122" xfId="1" applyNumberFormat="1" applyBorder="1" applyAlignment="1">
      <alignment vertical="center"/>
    </xf>
    <xf numFmtId="2" fontId="32" fillId="0" borderId="92" xfId="0" applyNumberFormat="1" applyFont="1" applyBorder="1"/>
    <xf numFmtId="0" fontId="0" fillId="0" borderId="0" xfId="0" applyFill="1" applyBorder="1"/>
    <xf numFmtId="0" fontId="0" fillId="0" borderId="0" xfId="0" applyBorder="1" applyAlignment="1"/>
    <xf numFmtId="0" fontId="12" fillId="0" borderId="0" xfId="0" applyFont="1" applyBorder="1" applyAlignment="1">
      <alignment horizontal="center" vertical="center"/>
    </xf>
    <xf numFmtId="0" fontId="7" fillId="0" borderId="0" xfId="0" applyFont="1" applyBorder="1"/>
    <xf numFmtId="0" fontId="13" fillId="0" borderId="114" xfId="0" applyFont="1" applyBorder="1" applyAlignment="1">
      <alignment horizontal="center"/>
    </xf>
    <xf numFmtId="0" fontId="8" fillId="0" borderId="124" xfId="0" applyFont="1" applyBorder="1" applyAlignment="1">
      <alignment horizontal="center"/>
    </xf>
    <xf numFmtId="0" fontId="8" fillId="0" borderId="94" xfId="0" applyFont="1" applyBorder="1" applyAlignment="1">
      <alignment horizontal="center"/>
    </xf>
    <xf numFmtId="0" fontId="8" fillId="0" borderId="9" xfId="0" applyFont="1" applyBorder="1" applyAlignment="1">
      <alignment horizontal="center"/>
    </xf>
    <xf numFmtId="166" fontId="16" fillId="13" borderId="126" xfId="0" applyNumberFormat="1" applyFont="1" applyFill="1" applyBorder="1" applyAlignment="1" applyProtection="1">
      <alignment horizontal="right"/>
      <protection locked="0"/>
    </xf>
    <xf numFmtId="0" fontId="13" fillId="13" borderId="126" xfId="0" applyFont="1" applyFill="1" applyBorder="1" applyAlignment="1">
      <alignment horizontal="right"/>
    </xf>
    <xf numFmtId="166" fontId="16" fillId="12" borderId="126" xfId="0" applyNumberFormat="1" applyFont="1" applyFill="1" applyBorder="1" applyAlignment="1" applyProtection="1">
      <alignment horizontal="right"/>
      <protection locked="0"/>
    </xf>
    <xf numFmtId="0" fontId="13" fillId="12" borderId="126" xfId="0" applyFont="1" applyFill="1" applyBorder="1" applyAlignment="1">
      <alignment horizontal="right"/>
    </xf>
    <xf numFmtId="166" fontId="13" fillId="12" borderId="126" xfId="0" applyNumberFormat="1" applyFont="1" applyFill="1" applyBorder="1" applyAlignment="1" applyProtection="1">
      <alignment horizontal="right"/>
      <protection locked="0"/>
    </xf>
    <xf numFmtId="166" fontId="13" fillId="13" borderId="126" xfId="0" applyNumberFormat="1" applyFont="1" applyFill="1" applyBorder="1" applyAlignment="1" applyProtection="1">
      <alignment horizontal="right"/>
      <protection locked="0"/>
    </xf>
    <xf numFmtId="166" fontId="16" fillId="12" borderId="137" xfId="0" applyNumberFormat="1" applyFont="1" applyFill="1" applyBorder="1" applyAlignment="1" applyProtection="1">
      <alignment horizontal="right"/>
      <protection locked="0"/>
    </xf>
    <xf numFmtId="166" fontId="13" fillId="13" borderId="127" xfId="0" applyNumberFormat="1" applyFont="1" applyFill="1" applyBorder="1" applyAlignment="1" applyProtection="1">
      <alignment horizontal="right"/>
      <protection locked="0"/>
    </xf>
    <xf numFmtId="0" fontId="0" fillId="0" borderId="0" xfId="0"/>
    <xf numFmtId="0" fontId="0" fillId="0" borderId="0" xfId="0"/>
    <xf numFmtId="14" fontId="13" fillId="14" borderId="126" xfId="0" applyNumberFormat="1" applyFont="1" applyFill="1" applyBorder="1" applyAlignment="1">
      <alignment horizontal="center"/>
    </xf>
    <xf numFmtId="0" fontId="13" fillId="14" borderId="140" xfId="0" applyFont="1" applyFill="1" applyBorder="1" applyAlignment="1">
      <alignment horizontal="right"/>
    </xf>
    <xf numFmtId="14" fontId="13" fillId="14" borderId="138" xfId="0" applyNumberFormat="1" applyFont="1" applyFill="1" applyBorder="1" applyAlignment="1">
      <alignment horizontal="center"/>
    </xf>
    <xf numFmtId="0" fontId="13" fillId="14" borderId="129" xfId="0" applyFont="1" applyFill="1" applyBorder="1" applyAlignment="1">
      <alignment horizontal="right"/>
    </xf>
    <xf numFmtId="0" fontId="13" fillId="14" borderId="130" xfId="0" applyFont="1" applyFill="1" applyBorder="1" applyAlignment="1">
      <alignment horizontal="right"/>
    </xf>
    <xf numFmtId="14" fontId="13" fillId="14" borderId="127" xfId="0" applyNumberFormat="1" applyFont="1" applyFill="1" applyBorder="1" applyAlignment="1">
      <alignment horizontal="center"/>
    </xf>
    <xf numFmtId="0" fontId="13" fillId="14" borderId="139" xfId="0" applyFont="1" applyFill="1" applyBorder="1" applyAlignment="1">
      <alignment horizontal="right"/>
    </xf>
    <xf numFmtId="14" fontId="13" fillId="14" borderId="137" xfId="0" applyNumberFormat="1" applyFont="1" applyFill="1" applyBorder="1" applyAlignment="1">
      <alignment horizontal="center"/>
    </xf>
    <xf numFmtId="166" fontId="16" fillId="15" borderId="126" xfId="0" applyNumberFormat="1" applyFont="1" applyFill="1" applyBorder="1" applyAlignment="1" applyProtection="1">
      <alignment horizontal="right"/>
      <protection locked="0"/>
    </xf>
    <xf numFmtId="0" fontId="13" fillId="15" borderId="126" xfId="0" applyFont="1" applyFill="1" applyBorder="1" applyAlignment="1">
      <alignment horizontal="right"/>
    </xf>
    <xf numFmtId="166" fontId="13" fillId="15" borderId="126" xfId="0" applyNumberFormat="1" applyFont="1" applyFill="1" applyBorder="1" applyAlignment="1" applyProtection="1">
      <alignment horizontal="right"/>
      <protection locked="0"/>
    </xf>
    <xf numFmtId="166" fontId="13" fillId="15" borderId="135" xfId="0" applyNumberFormat="1" applyFont="1" applyFill="1" applyBorder="1" applyAlignment="1" applyProtection="1">
      <alignment horizontal="right"/>
      <protection locked="0"/>
    </xf>
    <xf numFmtId="0" fontId="13" fillId="15" borderId="135" xfId="0" applyFont="1" applyFill="1" applyBorder="1" applyAlignment="1">
      <alignment horizontal="right"/>
    </xf>
    <xf numFmtId="0" fontId="13" fillId="15" borderId="129" xfId="0" applyFont="1" applyFill="1" applyBorder="1" applyAlignment="1">
      <alignment horizontal="right"/>
    </xf>
    <xf numFmtId="14" fontId="13" fillId="15" borderId="126" xfId="0" applyNumberFormat="1" applyFont="1" applyFill="1" applyBorder="1" applyAlignment="1">
      <alignment horizontal="center"/>
    </xf>
    <xf numFmtId="0" fontId="13" fillId="15" borderId="134" xfId="0" applyFont="1" applyFill="1" applyBorder="1" applyAlignment="1">
      <alignment horizontal="right"/>
    </xf>
    <xf numFmtId="14" fontId="13" fillId="15" borderId="135" xfId="0" applyNumberFormat="1" applyFont="1" applyFill="1" applyBorder="1" applyAlignment="1">
      <alignment horizontal="center"/>
    </xf>
    <xf numFmtId="0" fontId="0" fillId="0" borderId="0" xfId="0"/>
    <xf numFmtId="0" fontId="17" fillId="0" borderId="0" xfId="0" applyFont="1" applyFill="1"/>
    <xf numFmtId="0" fontId="13" fillId="0" borderId="0" xfId="0" applyFont="1" applyFill="1"/>
    <xf numFmtId="0" fontId="26" fillId="0" borderId="91" xfId="0" applyFont="1" applyFill="1" applyBorder="1" applyAlignment="1">
      <alignment horizontal="center" vertical="center"/>
    </xf>
    <xf numFmtId="14" fontId="0" fillId="0" borderId="0" xfId="0" applyNumberFormat="1" applyBorder="1" applyAlignment="1"/>
    <xf numFmtId="14" fontId="0" fillId="0" borderId="0" xfId="0" applyNumberFormat="1" applyBorder="1"/>
    <xf numFmtId="14" fontId="0" fillId="0" borderId="0" xfId="0" applyNumberFormat="1" applyFill="1" applyBorder="1" applyAlignment="1"/>
    <xf numFmtId="166" fontId="16" fillId="13" borderId="143" xfId="0" applyNumberFormat="1" applyFont="1" applyFill="1" applyBorder="1" applyAlignment="1" applyProtection="1">
      <alignment horizontal="right"/>
      <protection locked="0"/>
    </xf>
    <xf numFmtId="166" fontId="16" fillId="12" borderId="143" xfId="0" applyNumberFormat="1" applyFont="1" applyFill="1" applyBorder="1" applyAlignment="1" applyProtection="1">
      <alignment horizontal="right"/>
      <protection locked="0"/>
    </xf>
    <xf numFmtId="166" fontId="16" fillId="12" borderId="144" xfId="0" applyNumberFormat="1" applyFont="1" applyFill="1" applyBorder="1" applyAlignment="1" applyProtection="1">
      <alignment horizontal="right"/>
      <protection locked="0"/>
    </xf>
    <xf numFmtId="166" fontId="13" fillId="12" borderId="143" xfId="0" applyNumberFormat="1" applyFont="1" applyFill="1" applyBorder="1" applyAlignment="1" applyProtection="1">
      <alignment horizontal="right"/>
      <protection locked="0"/>
    </xf>
    <xf numFmtId="166" fontId="13" fillId="13" borderId="143" xfId="0" applyNumberFormat="1" applyFont="1" applyFill="1" applyBorder="1" applyAlignment="1" applyProtection="1">
      <alignment horizontal="right"/>
      <protection locked="0"/>
    </xf>
    <xf numFmtId="166" fontId="13" fillId="13" borderId="146" xfId="0" applyNumberFormat="1" applyFont="1" applyFill="1" applyBorder="1" applyAlignment="1" applyProtection="1">
      <alignment horizontal="right"/>
      <protection locked="0"/>
    </xf>
    <xf numFmtId="166" fontId="16" fillId="15" borderId="143" xfId="0" applyNumberFormat="1" applyFont="1" applyFill="1" applyBorder="1" applyAlignment="1" applyProtection="1">
      <alignment horizontal="right"/>
      <protection locked="0"/>
    </xf>
    <xf numFmtId="166" fontId="13" fillId="15" borderId="143" xfId="0" applyNumberFormat="1" applyFont="1" applyFill="1" applyBorder="1" applyAlignment="1" applyProtection="1">
      <alignment horizontal="right"/>
      <protection locked="0"/>
    </xf>
    <xf numFmtId="166" fontId="13" fillId="15" borderId="148" xfId="0" applyNumberFormat="1" applyFont="1" applyFill="1" applyBorder="1" applyAlignment="1" applyProtection="1">
      <alignment horizontal="right"/>
      <protection locked="0"/>
    </xf>
    <xf numFmtId="0" fontId="13" fillId="13" borderId="129" xfId="0" applyFont="1" applyFill="1" applyBorder="1" applyAlignment="1">
      <alignment horizontal="right"/>
    </xf>
    <xf numFmtId="0" fontId="13" fillId="13" borderId="132" xfId="0" applyFont="1" applyFill="1" applyBorder="1" applyAlignment="1">
      <alignment horizontal="right"/>
    </xf>
    <xf numFmtId="0" fontId="13" fillId="12" borderId="129" xfId="0" applyFont="1" applyFill="1" applyBorder="1" applyAlignment="1">
      <alignment horizontal="right"/>
    </xf>
    <xf numFmtId="0" fontId="13" fillId="12" borderId="132" xfId="0" applyFont="1" applyFill="1" applyBorder="1" applyAlignment="1">
      <alignment horizontal="right"/>
    </xf>
    <xf numFmtId="0" fontId="13" fillId="13" borderId="130" xfId="0" applyFont="1" applyFill="1" applyBorder="1" applyAlignment="1">
      <alignment horizontal="right"/>
    </xf>
    <xf numFmtId="0" fontId="13" fillId="15" borderId="132" xfId="0" applyFont="1" applyFill="1" applyBorder="1" applyAlignment="1">
      <alignment horizontal="right"/>
    </xf>
    <xf numFmtId="0" fontId="13" fillId="15" borderId="136" xfId="0" applyFont="1" applyFill="1" applyBorder="1" applyAlignment="1">
      <alignment horizontal="right"/>
    </xf>
    <xf numFmtId="0" fontId="13" fillId="13" borderId="149" xfId="0" applyFont="1" applyFill="1" applyBorder="1" applyAlignment="1">
      <alignment horizontal="right"/>
    </xf>
    <xf numFmtId="0" fontId="13" fillId="13" borderId="149" xfId="0" applyFont="1" applyFill="1" applyBorder="1" applyAlignment="1">
      <alignment horizontal="center"/>
    </xf>
    <xf numFmtId="0" fontId="13" fillId="12" borderId="149" xfId="0" applyFont="1" applyFill="1" applyBorder="1" applyAlignment="1">
      <alignment horizontal="right"/>
    </xf>
    <xf numFmtId="0" fontId="13" fillId="12" borderId="149" xfId="0" applyFont="1" applyFill="1" applyBorder="1" applyAlignment="1">
      <alignment horizontal="center"/>
    </xf>
    <xf numFmtId="0" fontId="13" fillId="12" borderId="150" xfId="0" applyFont="1" applyFill="1" applyBorder="1" applyAlignment="1">
      <alignment horizontal="right"/>
    </xf>
    <xf numFmtId="0" fontId="13" fillId="12" borderId="150" xfId="0" applyFont="1" applyFill="1" applyBorder="1" applyAlignment="1">
      <alignment horizontal="center"/>
    </xf>
    <xf numFmtId="0" fontId="13" fillId="13" borderId="152" xfId="0" applyFont="1" applyFill="1" applyBorder="1" applyAlignment="1">
      <alignment horizontal="right"/>
    </xf>
    <xf numFmtId="0" fontId="13" fillId="13" borderId="152" xfId="0" applyFont="1" applyFill="1" applyBorder="1" applyAlignment="1">
      <alignment horizontal="center"/>
    </xf>
    <xf numFmtId="0" fontId="13" fillId="15" borderId="149" xfId="0" applyFont="1" applyFill="1" applyBorder="1" applyAlignment="1">
      <alignment horizontal="right"/>
    </xf>
    <xf numFmtId="0" fontId="13" fillId="15" borderId="149" xfId="0" applyFont="1" applyFill="1" applyBorder="1" applyAlignment="1">
      <alignment horizontal="center"/>
    </xf>
    <xf numFmtId="0" fontId="13" fillId="15" borderId="154" xfId="0" applyFont="1" applyFill="1" applyBorder="1" applyAlignment="1">
      <alignment horizontal="right"/>
    </xf>
    <xf numFmtId="0" fontId="13" fillId="15" borderId="154" xfId="0" applyFont="1" applyFill="1" applyBorder="1" applyAlignment="1">
      <alignment horizontal="center"/>
    </xf>
    <xf numFmtId="1" fontId="0" fillId="0" borderId="0" xfId="0" applyNumberFormat="1" applyFont="1" applyFill="1" applyBorder="1" applyAlignment="1">
      <alignment horizontal="center"/>
    </xf>
    <xf numFmtId="167" fontId="13" fillId="0" borderId="41" xfId="1" applyNumberFormat="1" applyBorder="1" applyAlignment="1">
      <alignment horizontal="center" vertical="center"/>
    </xf>
    <xf numFmtId="167" fontId="13" fillId="0" borderId="42" xfId="1" applyNumberFormat="1" applyBorder="1" applyAlignment="1">
      <alignment horizontal="center" vertical="center"/>
    </xf>
    <xf numFmtId="167" fontId="13" fillId="0" borderId="55" xfId="1" applyNumberFormat="1" applyBorder="1" applyAlignment="1">
      <alignment horizontal="center" vertical="center"/>
    </xf>
    <xf numFmtId="167" fontId="13" fillId="0" borderId="56" xfId="1" applyNumberFormat="1" applyBorder="1" applyAlignment="1">
      <alignment horizontal="center" vertical="center"/>
    </xf>
    <xf numFmtId="167" fontId="13" fillId="0" borderId="75" xfId="1" applyNumberFormat="1" applyBorder="1" applyAlignment="1">
      <alignment horizontal="center" vertical="center"/>
    </xf>
    <xf numFmtId="167" fontId="13" fillId="0" borderId="76" xfId="1" applyNumberFormat="1" applyBorder="1" applyAlignment="1">
      <alignment horizontal="center" vertical="center"/>
    </xf>
    <xf numFmtId="0" fontId="0" fillId="0" borderId="0" xfId="0"/>
    <xf numFmtId="14" fontId="3" fillId="0" borderId="10" xfId="0" applyNumberFormat="1" applyFont="1" applyFill="1" applyBorder="1"/>
    <xf numFmtId="14" fontId="3" fillId="0" borderId="11" xfId="0" applyNumberFormat="1" applyFont="1" applyFill="1" applyBorder="1"/>
    <xf numFmtId="20" fontId="3" fillId="0" borderId="11" xfId="0" applyNumberFormat="1" applyFont="1" applyFill="1" applyBorder="1"/>
    <xf numFmtId="0" fontId="0" fillId="0" borderId="0" xfId="0" applyBorder="1"/>
    <xf numFmtId="0" fontId="0" fillId="0" borderId="0" xfId="0" applyFont="1" applyFill="1" applyBorder="1" applyAlignment="1">
      <alignment horizontal="center"/>
    </xf>
    <xf numFmtId="166" fontId="16" fillId="13" borderId="127" xfId="0" applyNumberFormat="1" applyFont="1" applyFill="1" applyBorder="1" applyAlignment="1" applyProtection="1">
      <alignment horizontal="right"/>
      <protection locked="0"/>
    </xf>
    <xf numFmtId="0" fontId="0" fillId="16" borderId="17" xfId="0" applyFill="1" applyBorder="1"/>
    <xf numFmtId="167" fontId="0" fillId="0" borderId="17" xfId="0" applyNumberFormat="1" applyBorder="1" applyAlignment="1">
      <alignment horizontal="center" vertic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13" fillId="14" borderId="128" xfId="0" applyFont="1" applyFill="1" applyBorder="1" applyAlignment="1">
      <alignment horizontal="right"/>
    </xf>
    <xf numFmtId="14" fontId="13" fillId="14" borderId="125" xfId="0" applyNumberFormat="1" applyFont="1" applyFill="1" applyBorder="1" applyAlignment="1">
      <alignment horizontal="center"/>
    </xf>
    <xf numFmtId="166" fontId="16" fillId="13" borderId="125" xfId="0" applyNumberFormat="1" applyFont="1" applyFill="1" applyBorder="1" applyAlignment="1" applyProtection="1">
      <alignment horizontal="right"/>
      <protection locked="0"/>
    </xf>
    <xf numFmtId="166" fontId="16" fillId="13" borderId="145" xfId="0" applyNumberFormat="1" applyFont="1" applyFill="1" applyBorder="1" applyAlignment="1" applyProtection="1">
      <alignment horizontal="right"/>
      <protection locked="0"/>
    </xf>
    <xf numFmtId="0" fontId="13" fillId="13" borderId="125" xfId="0" applyFont="1" applyFill="1" applyBorder="1" applyAlignment="1">
      <alignment horizontal="right"/>
    </xf>
    <xf numFmtId="0" fontId="13" fillId="13" borderId="151" xfId="0" applyFont="1" applyFill="1" applyBorder="1" applyAlignment="1">
      <alignment horizontal="center"/>
    </xf>
    <xf numFmtId="167" fontId="34" fillId="0" borderId="28" xfId="0" applyNumberFormat="1" applyFont="1" applyBorder="1" applyAlignment="1">
      <alignment horizontal="center" vertical="center"/>
    </xf>
    <xf numFmtId="0" fontId="34" fillId="0" borderId="28" xfId="0" applyFont="1" applyBorder="1" applyAlignment="1">
      <alignment horizontal="center" vertical="center"/>
    </xf>
    <xf numFmtId="0" fontId="34" fillId="0" borderId="98" xfId="0" applyFont="1" applyBorder="1" applyAlignment="1">
      <alignment horizontal="center" vertical="center"/>
    </xf>
    <xf numFmtId="167" fontId="34" fillId="0" borderId="30" xfId="0" applyNumberFormat="1" applyFont="1" applyBorder="1" applyAlignment="1">
      <alignment horizontal="center" vertical="center"/>
    </xf>
    <xf numFmtId="0" fontId="34" fillId="0" borderId="37" xfId="0" applyFont="1" applyBorder="1" applyAlignment="1">
      <alignment horizontal="center" vertical="center"/>
    </xf>
    <xf numFmtId="167" fontId="34" fillId="0" borderId="100" xfId="0" applyNumberFormat="1" applyFont="1" applyBorder="1" applyAlignment="1">
      <alignment horizontal="center" vertical="center"/>
    </xf>
    <xf numFmtId="0" fontId="34" fillId="0" borderId="100" xfId="0" applyFont="1" applyBorder="1" applyAlignment="1">
      <alignment horizontal="center" vertical="center"/>
    </xf>
    <xf numFmtId="0" fontId="34" fillId="0" borderId="101" xfId="0" applyFont="1" applyBorder="1" applyAlignment="1">
      <alignment horizontal="center" vertical="center"/>
    </xf>
    <xf numFmtId="167" fontId="34" fillId="0" borderId="25" xfId="0" applyNumberFormat="1" applyFont="1" applyBorder="1" applyAlignment="1">
      <alignment horizontal="center" vertical="center"/>
    </xf>
    <xf numFmtId="0" fontId="13" fillId="13" borderId="151" xfId="0" applyFont="1" applyFill="1" applyBorder="1" applyAlignment="1">
      <alignment horizontal="right"/>
    </xf>
    <xf numFmtId="0" fontId="13" fillId="13" borderId="133" xfId="0" applyFont="1" applyFill="1" applyBorder="1" applyAlignment="1">
      <alignment horizontal="right"/>
    </xf>
    <xf numFmtId="166" fontId="16" fillId="12" borderId="138" xfId="0" applyNumberFormat="1" applyFont="1" applyFill="1" applyBorder="1" applyAlignment="1" applyProtection="1">
      <alignment horizontal="right"/>
      <protection locked="0"/>
    </xf>
    <xf numFmtId="166" fontId="16" fillId="12" borderId="147" xfId="0" applyNumberFormat="1" applyFont="1" applyFill="1" applyBorder="1" applyAlignment="1" applyProtection="1">
      <alignment horizontal="right"/>
      <protection locked="0"/>
    </xf>
    <xf numFmtId="0" fontId="13" fillId="12" borderId="140" xfId="0" applyFont="1" applyFill="1" applyBorder="1" applyAlignment="1">
      <alignment horizontal="right"/>
    </xf>
    <xf numFmtId="0" fontId="13" fillId="12" borderId="138" xfId="0" applyFont="1" applyFill="1" applyBorder="1" applyAlignment="1">
      <alignment horizontal="right"/>
    </xf>
    <xf numFmtId="0" fontId="13" fillId="12" borderId="142" xfId="0" applyFont="1" applyFill="1" applyBorder="1" applyAlignment="1">
      <alignment horizontal="right"/>
    </xf>
    <xf numFmtId="0" fontId="13" fillId="12" borderId="153" xfId="0" applyFont="1" applyFill="1" applyBorder="1" applyAlignment="1">
      <alignment horizontal="right"/>
    </xf>
    <xf numFmtId="0" fontId="13" fillId="12" borderId="153" xfId="0" applyFont="1" applyFill="1" applyBorder="1" applyAlignment="1">
      <alignment horizontal="center"/>
    </xf>
    <xf numFmtId="0" fontId="13" fillId="15" borderId="125" xfId="0" applyFont="1" applyFill="1" applyBorder="1" applyAlignment="1">
      <alignment horizontal="right"/>
    </xf>
    <xf numFmtId="14" fontId="13" fillId="15" borderId="125" xfId="0" applyNumberFormat="1" applyFont="1" applyFill="1" applyBorder="1" applyAlignment="1">
      <alignment horizontal="center"/>
    </xf>
    <xf numFmtId="166" fontId="16" fillId="15" borderId="125" xfId="0" applyNumberFormat="1" applyFont="1" applyFill="1" applyBorder="1" applyAlignment="1" applyProtection="1">
      <alignment horizontal="right"/>
      <protection locked="0"/>
    </xf>
    <xf numFmtId="0" fontId="13" fillId="15" borderId="128" xfId="0" applyFont="1" applyFill="1" applyBorder="1" applyAlignment="1">
      <alignment horizontal="right"/>
    </xf>
    <xf numFmtId="166" fontId="16" fillId="15" borderId="145" xfId="0" applyNumberFormat="1" applyFont="1" applyFill="1" applyBorder="1" applyAlignment="1" applyProtection="1">
      <alignment horizontal="right"/>
      <protection locked="0"/>
    </xf>
    <xf numFmtId="0" fontId="13" fillId="15" borderId="131" xfId="0" applyFont="1" applyFill="1" applyBorder="1" applyAlignment="1">
      <alignment horizontal="right"/>
    </xf>
    <xf numFmtId="0" fontId="13" fillId="15" borderId="151" xfId="0" applyFont="1" applyFill="1" applyBorder="1" applyAlignment="1">
      <alignment horizontal="right"/>
    </xf>
    <xf numFmtId="0" fontId="13" fillId="15" borderId="151" xfId="0" applyFont="1" applyFill="1" applyBorder="1" applyAlignment="1">
      <alignment horizontal="center"/>
    </xf>
    <xf numFmtId="0" fontId="0" fillId="0" borderId="0" xfId="0"/>
    <xf numFmtId="0" fontId="13" fillId="12" borderId="139" xfId="0" applyFont="1" applyFill="1" applyBorder="1" applyAlignment="1">
      <alignment horizontal="right"/>
    </xf>
    <xf numFmtId="0" fontId="13" fillId="13" borderId="128" xfId="0" applyFont="1" applyFill="1" applyBorder="1" applyAlignment="1">
      <alignment horizontal="right"/>
    </xf>
    <xf numFmtId="0" fontId="31" fillId="0" borderId="0" xfId="0" applyFont="1" applyFill="1" applyBorder="1" applyAlignment="1"/>
    <xf numFmtId="0" fontId="30" fillId="0" borderId="0" xfId="0" applyFont="1" applyFill="1" applyBorder="1" applyAlignment="1"/>
    <xf numFmtId="0" fontId="13" fillId="18" borderId="0" xfId="0" applyFont="1" applyFill="1" applyBorder="1" applyAlignment="1">
      <alignment horizontal="center"/>
    </xf>
    <xf numFmtId="0" fontId="14" fillId="18" borderId="0" xfId="0" applyFont="1" applyFill="1" applyBorder="1"/>
    <xf numFmtId="0" fontId="8" fillId="18" borderId="0" xfId="0" applyFont="1" applyFill="1" applyBorder="1"/>
    <xf numFmtId="0" fontId="0" fillId="18" borderId="0" xfId="0" applyFill="1" applyBorder="1"/>
    <xf numFmtId="0" fontId="0" fillId="18" borderId="93" xfId="0" applyFill="1" applyBorder="1"/>
    <xf numFmtId="0" fontId="8" fillId="18" borderId="8" xfId="0" applyFont="1" applyFill="1" applyBorder="1" applyAlignment="1">
      <alignment horizontal="center"/>
    </xf>
    <xf numFmtId="0" fontId="15" fillId="18" borderId="8" xfId="0" applyFont="1" applyFill="1" applyBorder="1"/>
    <xf numFmtId="0" fontId="0" fillId="18" borderId="8" xfId="0" applyFill="1" applyBorder="1"/>
    <xf numFmtId="0" fontId="0" fillId="18" borderId="156" xfId="0" applyFill="1" applyBorder="1"/>
    <xf numFmtId="0" fontId="0" fillId="18" borderId="115" xfId="0" applyFill="1" applyBorder="1"/>
    <xf numFmtId="0" fontId="0" fillId="18" borderId="123" xfId="0" applyFill="1" applyBorder="1"/>
    <xf numFmtId="0" fontId="13" fillId="0" borderId="25" xfId="0" applyFont="1" applyBorder="1" applyAlignment="1">
      <alignment horizontal="center"/>
    </xf>
    <xf numFmtId="0" fontId="0" fillId="0" borderId="103" xfId="0" applyBorder="1"/>
    <xf numFmtId="0" fontId="0" fillId="0" borderId="0" xfId="0" applyBorder="1"/>
    <xf numFmtId="0" fontId="13" fillId="0" borderId="17" xfId="0" applyFont="1" applyBorder="1" applyAlignment="1">
      <alignment horizontal="center" vertical="center" wrapText="1"/>
    </xf>
    <xf numFmtId="1" fontId="13" fillId="0" borderId="0" xfId="1" applyNumberFormat="1" applyBorder="1" applyAlignment="1">
      <alignment horizontal="right" vertical="center"/>
    </xf>
    <xf numFmtId="0" fontId="13" fillId="0" borderId="0" xfId="1" applyBorder="1"/>
    <xf numFmtId="0" fontId="13" fillId="0" borderId="0" xfId="1" applyBorder="1" applyAlignment="1">
      <alignment horizontal="center"/>
    </xf>
    <xf numFmtId="0" fontId="25" fillId="0" borderId="0" xfId="1" applyFont="1" applyBorder="1" applyAlignment="1">
      <alignment horizontal="center"/>
    </xf>
    <xf numFmtId="0" fontId="25" fillId="0" borderId="0" xfId="1" applyFont="1" applyBorder="1" applyAlignment="1">
      <alignment horizontal="right"/>
    </xf>
    <xf numFmtId="0" fontId="25" fillId="0" borderId="0" xfId="1" applyFont="1" applyBorder="1" applyAlignment="1">
      <alignment horizontal="left"/>
    </xf>
    <xf numFmtId="0" fontId="25" fillId="0" borderId="0" xfId="1" applyFont="1" applyBorder="1"/>
    <xf numFmtId="0" fontId="8" fillId="0" borderId="0" xfId="1" applyFont="1" applyBorder="1" applyAlignment="1">
      <alignment horizontal="left"/>
    </xf>
    <xf numFmtId="0" fontId="13" fillId="0" borderId="0" xfId="1" applyBorder="1" applyAlignment="1">
      <alignment horizontal="left"/>
    </xf>
    <xf numFmtId="0" fontId="13" fillId="0" borderId="157" xfId="1" applyBorder="1" applyAlignment="1">
      <alignment horizontal="center" vertical="center"/>
    </xf>
    <xf numFmtId="0" fontId="13" fillId="0" borderId="0" xfId="1" applyFont="1" applyBorder="1" applyAlignment="1">
      <alignment vertical="center"/>
    </xf>
    <xf numFmtId="0" fontId="13" fillId="0" borderId="103" xfId="1" applyBorder="1"/>
    <xf numFmtId="0" fontId="13" fillId="0" borderId="159" xfId="1" applyBorder="1" applyAlignment="1">
      <alignment horizontal="center" vertical="center"/>
    </xf>
    <xf numFmtId="0" fontId="13" fillId="0" borderId="160" xfId="1" applyBorder="1" applyAlignment="1">
      <alignment horizontal="left" vertical="center"/>
    </xf>
    <xf numFmtId="1" fontId="13" fillId="0" borderId="160" xfId="1" applyNumberFormat="1" applyBorder="1" applyAlignment="1">
      <alignment horizontal="right" vertical="center"/>
    </xf>
    <xf numFmtId="0" fontId="13" fillId="0" borderId="160" xfId="1" applyBorder="1"/>
    <xf numFmtId="0" fontId="29" fillId="0" borderId="0" xfId="1" applyFont="1" applyBorder="1" applyAlignment="1">
      <alignment horizontal="center"/>
    </xf>
    <xf numFmtId="0" fontId="14" fillId="0" borderId="0" xfId="1" applyFont="1" applyBorder="1" applyAlignment="1">
      <alignment horizontal="center"/>
    </xf>
    <xf numFmtId="0" fontId="14" fillId="0" borderId="103" xfId="1" applyFont="1" applyBorder="1" applyAlignment="1">
      <alignment horizontal="center"/>
    </xf>
    <xf numFmtId="0" fontId="31" fillId="0" borderId="0" xfId="0" applyFont="1" applyBorder="1"/>
    <xf numFmtId="0" fontId="8" fillId="0" borderId="0" xfId="0" applyFont="1" applyBorder="1"/>
    <xf numFmtId="0" fontId="34" fillId="0" borderId="0" xfId="0" applyFont="1" applyBorder="1"/>
    <xf numFmtId="167" fontId="34" fillId="0" borderId="158" xfId="0" applyNumberFormat="1" applyFont="1" applyBorder="1" applyAlignment="1">
      <alignment horizontal="center" vertical="center"/>
    </xf>
    <xf numFmtId="0" fontId="34" fillId="0" borderId="158" xfId="0" applyFont="1" applyBorder="1" applyAlignment="1">
      <alignment horizontal="center" vertical="center"/>
    </xf>
    <xf numFmtId="167" fontId="34" fillId="0" borderId="163" xfId="0" applyNumberFormat="1" applyFont="1" applyBorder="1" applyAlignment="1">
      <alignment horizontal="center" vertical="center"/>
    </xf>
    <xf numFmtId="0" fontId="13" fillId="0" borderId="100" xfId="0" applyFont="1" applyBorder="1" applyAlignment="1">
      <alignment horizontal="center"/>
    </xf>
    <xf numFmtId="0" fontId="0" fillId="0" borderId="19" xfId="0" applyBorder="1" applyAlignment="1">
      <alignment horizontal="right"/>
    </xf>
    <xf numFmtId="0" fontId="20" fillId="0" borderId="0" xfId="0" applyFont="1" applyBorder="1"/>
    <xf numFmtId="0" fontId="13" fillId="12" borderId="141" xfId="0" applyFont="1" applyFill="1" applyBorder="1" applyAlignment="1">
      <alignment horizontal="right"/>
    </xf>
    <xf numFmtId="49" fontId="0" fillId="0" borderId="166" xfId="0" applyNumberFormat="1" applyBorder="1" applyAlignment="1">
      <alignment horizontal="center"/>
    </xf>
    <xf numFmtId="0" fontId="0" fillId="0" borderId="166" xfId="0" applyBorder="1" applyAlignment="1">
      <alignment horizontal="center"/>
    </xf>
    <xf numFmtId="0" fontId="0" fillId="0" borderId="167" xfId="0" applyBorder="1" applyAlignment="1">
      <alignment horizontal="center"/>
    </xf>
    <xf numFmtId="0" fontId="22" fillId="0" borderId="0" xfId="0" applyFont="1" applyBorder="1"/>
    <xf numFmtId="14" fontId="0" fillId="0" borderId="168" xfId="0" applyNumberFormat="1" applyBorder="1"/>
    <xf numFmtId="14" fontId="0" fillId="0" borderId="169" xfId="0" applyNumberFormat="1" applyBorder="1"/>
    <xf numFmtId="0" fontId="0" fillId="0" borderId="169" xfId="0" applyBorder="1"/>
    <xf numFmtId="49" fontId="0" fillId="0" borderId="91" xfId="0" applyNumberFormat="1" applyBorder="1"/>
    <xf numFmtId="49" fontId="0" fillId="0" borderId="21" xfId="0" applyNumberFormat="1" applyBorder="1"/>
    <xf numFmtId="49" fontId="0" fillId="0" borderId="22" xfId="0" applyNumberFormat="1" applyBorder="1"/>
    <xf numFmtId="0" fontId="13" fillId="13" borderId="127" xfId="0" applyFont="1" applyFill="1" applyBorder="1" applyAlignment="1">
      <alignment horizontal="right"/>
    </xf>
    <xf numFmtId="0" fontId="13" fillId="12" borderId="137" xfId="0" applyFont="1" applyFill="1" applyBorder="1" applyAlignment="1">
      <alignment horizontal="right"/>
    </xf>
    <xf numFmtId="0" fontId="13" fillId="13" borderId="131" xfId="0" applyFont="1" applyFill="1" applyBorder="1" applyAlignment="1">
      <alignment horizontal="right"/>
    </xf>
    <xf numFmtId="0" fontId="0" fillId="0" borderId="0" xfId="0" applyBorder="1"/>
    <xf numFmtId="0" fontId="0" fillId="0" borderId="103" xfId="0" applyBorder="1"/>
    <xf numFmtId="0" fontId="3" fillId="0" borderId="117" xfId="0" applyFont="1" applyFill="1" applyBorder="1"/>
    <xf numFmtId="14" fontId="3" fillId="0" borderId="118" xfId="0" applyNumberFormat="1" applyFont="1" applyFill="1" applyBorder="1"/>
    <xf numFmtId="20" fontId="3" fillId="0" borderId="118" xfId="0" applyNumberFormat="1" applyFont="1" applyFill="1" applyBorder="1"/>
    <xf numFmtId="0" fontId="3" fillId="0" borderId="118" xfId="0" applyFont="1" applyFill="1" applyBorder="1"/>
    <xf numFmtId="0" fontId="3" fillId="0" borderId="119" xfId="0" applyFont="1" applyFill="1" applyBorder="1"/>
    <xf numFmtId="0" fontId="13" fillId="14" borderId="170" xfId="0" applyFont="1" applyFill="1" applyBorder="1" applyAlignment="1">
      <alignment horizontal="right"/>
    </xf>
    <xf numFmtId="14" fontId="13" fillId="14" borderId="171" xfId="0" applyNumberFormat="1" applyFont="1" applyFill="1" applyBorder="1" applyAlignment="1">
      <alignment horizontal="center"/>
    </xf>
    <xf numFmtId="166" fontId="16" fillId="12" borderId="171" xfId="0" applyNumberFormat="1" applyFont="1" applyFill="1" applyBorder="1" applyAlignment="1" applyProtection="1">
      <alignment horizontal="right"/>
      <protection locked="0"/>
    </xf>
    <xf numFmtId="0" fontId="13" fillId="12" borderId="171" xfId="0" applyFont="1" applyFill="1" applyBorder="1" applyAlignment="1">
      <alignment horizontal="right"/>
    </xf>
    <xf numFmtId="166" fontId="16" fillId="12" borderId="173" xfId="0" applyNumberFormat="1" applyFont="1" applyFill="1" applyBorder="1" applyAlignment="1" applyProtection="1">
      <alignment horizontal="right"/>
      <protection locked="0"/>
    </xf>
    <xf numFmtId="0" fontId="13" fillId="12" borderId="170" xfId="0" applyFont="1" applyFill="1" applyBorder="1" applyAlignment="1">
      <alignment horizontal="right"/>
    </xf>
    <xf numFmtId="0" fontId="13" fillId="12" borderId="172" xfId="0" applyFont="1" applyFill="1" applyBorder="1" applyAlignment="1">
      <alignment horizontal="right"/>
    </xf>
    <xf numFmtId="0" fontId="13" fillId="12" borderId="174" xfId="0" applyFont="1" applyFill="1" applyBorder="1" applyAlignment="1">
      <alignment horizontal="right"/>
    </xf>
    <xf numFmtId="0" fontId="13" fillId="12" borderId="174" xfId="0" applyFont="1" applyFill="1" applyBorder="1" applyAlignment="1">
      <alignment horizontal="center"/>
    </xf>
    <xf numFmtId="2" fontId="32" fillId="0" borderId="177" xfId="0" applyNumberFormat="1" applyFont="1" applyBorder="1"/>
    <xf numFmtId="0" fontId="13" fillId="0" borderId="175" xfId="0" applyFont="1" applyBorder="1" applyAlignment="1">
      <alignment horizontal="center"/>
    </xf>
    <xf numFmtId="0" fontId="13" fillId="0" borderId="162" xfId="0" applyFont="1" applyBorder="1" applyAlignment="1">
      <alignment horizontal="center"/>
    </xf>
    <xf numFmtId="0" fontId="0" fillId="0" borderId="178" xfId="0" applyBorder="1"/>
    <xf numFmtId="0" fontId="13" fillId="0" borderId="182" xfId="0" applyFont="1" applyBorder="1" applyAlignment="1">
      <alignment horizontal="center"/>
    </xf>
    <xf numFmtId="14" fontId="0" fillId="0" borderId="103" xfId="0" applyNumberFormat="1" applyBorder="1"/>
    <xf numFmtId="0" fontId="0" fillId="0" borderId="0" xfId="0" applyBorder="1" applyAlignment="1">
      <alignment horizontal="center" vertical="center"/>
    </xf>
    <xf numFmtId="0" fontId="0" fillId="0" borderId="126" xfId="0" applyFill="1" applyBorder="1" applyAlignment="1">
      <alignment horizontal="center" vertical="center"/>
    </xf>
    <xf numFmtId="0" fontId="0" fillId="0" borderId="137" xfId="0" applyFill="1" applyBorder="1" applyAlignment="1">
      <alignment horizontal="center" vertical="center"/>
    </xf>
    <xf numFmtId="0" fontId="0" fillId="0" borderId="138" xfId="0" applyFill="1" applyBorder="1" applyAlignment="1">
      <alignment horizontal="center" vertical="center"/>
    </xf>
    <xf numFmtId="0" fontId="0" fillId="0" borderId="135" xfId="0" applyFill="1" applyBorder="1" applyAlignment="1">
      <alignment horizontal="center" vertical="center"/>
    </xf>
    <xf numFmtId="0" fontId="0" fillId="0" borderId="0" xfId="0" applyBorder="1" applyAlignment="1">
      <alignment horizontal="right"/>
    </xf>
    <xf numFmtId="0" fontId="0" fillId="0" borderId="129" xfId="0" applyFill="1" applyBorder="1" applyAlignment="1">
      <alignment horizontal="right"/>
    </xf>
    <xf numFmtId="0" fontId="0" fillId="0" borderId="139" xfId="0" applyFill="1" applyBorder="1" applyAlignment="1">
      <alignment horizontal="right"/>
    </xf>
    <xf numFmtId="0" fontId="0" fillId="0" borderId="140" xfId="0" applyFill="1" applyBorder="1" applyAlignment="1">
      <alignment horizontal="right"/>
    </xf>
    <xf numFmtId="0" fontId="0" fillId="0" borderId="134" xfId="0" applyFill="1" applyBorder="1" applyAlignment="1">
      <alignment horizontal="right"/>
    </xf>
    <xf numFmtId="0" fontId="0" fillId="0" borderId="0" xfId="0" applyBorder="1" applyAlignment="1">
      <alignment horizontal="center"/>
    </xf>
    <xf numFmtId="0" fontId="0" fillId="0" borderId="0" xfId="0" applyBorder="1"/>
    <xf numFmtId="14" fontId="0" fillId="0" borderId="143" xfId="0" applyNumberFormat="1" applyFill="1" applyBorder="1" applyAlignment="1">
      <alignment horizontal="center"/>
    </xf>
    <xf numFmtId="14" fontId="0" fillId="0" borderId="144" xfId="0" applyNumberFormat="1" applyFill="1" applyBorder="1" applyAlignment="1">
      <alignment horizontal="center"/>
    </xf>
    <xf numFmtId="14" fontId="0" fillId="0" borderId="147" xfId="0" applyNumberFormat="1" applyFill="1" applyBorder="1" applyAlignment="1">
      <alignment horizontal="center"/>
    </xf>
    <xf numFmtId="0" fontId="0" fillId="0" borderId="143" xfId="0" applyFill="1" applyBorder="1" applyAlignment="1">
      <alignment horizontal="center"/>
    </xf>
    <xf numFmtId="0" fontId="0" fillId="0" borderId="148" xfId="0" applyFill="1" applyBorder="1" applyAlignment="1">
      <alignment horizontal="center"/>
    </xf>
    <xf numFmtId="0" fontId="0" fillId="0" borderId="126" xfId="0" applyFill="1" applyBorder="1"/>
    <xf numFmtId="0" fontId="0" fillId="0" borderId="137" xfId="0" applyFill="1" applyBorder="1"/>
    <xf numFmtId="0" fontId="0" fillId="0" borderId="138" xfId="0" applyFill="1" applyBorder="1"/>
    <xf numFmtId="0" fontId="0" fillId="0" borderId="132" xfId="0" applyFill="1" applyBorder="1"/>
    <xf numFmtId="0" fontId="0" fillId="0" borderId="141" xfId="0" applyFill="1" applyBorder="1"/>
    <xf numFmtId="0" fontId="0" fillId="0" borderId="142" xfId="0" applyFill="1" applyBorder="1"/>
    <xf numFmtId="0" fontId="0" fillId="0" borderId="135" xfId="0" applyFill="1" applyBorder="1"/>
    <xf numFmtId="0" fontId="0" fillId="0" borderId="136" xfId="0" applyFill="1" applyBorder="1"/>
    <xf numFmtId="0" fontId="0" fillId="0" borderId="185" xfId="0" applyFill="1" applyBorder="1" applyAlignment="1">
      <alignment horizontal="center" vertical="center"/>
    </xf>
    <xf numFmtId="0" fontId="0" fillId="0" borderId="186" xfId="0" applyFill="1" applyBorder="1" applyAlignment="1">
      <alignment horizontal="center" vertical="center"/>
    </xf>
    <xf numFmtId="0" fontId="0" fillId="0" borderId="187" xfId="0" applyFill="1" applyBorder="1" applyAlignment="1">
      <alignment horizontal="center" vertical="center"/>
    </xf>
    <xf numFmtId="0" fontId="0" fillId="0" borderId="188" xfId="0" applyFill="1" applyBorder="1" applyAlignment="1">
      <alignment horizontal="center" vertical="center"/>
    </xf>
    <xf numFmtId="0" fontId="0" fillId="0" borderId="189" xfId="0" applyFill="1" applyBorder="1" applyAlignment="1">
      <alignment horizontal="center" vertical="center"/>
    </xf>
    <xf numFmtId="0" fontId="0" fillId="0" borderId="143" xfId="0" applyFill="1" applyBorder="1"/>
    <xf numFmtId="0" fontId="0" fillId="0" borderId="144" xfId="0" applyFill="1" applyBorder="1"/>
    <xf numFmtId="0" fontId="0" fillId="0" borderId="147" xfId="0" applyFill="1" applyBorder="1"/>
    <xf numFmtId="0" fontId="0" fillId="0" borderId="148" xfId="0" applyFill="1" applyBorder="1"/>
    <xf numFmtId="0" fontId="0" fillId="0" borderId="185" xfId="0" applyFill="1" applyBorder="1"/>
    <xf numFmtId="0" fontId="0" fillId="0" borderId="186" xfId="0" applyFill="1" applyBorder="1"/>
    <xf numFmtId="0" fontId="0" fillId="0" borderId="187" xfId="0" applyFill="1" applyBorder="1"/>
    <xf numFmtId="0" fontId="0" fillId="0" borderId="188" xfId="0" applyFill="1" applyBorder="1"/>
    <xf numFmtId="0" fontId="0" fillId="0" borderId="189" xfId="0" applyFill="1" applyBorder="1"/>
    <xf numFmtId="0" fontId="0" fillId="11" borderId="3" xfId="0" applyFill="1" applyBorder="1" applyAlignment="1">
      <alignment horizontal="center"/>
    </xf>
    <xf numFmtId="0" fontId="0" fillId="11" borderId="4" xfId="0" applyFill="1" applyBorder="1" applyAlignment="1">
      <alignment horizontal="center"/>
    </xf>
    <xf numFmtId="0" fontId="0" fillId="11" borderId="5" xfId="0" applyFill="1" applyBorder="1" applyAlignment="1">
      <alignment horizontal="center"/>
    </xf>
    <xf numFmtId="0" fontId="8" fillId="0" borderId="18" xfId="0" applyFont="1" applyBorder="1" applyAlignment="1">
      <alignment horizontal="center"/>
    </xf>
    <xf numFmtId="0" fontId="8" fillId="0" borderId="20" xfId="0" applyFont="1" applyBorder="1" applyAlignment="1">
      <alignment horizontal="center"/>
    </xf>
    <xf numFmtId="0" fontId="24" fillId="0" borderId="39" xfId="0" applyFont="1" applyBorder="1" applyAlignment="1">
      <alignment horizontal="center"/>
    </xf>
    <xf numFmtId="0" fontId="27" fillId="0" borderId="91" xfId="0" applyFont="1" applyFill="1" applyBorder="1" applyAlignment="1">
      <alignment horizontal="center" vertical="center"/>
    </xf>
    <xf numFmtId="166" fontId="8" fillId="12" borderId="153" xfId="0" applyNumberFormat="1" applyFont="1" applyFill="1" applyBorder="1" applyAlignment="1">
      <alignment horizontal="center" vertical="center"/>
    </xf>
    <xf numFmtId="166" fontId="8" fillId="13" borderId="149" xfId="0" applyNumberFormat="1" applyFont="1" applyFill="1" applyBorder="1" applyAlignment="1">
      <alignment horizontal="center" vertical="center"/>
    </xf>
    <xf numFmtId="166" fontId="8" fillId="12" borderId="149" xfId="0" applyNumberFormat="1" applyFont="1" applyFill="1" applyBorder="1" applyAlignment="1">
      <alignment horizontal="center" vertical="center"/>
    </xf>
    <xf numFmtId="166" fontId="8" fillId="12" borderId="150" xfId="0" applyNumberFormat="1" applyFont="1" applyFill="1" applyBorder="1" applyAlignment="1">
      <alignment horizontal="center" vertical="center"/>
    </xf>
    <xf numFmtId="0" fontId="5" fillId="0" borderId="91" xfId="0" applyFont="1" applyFill="1" applyBorder="1" applyAlignment="1">
      <alignment horizontal="center" vertical="center"/>
    </xf>
    <xf numFmtId="166" fontId="24" fillId="12" borderId="149" xfId="0" applyNumberFormat="1" applyFont="1" applyFill="1" applyBorder="1" applyAlignment="1">
      <alignment horizontal="center"/>
    </xf>
    <xf numFmtId="0" fontId="11" fillId="0" borderId="0" xfId="0" applyFont="1" applyAlignment="1">
      <alignment horizontal="center"/>
    </xf>
    <xf numFmtId="166" fontId="8" fillId="12" borderId="174" xfId="0" applyNumberFormat="1" applyFont="1" applyFill="1" applyBorder="1" applyAlignment="1">
      <alignment horizontal="center"/>
    </xf>
    <xf numFmtId="166" fontId="8" fillId="13" borderId="149" xfId="0" applyNumberFormat="1" applyFont="1" applyFill="1" applyBorder="1" applyAlignment="1">
      <alignment horizontal="center"/>
    </xf>
    <xf numFmtId="166" fontId="8" fillId="12" borderId="149" xfId="0" applyNumberFormat="1" applyFont="1" applyFill="1" applyBorder="1" applyAlignment="1">
      <alignment horizontal="center"/>
    </xf>
    <xf numFmtId="0" fontId="6" fillId="0" borderId="167" xfId="0" applyFont="1" applyBorder="1" applyAlignment="1">
      <alignment horizontal="center"/>
    </xf>
    <xf numFmtId="0" fontId="6" fillId="0" borderId="164" xfId="0" applyFont="1" applyBorder="1" applyAlignment="1">
      <alignment horizontal="center"/>
    </xf>
    <xf numFmtId="0" fontId="6" fillId="0" borderId="179" xfId="0" applyFont="1" applyBorder="1" applyAlignment="1">
      <alignment horizontal="center"/>
    </xf>
    <xf numFmtId="0" fontId="6" fillId="0" borderId="163" xfId="0" applyFont="1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107" xfId="0" applyBorder="1" applyAlignment="1">
      <alignment horizontal="center"/>
    </xf>
    <xf numFmtId="0" fontId="13" fillId="0" borderId="183" xfId="0" applyFont="1" applyBorder="1" applyAlignment="1">
      <alignment horizontal="center"/>
    </xf>
    <xf numFmtId="0" fontId="13" fillId="0" borderId="176" xfId="0" applyFont="1" applyBorder="1" applyAlignment="1">
      <alignment horizontal="center"/>
    </xf>
    <xf numFmtId="0" fontId="13" fillId="0" borderId="8" xfId="0" applyFont="1" applyBorder="1" applyAlignment="1">
      <alignment horizontal="center"/>
    </xf>
    <xf numFmtId="0" fontId="13" fillId="0" borderId="180" xfId="0" applyFont="1" applyBorder="1" applyAlignment="1">
      <alignment horizontal="center"/>
    </xf>
    <xf numFmtId="0" fontId="13" fillId="0" borderId="184" xfId="0" applyFont="1" applyBorder="1" applyAlignment="1">
      <alignment horizontal="center"/>
    </xf>
    <xf numFmtId="0" fontId="8" fillId="0" borderId="28" xfId="0" applyFont="1" applyBorder="1" applyAlignment="1">
      <alignment horizontal="center"/>
    </xf>
    <xf numFmtId="0" fontId="0" fillId="0" borderId="0" xfId="0" applyAlignment="1">
      <alignment horizontal="center"/>
    </xf>
    <xf numFmtId="0" fontId="8" fillId="0" borderId="3" xfId="0" applyFont="1" applyBorder="1" applyAlignment="1">
      <alignment horizontal="center"/>
    </xf>
    <xf numFmtId="0" fontId="8" fillId="0" borderId="4" xfId="0" applyFont="1" applyBorder="1" applyAlignment="1">
      <alignment horizontal="center"/>
    </xf>
    <xf numFmtId="0" fontId="8" fillId="0" borderId="5" xfId="0" applyFont="1" applyBorder="1" applyAlignment="1">
      <alignment horizontal="center"/>
    </xf>
    <xf numFmtId="166" fontId="8" fillId="12" borderId="150" xfId="0" applyNumberFormat="1" applyFont="1" applyFill="1" applyBorder="1" applyAlignment="1">
      <alignment horizontal="center"/>
    </xf>
    <xf numFmtId="166" fontId="8" fillId="12" borderId="153" xfId="0" applyNumberFormat="1" applyFont="1" applyFill="1" applyBorder="1" applyAlignment="1">
      <alignment horizontal="center"/>
    </xf>
    <xf numFmtId="0" fontId="36" fillId="18" borderId="123" xfId="0" applyFont="1" applyFill="1" applyBorder="1" applyAlignment="1">
      <alignment horizontal="center"/>
    </xf>
    <xf numFmtId="0" fontId="36" fillId="18" borderId="113" xfId="0" applyFont="1" applyFill="1" applyBorder="1" applyAlignment="1">
      <alignment horizontal="center"/>
    </xf>
    <xf numFmtId="0" fontId="35" fillId="18" borderId="123" xfId="0" applyFont="1" applyFill="1" applyBorder="1" applyAlignment="1">
      <alignment horizontal="center"/>
    </xf>
    <xf numFmtId="166" fontId="8" fillId="12" borderId="174" xfId="0" applyNumberFormat="1" applyFont="1" applyFill="1" applyBorder="1" applyAlignment="1">
      <alignment horizontal="center" vertical="center"/>
    </xf>
    <xf numFmtId="166" fontId="24" fillId="12" borderId="174" xfId="0" applyNumberFormat="1" applyFont="1" applyFill="1" applyBorder="1" applyAlignment="1">
      <alignment horizontal="center"/>
    </xf>
    <xf numFmtId="166" fontId="24" fillId="13" borderId="149" xfId="0" applyNumberFormat="1" applyFont="1" applyFill="1" applyBorder="1" applyAlignment="1">
      <alignment horizontal="center"/>
    </xf>
    <xf numFmtId="166" fontId="24" fillId="12" borderId="150" xfId="0" applyNumberFormat="1" applyFont="1" applyFill="1" applyBorder="1" applyAlignment="1">
      <alignment horizontal="center"/>
    </xf>
    <xf numFmtId="0" fontId="8" fillId="0" borderId="35" xfId="0" applyFont="1" applyBorder="1" applyAlignment="1">
      <alignment horizontal="center"/>
    </xf>
    <xf numFmtId="0" fontId="8" fillId="0" borderId="30" xfId="0" applyFont="1" applyBorder="1" applyAlignment="1">
      <alignment horizontal="center"/>
    </xf>
    <xf numFmtId="0" fontId="8" fillId="0" borderId="29" xfId="0" applyFont="1" applyBorder="1" applyAlignment="1">
      <alignment horizontal="center"/>
    </xf>
    <xf numFmtId="0" fontId="8" fillId="0" borderId="181" xfId="0" applyFont="1" applyBorder="1" applyAlignment="1">
      <alignment horizontal="center"/>
    </xf>
    <xf numFmtId="0" fontId="8" fillId="0" borderId="31" xfId="0" applyFont="1" applyBorder="1" applyAlignment="1">
      <alignment horizontal="center"/>
    </xf>
    <xf numFmtId="166" fontId="8" fillId="13" borderId="152" xfId="0" applyNumberFormat="1" applyFont="1" applyFill="1" applyBorder="1" applyAlignment="1">
      <alignment horizontal="center"/>
    </xf>
    <xf numFmtId="166" fontId="8" fillId="13" borderId="151" xfId="0" applyNumberFormat="1" applyFont="1" applyFill="1" applyBorder="1" applyAlignment="1">
      <alignment horizontal="center"/>
    </xf>
    <xf numFmtId="166" fontId="8" fillId="13" borderId="151" xfId="0" applyNumberFormat="1" applyFont="1" applyFill="1" applyBorder="1" applyAlignment="1">
      <alignment horizontal="center" vertical="center"/>
    </xf>
    <xf numFmtId="166" fontId="8" fillId="13" borderId="152" xfId="0" applyNumberFormat="1" applyFont="1" applyFill="1" applyBorder="1" applyAlignment="1">
      <alignment horizontal="center" vertical="center"/>
    </xf>
    <xf numFmtId="166" fontId="8" fillId="15" borderId="151" xfId="0" applyNumberFormat="1" applyFont="1" applyFill="1" applyBorder="1" applyAlignment="1">
      <alignment horizontal="center" vertical="center"/>
    </xf>
    <xf numFmtId="166" fontId="8" fillId="15" borderId="149" xfId="0" applyNumberFormat="1" applyFont="1" applyFill="1" applyBorder="1" applyAlignment="1">
      <alignment horizontal="center" vertical="center"/>
    </xf>
    <xf numFmtId="166" fontId="8" fillId="15" borderId="154" xfId="0" applyNumberFormat="1" applyFont="1" applyFill="1" applyBorder="1" applyAlignment="1">
      <alignment horizontal="center" vertical="center"/>
    </xf>
    <xf numFmtId="166" fontId="8" fillId="15" borderId="151" xfId="0" applyNumberFormat="1" applyFont="1" applyFill="1" applyBorder="1" applyAlignment="1">
      <alignment horizontal="center"/>
    </xf>
    <xf numFmtId="166" fontId="24" fillId="13" borderId="152" xfId="0" applyNumberFormat="1" applyFont="1" applyFill="1" applyBorder="1" applyAlignment="1">
      <alignment horizontal="center"/>
    </xf>
    <xf numFmtId="166" fontId="24" fillId="12" borderId="153" xfId="0" applyNumberFormat="1" applyFont="1" applyFill="1" applyBorder="1" applyAlignment="1">
      <alignment horizontal="center"/>
    </xf>
    <xf numFmtId="0" fontId="25" fillId="0" borderId="91" xfId="0" applyFont="1" applyFill="1" applyBorder="1" applyAlignment="1">
      <alignment horizontal="center" vertical="center"/>
    </xf>
    <xf numFmtId="0" fontId="26" fillId="0" borderId="91" xfId="0" applyFont="1" applyFill="1" applyBorder="1" applyAlignment="1">
      <alignment horizontal="center" vertical="center"/>
    </xf>
    <xf numFmtId="166" fontId="8" fillId="15" borderId="149" xfId="0" applyNumberFormat="1" applyFont="1" applyFill="1" applyBorder="1" applyAlignment="1">
      <alignment horizontal="center"/>
    </xf>
    <xf numFmtId="166" fontId="24" fillId="15" borderId="149" xfId="0" applyNumberFormat="1" applyFont="1" applyFill="1" applyBorder="1" applyAlignment="1">
      <alignment horizontal="center"/>
    </xf>
    <xf numFmtId="166" fontId="24" fillId="15" borderId="154" xfId="0" applyNumberFormat="1" applyFont="1" applyFill="1" applyBorder="1" applyAlignment="1">
      <alignment horizontal="center"/>
    </xf>
    <xf numFmtId="166" fontId="8" fillId="15" borderId="154" xfId="0" applyNumberFormat="1" applyFont="1" applyFill="1" applyBorder="1" applyAlignment="1">
      <alignment horizontal="center"/>
    </xf>
    <xf numFmtId="166" fontId="24" fillId="15" borderId="151" xfId="0" applyNumberFormat="1" applyFont="1" applyFill="1" applyBorder="1" applyAlignment="1">
      <alignment horizontal="center"/>
    </xf>
    <xf numFmtId="166" fontId="24" fillId="13" borderId="151" xfId="0" applyNumberFormat="1" applyFont="1" applyFill="1" applyBorder="1" applyAlignment="1">
      <alignment horizontal="center"/>
    </xf>
    <xf numFmtId="14" fontId="0" fillId="0" borderId="0" xfId="0" applyNumberFormat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49" fontId="0" fillId="0" borderId="116" xfId="0" applyNumberFormat="1" applyBorder="1" applyAlignment="1">
      <alignment horizontal="center"/>
    </xf>
    <xf numFmtId="49" fontId="0" fillId="0" borderId="5" xfId="0" applyNumberFormat="1" applyBorder="1" applyAlignment="1">
      <alignment horizontal="center"/>
    </xf>
    <xf numFmtId="0" fontId="3" fillId="0" borderId="116" xfId="0" applyFont="1" applyFill="1" applyBorder="1" applyAlignment="1">
      <alignment horizontal="center"/>
    </xf>
    <xf numFmtId="0" fontId="3" fillId="0" borderId="5" xfId="0" applyFont="1" applyFill="1" applyBorder="1" applyAlignment="1">
      <alignment horizontal="center"/>
    </xf>
    <xf numFmtId="0" fontId="22" fillId="0" borderId="0" xfId="0" applyFont="1" applyAlignment="1">
      <alignment horizontal="center"/>
    </xf>
    <xf numFmtId="0" fontId="6" fillId="0" borderId="18" xfId="0" applyFont="1" applyBorder="1" applyAlignment="1">
      <alignment horizontal="center" vertical="center"/>
    </xf>
    <xf numFmtId="0" fontId="6" fillId="0" borderId="19" xfId="0" applyFont="1" applyBorder="1" applyAlignment="1">
      <alignment horizontal="center" vertical="center"/>
    </xf>
    <xf numFmtId="0" fontId="6" fillId="0" borderId="20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0" borderId="8" xfId="0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5" fillId="0" borderId="0" xfId="0" applyFont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5" xfId="0" applyBorder="1" applyAlignment="1">
      <alignment horizontal="center"/>
    </xf>
    <xf numFmtId="0" fontId="8" fillId="9" borderId="18" xfId="0" applyFont="1" applyFill="1" applyBorder="1" applyAlignment="1">
      <alignment horizontal="center"/>
    </xf>
    <xf numFmtId="0" fontId="8" fillId="9" borderId="19" xfId="0" applyFont="1" applyFill="1" applyBorder="1" applyAlignment="1">
      <alignment horizontal="center"/>
    </xf>
    <xf numFmtId="0" fontId="8" fillId="9" borderId="20" xfId="0" applyFont="1" applyFill="1" applyBorder="1" applyAlignment="1">
      <alignment horizontal="center"/>
    </xf>
    <xf numFmtId="0" fontId="0" fillId="10" borderId="3" xfId="0" applyFill="1" applyBorder="1" applyAlignment="1">
      <alignment horizontal="center"/>
    </xf>
    <xf numFmtId="0" fontId="0" fillId="10" borderId="4" xfId="0" applyFill="1" applyBorder="1" applyAlignment="1">
      <alignment horizontal="center"/>
    </xf>
    <xf numFmtId="0" fontId="0" fillId="10" borderId="5" xfId="0" applyFill="1" applyBorder="1" applyAlignment="1">
      <alignment horizontal="center"/>
    </xf>
    <xf numFmtId="0" fontId="8" fillId="0" borderId="32" xfId="0" applyFont="1" applyBorder="1" applyAlignment="1">
      <alignment horizontal="center"/>
    </xf>
    <xf numFmtId="0" fontId="8" fillId="0" borderId="23" xfId="0" applyFont="1" applyBorder="1" applyAlignment="1">
      <alignment horizontal="center"/>
    </xf>
    <xf numFmtId="0" fontId="8" fillId="0" borderId="24" xfId="0" applyFont="1" applyBorder="1" applyAlignment="1">
      <alignment horizontal="center"/>
    </xf>
    <xf numFmtId="0" fontId="8" fillId="0" borderId="24" xfId="0" applyFont="1" applyBorder="1" applyAlignment="1">
      <alignment horizontal="left"/>
    </xf>
    <xf numFmtId="0" fontId="8" fillId="0" borderId="25" xfId="0" applyFont="1" applyBorder="1" applyAlignment="1">
      <alignment horizontal="left"/>
    </xf>
    <xf numFmtId="19" fontId="8" fillId="8" borderId="26" xfId="0" applyNumberFormat="1" applyFont="1" applyFill="1" applyBorder="1" applyAlignment="1">
      <alignment horizontal="center"/>
    </xf>
    <xf numFmtId="0" fontId="8" fillId="8" borderId="27" xfId="0" applyFont="1" applyFill="1" applyBorder="1" applyAlignment="1">
      <alignment horizontal="center"/>
    </xf>
    <xf numFmtId="0" fontId="8" fillId="0" borderId="18" xfId="0" applyFont="1" applyBorder="1" applyAlignment="1">
      <alignment horizontal="center" shrinkToFit="1"/>
    </xf>
    <xf numFmtId="0" fontId="0" fillId="0" borderId="19" xfId="0" applyBorder="1" applyAlignment="1">
      <alignment horizontal="center" shrinkToFit="1"/>
    </xf>
    <xf numFmtId="0" fontId="0" fillId="0" borderId="20" xfId="0" applyBorder="1" applyAlignment="1">
      <alignment horizontal="center" shrinkToFit="1"/>
    </xf>
    <xf numFmtId="0" fontId="8" fillId="0" borderId="33" xfId="0" applyFont="1" applyBorder="1" applyAlignment="1">
      <alignment horizontal="center"/>
    </xf>
    <xf numFmtId="0" fontId="8" fillId="0" borderId="27" xfId="0" applyFont="1" applyBorder="1" applyAlignment="1">
      <alignment horizontal="center"/>
    </xf>
    <xf numFmtId="0" fontId="8" fillId="0" borderId="34" xfId="0" applyFont="1" applyBorder="1" applyAlignment="1">
      <alignment horizontal="center"/>
    </xf>
    <xf numFmtId="0" fontId="29" fillId="0" borderId="17" xfId="0" applyFont="1" applyBorder="1" applyAlignment="1">
      <alignment horizontal="center" vertical="center"/>
    </xf>
    <xf numFmtId="167" fontId="29" fillId="0" borderId="17" xfId="0" applyNumberFormat="1" applyFont="1" applyBorder="1" applyAlignment="1">
      <alignment horizontal="center" vertical="center" wrapText="1"/>
    </xf>
    <xf numFmtId="0" fontId="29" fillId="0" borderId="17" xfId="0" applyFont="1" applyBorder="1" applyAlignment="1">
      <alignment horizontal="center" vertical="center" wrapText="1"/>
    </xf>
    <xf numFmtId="167" fontId="29" fillId="0" borderId="17" xfId="0" applyNumberFormat="1" applyFont="1" applyBorder="1" applyAlignment="1">
      <alignment horizontal="center" vertical="center"/>
    </xf>
    <xf numFmtId="0" fontId="31" fillId="0" borderId="0" xfId="0" applyFont="1" applyBorder="1" applyAlignment="1">
      <alignment horizontal="center"/>
    </xf>
    <xf numFmtId="0" fontId="34" fillId="0" borderId="0" xfId="0" applyFont="1" applyBorder="1" applyAlignment="1">
      <alignment horizontal="center"/>
    </xf>
    <xf numFmtId="0" fontId="0" fillId="0" borderId="17" xfId="0" applyBorder="1" applyAlignment="1">
      <alignment horizontal="center" vertical="center"/>
    </xf>
    <xf numFmtId="0" fontId="19" fillId="0" borderId="96" xfId="0" applyFont="1" applyBorder="1" applyAlignment="1">
      <alignment horizontal="center" vertical="center"/>
    </xf>
    <xf numFmtId="0" fontId="19" fillId="0" borderId="38" xfId="0" applyFont="1" applyBorder="1" applyAlignment="1">
      <alignment horizontal="center" vertical="center"/>
    </xf>
    <xf numFmtId="0" fontId="19" fillId="0" borderId="99" xfId="0" applyFont="1" applyBorder="1" applyAlignment="1">
      <alignment horizontal="center" vertical="center"/>
    </xf>
    <xf numFmtId="167" fontId="29" fillId="0" borderId="28" xfId="0" applyNumberFormat="1" applyFont="1" applyBorder="1" applyAlignment="1">
      <alignment horizontal="center" vertical="center"/>
    </xf>
    <xf numFmtId="167" fontId="29" fillId="0" borderId="158" xfId="0" applyNumberFormat="1" applyFont="1" applyBorder="1" applyAlignment="1">
      <alignment horizontal="center" vertical="center"/>
    </xf>
    <xf numFmtId="167" fontId="29" fillId="0" borderId="100" xfId="0" applyNumberFormat="1" applyFont="1" applyBorder="1" applyAlignment="1">
      <alignment horizontal="center" vertical="center"/>
    </xf>
    <xf numFmtId="167" fontId="29" fillId="0" borderId="35" xfId="0" applyNumberFormat="1" applyFont="1" applyBorder="1" applyAlignment="1">
      <alignment horizontal="center" vertical="center" wrapText="1"/>
    </xf>
    <xf numFmtId="167" fontId="29" fillId="0" borderId="164" xfId="0" applyNumberFormat="1" applyFont="1" applyBorder="1" applyAlignment="1">
      <alignment horizontal="center" vertical="center"/>
    </xf>
    <xf numFmtId="167" fontId="29" fillId="0" borderId="24" xfId="0" applyNumberFormat="1" applyFont="1" applyBorder="1" applyAlignment="1">
      <alignment horizontal="center" vertical="center"/>
    </xf>
    <xf numFmtId="0" fontId="18" fillId="0" borderId="9" xfId="0" applyFont="1" applyBorder="1" applyAlignment="1">
      <alignment horizontal="center" vertical="center" textRotation="90"/>
    </xf>
    <xf numFmtId="0" fontId="18" fillId="0" borderId="97" xfId="0" applyFont="1" applyBorder="1" applyAlignment="1">
      <alignment horizontal="center" vertical="center" textRotation="90"/>
    </xf>
    <xf numFmtId="0" fontId="18" fillId="0" borderId="155" xfId="0" applyFont="1" applyBorder="1" applyAlignment="1">
      <alignment horizontal="center" vertical="center" textRotation="90"/>
    </xf>
    <xf numFmtId="0" fontId="13" fillId="0" borderId="19" xfId="0" applyFont="1" applyBorder="1" applyAlignment="1">
      <alignment horizontal="center" vertical="center" wrapText="1"/>
    </xf>
    <xf numFmtId="0" fontId="13" fillId="0" borderId="0" xfId="0" applyFont="1" applyBorder="1" applyAlignment="1">
      <alignment horizontal="center" vertical="center" wrapText="1"/>
    </xf>
    <xf numFmtId="0" fontId="13" fillId="0" borderId="8" xfId="0" applyFont="1" applyBorder="1" applyAlignment="1">
      <alignment horizontal="center" vertical="center" wrapText="1"/>
    </xf>
    <xf numFmtId="0" fontId="18" fillId="0" borderId="14" xfId="0" applyFont="1" applyBorder="1" applyAlignment="1">
      <alignment horizontal="center" vertical="center" textRotation="90" wrapText="1"/>
    </xf>
    <xf numFmtId="0" fontId="18" fillId="0" borderId="104" xfId="0" applyFont="1" applyBorder="1" applyAlignment="1">
      <alignment horizontal="center" vertical="center" textRotation="90" wrapText="1"/>
    </xf>
    <xf numFmtId="0" fontId="18" fillId="0" borderId="11" xfId="0" applyFont="1" applyBorder="1" applyAlignment="1">
      <alignment horizontal="center" vertical="center" textRotation="90" wrapText="1"/>
    </xf>
    <xf numFmtId="0" fontId="13" fillId="0" borderId="17" xfId="0" applyFont="1" applyBorder="1" applyAlignment="1">
      <alignment horizontal="center" vertical="center" wrapText="1"/>
    </xf>
    <xf numFmtId="0" fontId="13" fillId="0" borderId="39" xfId="0" applyFont="1" applyBorder="1" applyAlignment="1">
      <alignment horizontal="center" vertical="center" wrapText="1"/>
    </xf>
    <xf numFmtId="0" fontId="13" fillId="0" borderId="54" xfId="0" applyFont="1" applyBorder="1" applyAlignment="1">
      <alignment horizontal="center" vertical="center" wrapText="1"/>
    </xf>
    <xf numFmtId="0" fontId="13" fillId="0" borderId="91" xfId="0" applyFont="1" applyBorder="1" applyAlignment="1">
      <alignment horizontal="center" vertical="center" wrapText="1"/>
    </xf>
    <xf numFmtId="0" fontId="18" fillId="0" borderId="96" xfId="0" applyFont="1" applyBorder="1" applyAlignment="1">
      <alignment horizontal="center" vertical="center" textRotation="90" wrapText="1"/>
    </xf>
    <xf numFmtId="0" fontId="18" fillId="0" borderId="38" xfId="0" applyFont="1" applyBorder="1" applyAlignment="1">
      <alignment horizontal="center" vertical="center" textRotation="90" wrapText="1"/>
    </xf>
    <xf numFmtId="0" fontId="18" fillId="0" borderId="99" xfId="0" applyFont="1" applyBorder="1" applyAlignment="1">
      <alignment horizontal="center" vertical="center" textRotation="90" wrapText="1"/>
    </xf>
    <xf numFmtId="0" fontId="13" fillId="0" borderId="28" xfId="0" applyFont="1" applyBorder="1" applyAlignment="1">
      <alignment horizontal="center" vertical="center" wrapText="1"/>
    </xf>
    <xf numFmtId="0" fontId="13" fillId="0" borderId="158" xfId="0" applyFont="1" applyBorder="1" applyAlignment="1">
      <alignment horizontal="center" vertical="center" wrapText="1"/>
    </xf>
    <xf numFmtId="0" fontId="13" fillId="0" borderId="100" xfId="0" applyFont="1" applyBorder="1" applyAlignment="1">
      <alignment horizontal="center" vertical="center" wrapText="1"/>
    </xf>
    <xf numFmtId="0" fontId="0" fillId="0" borderId="28" xfId="0" applyBorder="1" applyAlignment="1">
      <alignment horizontal="center" vertical="center" wrapText="1"/>
    </xf>
    <xf numFmtId="0" fontId="0" fillId="0" borderId="158" xfId="0" applyBorder="1" applyAlignment="1">
      <alignment horizontal="center" vertical="center" wrapText="1"/>
    </xf>
    <xf numFmtId="0" fontId="13" fillId="0" borderId="30" xfId="0" applyFont="1" applyBorder="1" applyAlignment="1">
      <alignment horizontal="center" vertical="center" wrapText="1"/>
    </xf>
    <xf numFmtId="0" fontId="0" fillId="0" borderId="163" xfId="0" applyBorder="1" applyAlignment="1">
      <alignment horizontal="center" vertical="center" wrapText="1"/>
    </xf>
    <xf numFmtId="0" fontId="19" fillId="0" borderId="96" xfId="0" applyFont="1" applyBorder="1" applyAlignment="1">
      <alignment horizontal="center" vertical="center" wrapText="1"/>
    </xf>
    <xf numFmtId="167" fontId="29" fillId="0" borderId="35" xfId="0" applyNumberFormat="1" applyFont="1" applyBorder="1" applyAlignment="1">
      <alignment horizontal="center" vertical="center"/>
    </xf>
    <xf numFmtId="0" fontId="33" fillId="0" borderId="14" xfId="0" applyFont="1" applyBorder="1" applyAlignment="1">
      <alignment horizontal="center" vertical="center"/>
    </xf>
    <xf numFmtId="0" fontId="33" fillId="0" borderId="104" xfId="0" applyFont="1" applyBorder="1" applyAlignment="1">
      <alignment horizontal="center" vertical="center"/>
    </xf>
    <xf numFmtId="0" fontId="33" fillId="0" borderId="11" xfId="0" applyFont="1" applyBorder="1" applyAlignment="1">
      <alignment horizontal="center" vertical="center"/>
    </xf>
    <xf numFmtId="0" fontId="13" fillId="17" borderId="165" xfId="0" applyFont="1" applyFill="1" applyBorder="1" applyAlignment="1">
      <alignment horizontal="center"/>
    </xf>
    <xf numFmtId="0" fontId="0" fillId="17" borderId="164" xfId="0" applyFill="1" applyBorder="1" applyAlignment="1">
      <alignment horizontal="center"/>
    </xf>
    <xf numFmtId="0" fontId="0" fillId="17" borderId="163" xfId="0" applyFill="1" applyBorder="1" applyAlignment="1">
      <alignment horizontal="center"/>
    </xf>
    <xf numFmtId="0" fontId="13" fillId="17" borderId="164" xfId="0" applyFont="1" applyFill="1" applyBorder="1" applyAlignment="1">
      <alignment horizontal="center"/>
    </xf>
    <xf numFmtId="0" fontId="13" fillId="17" borderId="163" xfId="0" applyFont="1" applyFill="1" applyBorder="1" applyAlignment="1">
      <alignment horizontal="center"/>
    </xf>
    <xf numFmtId="0" fontId="0" fillId="0" borderId="161" xfId="0" applyBorder="1"/>
    <xf numFmtId="0" fontId="0" fillId="0" borderId="160" xfId="0" applyBorder="1"/>
    <xf numFmtId="0" fontId="0" fillId="0" borderId="162" xfId="0" applyBorder="1"/>
    <xf numFmtId="0" fontId="0" fillId="0" borderId="94" xfId="0" applyBorder="1"/>
    <xf numFmtId="0" fontId="0" fillId="0" borderId="0" xfId="0" applyBorder="1"/>
    <xf numFmtId="0" fontId="0" fillId="0" borderId="93" xfId="0" applyBorder="1"/>
    <xf numFmtId="0" fontId="0" fillId="0" borderId="102" xfId="0" applyBorder="1"/>
    <xf numFmtId="0" fontId="0" fillId="0" borderId="103" xfId="0" applyBorder="1"/>
    <xf numFmtId="0" fontId="0" fillId="0" borderId="95" xfId="0" applyBorder="1"/>
    <xf numFmtId="0" fontId="13" fillId="0" borderId="165" xfId="0" applyFont="1" applyBorder="1" applyAlignment="1">
      <alignment horizontal="center"/>
    </xf>
    <xf numFmtId="0" fontId="0" fillId="0" borderId="164" xfId="0" applyBorder="1" applyAlignment="1">
      <alignment horizontal="center"/>
    </xf>
    <xf numFmtId="0" fontId="0" fillId="0" borderId="163" xfId="0" applyBorder="1" applyAlignment="1">
      <alignment horizontal="center"/>
    </xf>
    <xf numFmtId="0" fontId="13" fillId="0" borderId="163" xfId="0" applyFont="1" applyBorder="1" applyAlignment="1">
      <alignment horizontal="center"/>
    </xf>
    <xf numFmtId="0" fontId="0" fillId="0" borderId="161" xfId="0" applyBorder="1" applyAlignment="1">
      <alignment horizontal="center"/>
    </xf>
    <xf numFmtId="0" fontId="0" fillId="0" borderId="162" xfId="0" applyBorder="1" applyAlignment="1">
      <alignment horizontal="center"/>
    </xf>
    <xf numFmtId="0" fontId="0" fillId="0" borderId="94" xfId="0" applyBorder="1" applyAlignment="1">
      <alignment horizontal="center"/>
    </xf>
    <xf numFmtId="0" fontId="0" fillId="0" borderId="93" xfId="0" applyBorder="1" applyAlignment="1">
      <alignment horizontal="center"/>
    </xf>
    <xf numFmtId="0" fontId="0" fillId="0" borderId="102" xfId="0" applyBorder="1" applyAlignment="1">
      <alignment horizontal="center"/>
    </xf>
    <xf numFmtId="0" fontId="0" fillId="0" borderId="95" xfId="0" applyBorder="1" applyAlignment="1">
      <alignment horizontal="center"/>
    </xf>
    <xf numFmtId="0" fontId="28" fillId="0" borderId="0" xfId="1" applyFont="1" applyBorder="1" applyAlignment="1">
      <alignment horizontal="center"/>
    </xf>
    <xf numFmtId="0" fontId="25" fillId="0" borderId="0" xfId="1" applyFont="1" applyBorder="1" applyAlignment="1" applyProtection="1">
      <alignment horizontal="left"/>
      <protection locked="0"/>
    </xf>
    <xf numFmtId="0" fontId="13" fillId="0" borderId="158" xfId="1" applyBorder="1" applyAlignment="1">
      <alignment horizontal="center" vertical="center"/>
    </xf>
    <xf numFmtId="0" fontId="13" fillId="15" borderId="140" xfId="0" applyFont="1" applyFill="1" applyBorder="1" applyAlignment="1">
      <alignment horizontal="right"/>
    </xf>
    <xf numFmtId="14" fontId="13" fillId="15" borderId="138" xfId="0" applyNumberFormat="1" applyFont="1" applyFill="1" applyBorder="1" applyAlignment="1">
      <alignment horizontal="center"/>
    </xf>
    <xf numFmtId="166" fontId="16" fillId="15" borderId="138" xfId="0" applyNumberFormat="1" applyFont="1" applyFill="1" applyBorder="1" applyAlignment="1" applyProtection="1">
      <alignment horizontal="right"/>
      <protection locked="0"/>
    </xf>
    <xf numFmtId="166" fontId="16" fillId="15" borderId="147" xfId="0" applyNumberFormat="1" applyFont="1" applyFill="1" applyBorder="1" applyAlignment="1" applyProtection="1">
      <alignment horizontal="right"/>
      <protection locked="0"/>
    </xf>
    <xf numFmtId="0" fontId="13" fillId="15" borderId="138" xfId="0" applyFont="1" applyFill="1" applyBorder="1" applyAlignment="1">
      <alignment horizontal="right"/>
    </xf>
    <xf numFmtId="0" fontId="13" fillId="15" borderId="142" xfId="0" applyFont="1" applyFill="1" applyBorder="1" applyAlignment="1">
      <alignment horizontal="right"/>
    </xf>
    <xf numFmtId="0" fontId="13" fillId="15" borderId="153" xfId="0" applyFont="1" applyFill="1" applyBorder="1" applyAlignment="1">
      <alignment horizontal="right"/>
    </xf>
    <xf numFmtId="0" fontId="13" fillId="15" borderId="153" xfId="0" applyFont="1" applyFill="1" applyBorder="1" applyAlignment="1">
      <alignment horizontal="center"/>
    </xf>
    <xf numFmtId="166" fontId="8" fillId="15" borderId="153" xfId="0" applyNumberFormat="1" applyFont="1" applyFill="1" applyBorder="1" applyAlignment="1">
      <alignment horizontal="center"/>
    </xf>
    <xf numFmtId="166" fontId="8" fillId="15" borderId="153" xfId="0" applyNumberFormat="1" applyFont="1" applyFill="1" applyBorder="1" applyAlignment="1">
      <alignment horizontal="center" vertical="center"/>
    </xf>
    <xf numFmtId="166" fontId="24" fillId="15" borderId="153" xfId="0" applyNumberFormat="1" applyFont="1" applyFill="1" applyBorder="1" applyAlignment="1">
      <alignment horizontal="center"/>
    </xf>
    <xf numFmtId="0" fontId="13" fillId="15" borderId="139" xfId="0" applyFont="1" applyFill="1" applyBorder="1" applyAlignment="1">
      <alignment horizontal="right"/>
    </xf>
    <xf numFmtId="14" fontId="13" fillId="15" borderId="137" xfId="0" applyNumberFormat="1" applyFont="1" applyFill="1" applyBorder="1" applyAlignment="1">
      <alignment horizontal="center"/>
    </xf>
    <xf numFmtId="166" fontId="16" fillId="15" borderId="137" xfId="0" applyNumberFormat="1" applyFont="1" applyFill="1" applyBorder="1" applyAlignment="1" applyProtection="1">
      <alignment horizontal="right"/>
      <protection locked="0"/>
    </xf>
    <xf numFmtId="166" fontId="13" fillId="15" borderId="137" xfId="0" applyNumberFormat="1" applyFont="1" applyFill="1" applyBorder="1" applyAlignment="1" applyProtection="1">
      <alignment horizontal="right"/>
      <protection locked="0"/>
    </xf>
    <xf numFmtId="166" fontId="13" fillId="15" borderId="144" xfId="0" applyNumberFormat="1" applyFont="1" applyFill="1" applyBorder="1" applyAlignment="1" applyProtection="1">
      <alignment horizontal="right"/>
      <protection locked="0"/>
    </xf>
    <xf numFmtId="0" fontId="13" fillId="15" borderId="137" xfId="0" applyFont="1" applyFill="1" applyBorder="1" applyAlignment="1">
      <alignment horizontal="right"/>
    </xf>
    <xf numFmtId="0" fontId="13" fillId="15" borderId="141" xfId="0" applyFont="1" applyFill="1" applyBorder="1" applyAlignment="1">
      <alignment horizontal="right"/>
    </xf>
    <xf numFmtId="0" fontId="13" fillId="15" borderId="150" xfId="0" applyFont="1" applyFill="1" applyBorder="1" applyAlignment="1">
      <alignment horizontal="right"/>
    </xf>
    <xf numFmtId="0" fontId="13" fillId="15" borderId="150" xfId="0" applyFont="1" applyFill="1" applyBorder="1" applyAlignment="1">
      <alignment horizontal="center"/>
    </xf>
    <xf numFmtId="166" fontId="8" fillId="15" borderId="150" xfId="0" applyNumberFormat="1" applyFont="1" applyFill="1" applyBorder="1" applyAlignment="1">
      <alignment horizontal="center"/>
    </xf>
    <xf numFmtId="166" fontId="8" fillId="15" borderId="150" xfId="0" applyNumberFormat="1" applyFont="1" applyFill="1" applyBorder="1" applyAlignment="1">
      <alignment horizontal="center" vertical="center"/>
    </xf>
    <xf numFmtId="166" fontId="24" fillId="15" borderId="150" xfId="0" applyNumberFormat="1" applyFont="1" applyFill="1" applyBorder="1" applyAlignment="1">
      <alignment horizontal="center"/>
    </xf>
    <xf numFmtId="166" fontId="16" fillId="19" borderId="126" xfId="0" applyNumberFormat="1" applyFont="1" applyFill="1" applyBorder="1" applyAlignment="1" applyProtection="1">
      <alignment horizontal="right"/>
      <protection locked="0"/>
    </xf>
    <xf numFmtId="0" fontId="13" fillId="19" borderId="126" xfId="0" applyFont="1" applyFill="1" applyBorder="1" applyAlignment="1">
      <alignment horizontal="right"/>
    </xf>
    <xf numFmtId="0" fontId="0" fillId="0" borderId="190" xfId="0" applyFill="1" applyBorder="1" applyAlignment="1">
      <alignment horizontal="center" vertical="center"/>
    </xf>
    <xf numFmtId="0" fontId="0" fillId="0" borderId="190" xfId="0" applyFill="1" applyBorder="1"/>
    <xf numFmtId="0" fontId="0" fillId="0" borderId="191" xfId="0" applyFill="1" applyBorder="1" applyAlignment="1">
      <alignment horizontal="center" vertical="center"/>
    </xf>
    <xf numFmtId="0" fontId="0" fillId="0" borderId="191" xfId="0" applyFill="1" applyBorder="1"/>
    <xf numFmtId="0" fontId="0" fillId="0" borderId="192" xfId="0" applyFill="1" applyBorder="1" applyAlignment="1">
      <alignment horizontal="right"/>
    </xf>
    <xf numFmtId="0" fontId="0" fillId="0" borderId="193" xfId="0" applyFill="1" applyBorder="1" applyAlignment="1">
      <alignment horizontal="right"/>
    </xf>
    <xf numFmtId="0" fontId="0" fillId="0" borderId="194" xfId="0" applyFill="1" applyBorder="1"/>
    <xf numFmtId="0" fontId="0" fillId="0" borderId="195" xfId="0" applyFill="1" applyBorder="1"/>
    <xf numFmtId="14" fontId="0" fillId="0" borderId="196" xfId="0" applyNumberFormat="1" applyFill="1" applyBorder="1" applyAlignment="1">
      <alignment horizontal="center"/>
    </xf>
    <xf numFmtId="14" fontId="0" fillId="0" borderId="197" xfId="0" applyNumberFormat="1" applyFill="1" applyBorder="1" applyAlignment="1">
      <alignment horizontal="center"/>
    </xf>
    <xf numFmtId="0" fontId="0" fillId="0" borderId="196" xfId="0" applyFill="1" applyBorder="1" applyAlignment="1">
      <alignment horizontal="center"/>
    </xf>
    <xf numFmtId="0" fontId="0" fillId="0" borderId="198" xfId="0" applyFill="1" applyBorder="1" applyAlignment="1">
      <alignment horizontal="center" vertical="center"/>
    </xf>
    <xf numFmtId="0" fontId="0" fillId="0" borderId="199" xfId="0" applyFill="1" applyBorder="1" applyAlignment="1">
      <alignment horizontal="center" vertical="center"/>
    </xf>
    <xf numFmtId="0" fontId="0" fillId="0" borderId="196" xfId="0" applyFill="1" applyBorder="1"/>
    <xf numFmtId="0" fontId="0" fillId="0" borderId="197" xfId="0" applyFill="1" applyBorder="1"/>
    <xf numFmtId="0" fontId="0" fillId="0" borderId="198" xfId="0" applyFill="1" applyBorder="1"/>
    <xf numFmtId="0" fontId="0" fillId="0" borderId="199" xfId="0" applyFill="1" applyBorder="1"/>
    <xf numFmtId="0" fontId="3" fillId="0" borderId="200" xfId="0" applyFont="1" applyFill="1" applyBorder="1"/>
    <xf numFmtId="14" fontId="3" fillId="0" borderId="201" xfId="0" applyNumberFormat="1" applyFont="1" applyFill="1" applyBorder="1"/>
    <xf numFmtId="20" fontId="3" fillId="0" borderId="201" xfId="0" applyNumberFormat="1" applyFont="1" applyFill="1" applyBorder="1"/>
    <xf numFmtId="0" fontId="3" fillId="0" borderId="201" xfId="0" applyFont="1" applyFill="1" applyBorder="1"/>
    <xf numFmtId="0" fontId="3" fillId="0" borderId="202" xfId="0" applyFont="1" applyFill="1" applyBorder="1"/>
    <xf numFmtId="0" fontId="3" fillId="0" borderId="203" xfId="0" applyFont="1" applyFill="1" applyBorder="1"/>
    <xf numFmtId="0" fontId="3" fillId="0" borderId="204" xfId="0" applyFont="1" applyFill="1" applyBorder="1"/>
    <xf numFmtId="20" fontId="3" fillId="0" borderId="204" xfId="0" applyNumberFormat="1" applyFont="1" applyFill="1" applyBorder="1"/>
    <xf numFmtId="0" fontId="3" fillId="0" borderId="205" xfId="0" applyFont="1" applyFill="1" applyBorder="1"/>
    <xf numFmtId="0" fontId="5" fillId="0" borderId="0" xfId="0" applyFont="1" applyFill="1" applyBorder="1" applyAlignment="1">
      <alignment horizontal="center" wrapText="1"/>
    </xf>
    <xf numFmtId="20" fontId="0" fillId="0" borderId="0" xfId="0" applyNumberFormat="1" applyFont="1" applyFill="1" applyBorder="1" applyAlignment="1">
      <alignment horizontal="center"/>
    </xf>
    <xf numFmtId="167" fontId="0" fillId="0" borderId="0" xfId="0" applyNumberFormat="1" applyFont="1" applyFill="1" applyBorder="1" applyAlignment="1">
      <alignment horizontal="center"/>
    </xf>
    <xf numFmtId="165" fontId="5" fillId="0" borderId="0" xfId="0" applyNumberFormat="1" applyFont="1" applyFill="1" applyBorder="1" applyAlignment="1">
      <alignment horizontal="center" wrapText="1"/>
    </xf>
    <xf numFmtId="166" fontId="16" fillId="19" borderId="143" xfId="0" applyNumberFormat="1" applyFont="1" applyFill="1" applyBorder="1" applyAlignment="1" applyProtection="1">
      <alignment horizontal="right"/>
      <protection locked="0"/>
    </xf>
    <xf numFmtId="0" fontId="13" fillId="19" borderId="129" xfId="0" applyFont="1" applyFill="1" applyBorder="1" applyAlignment="1">
      <alignment horizontal="right"/>
    </xf>
    <xf numFmtId="0" fontId="13" fillId="19" borderId="132" xfId="0" applyFont="1" applyFill="1" applyBorder="1" applyAlignment="1">
      <alignment horizontal="right"/>
    </xf>
    <xf numFmtId="0" fontId="13" fillId="19" borderId="149" xfId="0" applyFont="1" applyFill="1" applyBorder="1" applyAlignment="1">
      <alignment horizontal="right"/>
    </xf>
    <xf numFmtId="0" fontId="13" fillId="19" borderId="149" xfId="0" applyFont="1" applyFill="1" applyBorder="1" applyAlignment="1">
      <alignment horizontal="center"/>
    </xf>
    <xf numFmtId="166" fontId="8" fillId="19" borderId="149" xfId="0" applyNumberFormat="1" applyFont="1" applyFill="1" applyBorder="1" applyAlignment="1">
      <alignment horizontal="center"/>
    </xf>
    <xf numFmtId="166" fontId="24" fillId="19" borderId="149" xfId="0" applyNumberFormat="1" applyFont="1" applyFill="1" applyBorder="1" applyAlignment="1">
      <alignment horizontal="center"/>
    </xf>
    <xf numFmtId="0" fontId="0" fillId="0" borderId="0" xfId="0" applyBorder="1" applyAlignment="1">
      <alignment horizontal="center" vertical="center"/>
    </xf>
    <xf numFmtId="0" fontId="0" fillId="0" borderId="206" xfId="0" applyBorder="1" applyAlignment="1">
      <alignment horizontal="center" vertical="center"/>
    </xf>
    <xf numFmtId="0" fontId="0" fillId="0" borderId="207" xfId="0" applyBorder="1" applyAlignment="1">
      <alignment horizontal="center" vertical="center"/>
    </xf>
    <xf numFmtId="0" fontId="0" fillId="0" borderId="208" xfId="0" applyBorder="1" applyAlignment="1">
      <alignment horizontal="center" vertical="center"/>
    </xf>
    <xf numFmtId="0" fontId="0" fillId="20" borderId="0" xfId="0" applyFill="1" applyAlignment="1">
      <alignment horizontal="center" vertical="center" wrapText="1"/>
    </xf>
    <xf numFmtId="0" fontId="0" fillId="20" borderId="0" xfId="0" applyFill="1" applyAlignment="1">
      <alignment horizontal="center" vertical="center"/>
    </xf>
    <xf numFmtId="167" fontId="5" fillId="0" borderId="0" xfId="0" applyNumberFormat="1" applyFont="1" applyFill="1" applyBorder="1" applyAlignment="1">
      <alignment horizontal="center"/>
    </xf>
    <xf numFmtId="0" fontId="0" fillId="0" borderId="209" xfId="0" applyBorder="1" applyAlignment="1">
      <alignment horizontal="center" vertical="center"/>
    </xf>
    <xf numFmtId="0" fontId="0" fillId="0" borderId="210" xfId="0" applyBorder="1" applyAlignment="1">
      <alignment horizontal="center" vertical="center"/>
    </xf>
    <xf numFmtId="0" fontId="0" fillId="0" borderId="211" xfId="0" applyFill="1" applyBorder="1" applyAlignment="1">
      <alignment horizontal="right"/>
    </xf>
    <xf numFmtId="0" fontId="0" fillId="0" borderId="212" xfId="0" applyFill="1" applyBorder="1" applyAlignment="1">
      <alignment horizontal="center" vertical="center"/>
    </xf>
    <xf numFmtId="0" fontId="0" fillId="0" borderId="212" xfId="0" applyFill="1" applyBorder="1"/>
    <xf numFmtId="0" fontId="0" fillId="0" borderId="213" xfId="0" applyFill="1" applyBorder="1"/>
    <xf numFmtId="14" fontId="0" fillId="0" borderId="214" xfId="0" applyNumberFormat="1" applyFill="1" applyBorder="1" applyAlignment="1">
      <alignment horizontal="center"/>
    </xf>
    <xf numFmtId="0" fontId="0" fillId="0" borderId="215" xfId="0" applyFill="1" applyBorder="1" applyAlignment="1">
      <alignment horizontal="center" vertical="center"/>
    </xf>
    <xf numFmtId="0" fontId="0" fillId="0" borderId="214" xfId="0" applyFill="1" applyBorder="1"/>
    <xf numFmtId="0" fontId="0" fillId="0" borderId="215" xfId="0" applyFill="1" applyBorder="1"/>
  </cellXfs>
  <cellStyles count="2">
    <cellStyle name="Normal" xfId="0" builtinId="0"/>
    <cellStyle name="Normal 2" xfId="1"/>
  </cellStyles>
  <dxfs count="6">
    <dxf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left style="thick">
          <color auto="1"/>
        </left>
        <right style="thick">
          <color auto="1"/>
        </right>
        <top style="thick">
          <color auto="1"/>
        </top>
        <bottom style="thick">
          <color auto="1"/>
        </bottom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</border>
    </dxf>
  </dxfs>
  <tableStyles count="0" defaultTableStyle="TableStyleMedium2" defaultPivotStyle="PivotStyleLight16"/>
  <colors>
    <mruColors>
      <color rgb="FF5C5C5C"/>
      <color rgb="FFFFAA55"/>
      <color rgb="FFFF6A6A"/>
      <color rgb="FFFFC90E"/>
      <color rgb="FFFFEBEB"/>
      <color rgb="FF8CFFFF"/>
      <color rgb="FF0000EE"/>
      <color rgb="FF0A6DE4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519768133668813E-2"/>
          <c:y val="4.5830834613165616E-2"/>
          <c:w val="0.94622908101029368"/>
          <c:h val="0.73602008727237267"/>
        </c:manualLayout>
      </c:layout>
      <c:barChart>
        <c:barDir val="col"/>
        <c:grouping val="clustered"/>
        <c:varyColors val="0"/>
        <c:ser>
          <c:idx val="0"/>
          <c:order val="0"/>
          <c:tx>
            <c:v>Travail</c:v>
          </c:tx>
          <c:spPr>
            <a:solidFill>
              <a:srgbClr val="009600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10-D34C-48B2-8D98-613F16CDCEFE}"/>
            </c:ext>
          </c:extLst>
        </c:ser>
        <c:ser>
          <c:idx val="1"/>
          <c:order val="1"/>
          <c:tx>
            <c:v>Pause</c:v>
          </c:tx>
          <c:spPr>
            <a:solidFill>
              <a:srgbClr val="FFC800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11-D34C-48B2-8D98-613F16CDCEFE}"/>
            </c:ext>
          </c:extLst>
        </c:ser>
        <c:ser>
          <c:idx val="2"/>
          <c:order val="2"/>
          <c:tx>
            <c:v>Inactif</c:v>
          </c:tx>
          <c:spPr>
            <a:solidFill>
              <a:srgbClr val="DCDCDC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12-D34C-48B2-8D98-613F16CDCEFE}"/>
            </c:ext>
          </c:extLst>
        </c:ser>
        <c:ser>
          <c:idx val="3"/>
          <c:order val="3"/>
          <c:tx>
            <c:v>Erreur</c:v>
          </c:tx>
          <c:spPr>
            <a:solidFill>
              <a:srgbClr val="FF0000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13-D34C-48B2-8D98-613F16CDCE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61209695"/>
        <c:axId val="561201375"/>
      </c:barChart>
      <c:catAx>
        <c:axId val="561209695"/>
        <c:scaling>
          <c:orientation val="minMax"/>
        </c:scaling>
        <c:delete val="0"/>
        <c:axPos val="b"/>
        <c:numFmt formatCode="h:mm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fr-FR"/>
          </a:p>
        </c:txPr>
        <c:crossAx val="561201375"/>
        <c:crosses val="autoZero"/>
        <c:auto val="1"/>
        <c:lblAlgn val="ctr"/>
        <c:lblOffset val="100"/>
        <c:noMultiLvlLbl val="0"/>
      </c:catAx>
      <c:valAx>
        <c:axId val="561201375"/>
        <c:scaling>
          <c:orientation val="minMax"/>
          <c:max val="2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61209695"/>
        <c:crosses val="autoZero"/>
        <c:crossBetween val="between"/>
        <c:majorUnit val="1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7.emf"/><Relationship Id="rId3" Type="http://schemas.openxmlformats.org/officeDocument/2006/relationships/image" Target="../media/image12.emf"/><Relationship Id="rId7" Type="http://schemas.openxmlformats.org/officeDocument/2006/relationships/image" Target="../media/image8.emf"/><Relationship Id="rId2" Type="http://schemas.openxmlformats.org/officeDocument/2006/relationships/image" Target="../media/image13.emf"/><Relationship Id="rId1" Type="http://schemas.openxmlformats.org/officeDocument/2006/relationships/image" Target="../media/image14.emf"/><Relationship Id="rId6" Type="http://schemas.openxmlformats.org/officeDocument/2006/relationships/image" Target="../media/image9.emf"/><Relationship Id="rId11" Type="http://schemas.openxmlformats.org/officeDocument/2006/relationships/image" Target="../media/image4.emf"/><Relationship Id="rId5" Type="http://schemas.openxmlformats.org/officeDocument/2006/relationships/image" Target="../media/image10.emf"/><Relationship Id="rId10" Type="http://schemas.openxmlformats.org/officeDocument/2006/relationships/image" Target="../media/image5.emf"/><Relationship Id="rId4" Type="http://schemas.openxmlformats.org/officeDocument/2006/relationships/image" Target="../media/image11.emf"/><Relationship Id="rId9" Type="http://schemas.openxmlformats.org/officeDocument/2006/relationships/image" Target="../media/image6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.emf"/><Relationship Id="rId2" Type="http://schemas.openxmlformats.org/officeDocument/2006/relationships/image" Target="../media/image19.emf"/><Relationship Id="rId1" Type="http://schemas.openxmlformats.org/officeDocument/2006/relationships/image" Target="../media/image20.emf"/><Relationship Id="rId6" Type="http://schemas.openxmlformats.org/officeDocument/2006/relationships/image" Target="../media/image15.emf"/><Relationship Id="rId5" Type="http://schemas.openxmlformats.org/officeDocument/2006/relationships/image" Target="../media/image16.emf"/><Relationship Id="rId4" Type="http://schemas.openxmlformats.org/officeDocument/2006/relationships/image" Target="../media/image1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0</xdr:row>
      <xdr:rowOff>0</xdr:rowOff>
    </xdr:from>
    <xdr:to>
      <xdr:col>13</xdr:col>
      <xdr:colOff>0</xdr:colOff>
      <xdr:row>2</xdr:row>
      <xdr:rowOff>38100</xdr:rowOff>
    </xdr:to>
    <xdr:sp macro="" textlink="">
      <xdr:nvSpPr>
        <xdr:cNvPr id="17409" name="MonthMinus" hidden="1">
          <a:extLst>
            <a:ext uri="{63B3BB69-23CF-44E3-9099-C40C66FF867C}">
              <a14:compatExt xmlns:a14="http://schemas.microsoft.com/office/drawing/2010/main" spid="_x0000_s17409"/>
            </a:ext>
            <a:ext uri="{FF2B5EF4-FFF2-40B4-BE49-F238E27FC236}">
              <a16:creationId xmlns:a16="http://schemas.microsoft.com/office/drawing/2014/main" id="{00000000-0008-0000-0000-000007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16</xdr:col>
      <xdr:colOff>0</xdr:colOff>
      <xdr:row>0</xdr:row>
      <xdr:rowOff>0</xdr:rowOff>
    </xdr:from>
    <xdr:to>
      <xdr:col>17</xdr:col>
      <xdr:colOff>0</xdr:colOff>
      <xdr:row>2</xdr:row>
      <xdr:rowOff>38100</xdr:rowOff>
    </xdr:to>
    <xdr:sp macro="" textlink="">
      <xdr:nvSpPr>
        <xdr:cNvPr id="17410" name="MonthPlus" hidden="1">
          <a:extLst>
            <a:ext uri="{63B3BB69-23CF-44E3-9099-C40C66FF867C}">
              <a14:compatExt xmlns:a14="http://schemas.microsoft.com/office/drawing/2010/main" spid="_x0000_s17410"/>
            </a:ext>
            <a:ext uri="{FF2B5EF4-FFF2-40B4-BE49-F238E27FC236}">
              <a16:creationId xmlns:a16="http://schemas.microsoft.com/office/drawing/2014/main" id="{00000000-0008-0000-0000-000008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15</xdr:col>
      <xdr:colOff>295275</xdr:colOff>
      <xdr:row>69</xdr:row>
      <xdr:rowOff>19050</xdr:rowOff>
    </xdr:from>
    <xdr:to>
      <xdr:col>20</xdr:col>
      <xdr:colOff>276225</xdr:colOff>
      <xdr:row>69</xdr:row>
      <xdr:rowOff>285750</xdr:rowOff>
    </xdr:to>
    <xdr:sp macro="" textlink="">
      <xdr:nvSpPr>
        <xdr:cNvPr id="17412" name="CommandButton4" hidden="1">
          <a:extLst>
            <a:ext uri="{63B3BB69-23CF-44E3-9099-C40C66FF867C}">
              <a14:compatExt xmlns:a14="http://schemas.microsoft.com/office/drawing/2010/main" spid="_x0000_s17412"/>
            </a:ext>
            <a:ext uri="{FF2B5EF4-FFF2-40B4-BE49-F238E27FC236}">
              <a16:creationId xmlns:a16="http://schemas.microsoft.com/office/drawing/2014/main" id="{00000000-0008-0000-0000-00000B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0</xdr:row>
          <xdr:rowOff>0</xdr:rowOff>
        </xdr:from>
        <xdr:to>
          <xdr:col>13</xdr:col>
          <xdr:colOff>0</xdr:colOff>
          <xdr:row>2</xdr:row>
          <xdr:rowOff>38100</xdr:rowOff>
        </xdr:to>
        <xdr:sp macro="" textlink="">
          <xdr:nvSpPr>
            <xdr:cNvPr id="363637" name="MonthMinus" hidden="1">
              <a:extLst>
                <a:ext uri="{63B3BB69-23CF-44E3-9099-C40C66FF867C}">
                  <a14:compatExt spid="_x0000_s3636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0</xdr:row>
          <xdr:rowOff>0</xdr:rowOff>
        </xdr:from>
        <xdr:to>
          <xdr:col>17</xdr:col>
          <xdr:colOff>0</xdr:colOff>
          <xdr:row>2</xdr:row>
          <xdr:rowOff>38100</xdr:rowOff>
        </xdr:to>
        <xdr:sp macro="" textlink="">
          <xdr:nvSpPr>
            <xdr:cNvPr id="363638" name="MonthPlus" hidden="1">
              <a:extLst>
                <a:ext uri="{63B3BB69-23CF-44E3-9099-C40C66FF867C}">
                  <a14:compatExt spid="_x0000_s3636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209550</xdr:colOff>
          <xdr:row>24</xdr:row>
          <xdr:rowOff>38100</xdr:rowOff>
        </xdr:from>
        <xdr:to>
          <xdr:col>34</xdr:col>
          <xdr:colOff>190500</xdr:colOff>
          <xdr:row>25</xdr:row>
          <xdr:rowOff>152400</xdr:rowOff>
        </xdr:to>
        <xdr:sp macro="" textlink="">
          <xdr:nvSpPr>
            <xdr:cNvPr id="363639" name="PrtHebdoBtn" hidden="1">
              <a:extLst>
                <a:ext uri="{63B3BB69-23CF-44E3-9099-C40C66FF867C}">
                  <a14:compatExt spid="_x0000_s3636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276225</xdr:colOff>
      <xdr:row>2</xdr:row>
      <xdr:rowOff>95250</xdr:rowOff>
    </xdr:from>
    <xdr:to>
      <xdr:col>7</xdr:col>
      <xdr:colOff>657225</xdr:colOff>
      <xdr:row>4</xdr:row>
      <xdr:rowOff>95250</xdr:rowOff>
    </xdr:to>
    <xdr:sp macro="" textlink="">
      <xdr:nvSpPr>
        <xdr:cNvPr id="10242" name="DatePickerBtn" hidden="1">
          <a:extLst>
            <a:ext uri="{63B3BB69-23CF-44E3-9099-C40C66FF867C}">
              <a14:compatExt xmlns:a14="http://schemas.microsoft.com/office/drawing/2010/main" spid="_x0000_s10242"/>
            </a:ext>
            <a:ext uri="{FF2B5EF4-FFF2-40B4-BE49-F238E27FC236}">
              <a16:creationId xmlns:a16="http://schemas.microsoft.com/office/drawing/2014/main" id="{00000000-0008-0000-0100-000002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11</xdr:row>
      <xdr:rowOff>180975</xdr:rowOff>
    </xdr:from>
    <xdr:to>
      <xdr:col>4</xdr:col>
      <xdr:colOff>647700</xdr:colOff>
      <xdr:row>13</xdr:row>
      <xdr:rowOff>66675</xdr:rowOff>
    </xdr:to>
    <xdr:sp macro="" textlink="">
      <xdr:nvSpPr>
        <xdr:cNvPr id="10243" name="DisableBtn" hidden="1">
          <a:extLst>
            <a:ext uri="{63B3BB69-23CF-44E3-9099-C40C66FF867C}">
              <a14:compatExt xmlns:a14="http://schemas.microsoft.com/office/drawing/2010/main" spid="_x0000_s10243"/>
            </a:ext>
            <a:ext uri="{FF2B5EF4-FFF2-40B4-BE49-F238E27FC236}">
              <a16:creationId xmlns:a16="http://schemas.microsoft.com/office/drawing/2014/main" id="{00000000-0008-0000-0100-000003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114300</xdr:colOff>
      <xdr:row>11</xdr:row>
      <xdr:rowOff>180975</xdr:rowOff>
    </xdr:from>
    <xdr:to>
      <xdr:col>7</xdr:col>
      <xdr:colOff>0</xdr:colOff>
      <xdr:row>13</xdr:row>
      <xdr:rowOff>66675</xdr:rowOff>
    </xdr:to>
    <xdr:sp macro="" textlink="">
      <xdr:nvSpPr>
        <xdr:cNvPr id="10248" name="DelBtn" hidden="1">
          <a:extLst>
            <a:ext uri="{63B3BB69-23CF-44E3-9099-C40C66FF867C}">
              <a14:compatExt xmlns:a14="http://schemas.microsoft.com/office/drawing/2010/main" spid="_x0000_s10248"/>
            </a:ext>
            <a:ext uri="{FF2B5EF4-FFF2-40B4-BE49-F238E27FC236}">
              <a16:creationId xmlns:a16="http://schemas.microsoft.com/office/drawing/2014/main" id="{00000000-0008-0000-0100-000008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342900</xdr:colOff>
      <xdr:row>18</xdr:row>
      <xdr:rowOff>38100</xdr:rowOff>
    </xdr:from>
    <xdr:to>
      <xdr:col>6</xdr:col>
      <xdr:colOff>647700</xdr:colOff>
      <xdr:row>19</xdr:row>
      <xdr:rowOff>114300</xdr:rowOff>
    </xdr:to>
    <xdr:sp macro="" textlink="">
      <xdr:nvSpPr>
        <xdr:cNvPr id="10249" name="NewPtBtn" hidden="1">
          <a:extLst>
            <a:ext uri="{63B3BB69-23CF-44E3-9099-C40C66FF867C}">
              <a14:compatExt xmlns:a14="http://schemas.microsoft.com/office/drawing/2010/main" spid="_x0000_s10249"/>
            </a:ext>
            <a:ext uri="{FF2B5EF4-FFF2-40B4-BE49-F238E27FC236}">
              <a16:creationId xmlns:a16="http://schemas.microsoft.com/office/drawing/2014/main" id="{00000000-0008-0000-0100-000009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</xdr:col>
      <xdr:colOff>228600</xdr:colOff>
      <xdr:row>11</xdr:row>
      <xdr:rowOff>171450</xdr:rowOff>
    </xdr:from>
    <xdr:to>
      <xdr:col>8</xdr:col>
      <xdr:colOff>1114425</xdr:colOff>
      <xdr:row>13</xdr:row>
      <xdr:rowOff>57150</xdr:rowOff>
    </xdr:to>
    <xdr:sp macro="" textlink="">
      <xdr:nvSpPr>
        <xdr:cNvPr id="10250" name="CorrBtn" hidden="1">
          <a:extLst>
            <a:ext uri="{63B3BB69-23CF-44E3-9099-C40C66FF867C}">
              <a14:compatExt xmlns:a14="http://schemas.microsoft.com/office/drawing/2010/main" spid="_x0000_s10250"/>
            </a:ext>
            <a:ext uri="{FF2B5EF4-FFF2-40B4-BE49-F238E27FC236}">
              <a16:creationId xmlns:a16="http://schemas.microsoft.com/office/drawing/2014/main" id="{00000000-0008-0000-0100-00000A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</xdr:col>
      <xdr:colOff>228600</xdr:colOff>
      <xdr:row>13</xdr:row>
      <xdr:rowOff>152400</xdr:rowOff>
    </xdr:from>
    <xdr:to>
      <xdr:col>8</xdr:col>
      <xdr:colOff>1114425</xdr:colOff>
      <xdr:row>15</xdr:row>
      <xdr:rowOff>57150</xdr:rowOff>
    </xdr:to>
    <xdr:sp macro="" textlink="">
      <xdr:nvSpPr>
        <xdr:cNvPr id="10251" name="CorrRejBtn" hidden="1">
          <a:extLst>
            <a:ext uri="{63B3BB69-23CF-44E3-9099-C40C66FF867C}">
              <a14:compatExt xmlns:a14="http://schemas.microsoft.com/office/drawing/2010/main" spid="_x0000_s10251"/>
            </a:ext>
            <a:ext uri="{FF2B5EF4-FFF2-40B4-BE49-F238E27FC236}">
              <a16:creationId xmlns:a16="http://schemas.microsoft.com/office/drawing/2014/main" id="{00000000-0008-0000-0100-00000B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123825</xdr:colOff>
      <xdr:row>26</xdr:row>
      <xdr:rowOff>38100</xdr:rowOff>
    </xdr:from>
    <xdr:to>
      <xdr:col>7</xdr:col>
      <xdr:colOff>628650</xdr:colOff>
      <xdr:row>27</xdr:row>
      <xdr:rowOff>123825</xdr:rowOff>
    </xdr:to>
    <xdr:sp macro="" textlink="">
      <xdr:nvSpPr>
        <xdr:cNvPr id="10252" name="InfoCorrectionBtn" hidden="1">
          <a:extLst>
            <a:ext uri="{63B3BB69-23CF-44E3-9099-C40C66FF867C}">
              <a14:compatExt xmlns:a14="http://schemas.microsoft.com/office/drawing/2010/main" spid="_x0000_s10252"/>
            </a:ext>
            <a:ext uri="{FF2B5EF4-FFF2-40B4-BE49-F238E27FC236}">
              <a16:creationId xmlns:a16="http://schemas.microsoft.com/office/drawing/2014/main" id="{00000000-0008-0000-0100-00000C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381000</xdr:colOff>
      <xdr:row>23</xdr:row>
      <xdr:rowOff>104775</xdr:rowOff>
    </xdr:from>
    <xdr:to>
      <xdr:col>7</xdr:col>
      <xdr:colOff>352425</xdr:colOff>
      <xdr:row>25</xdr:row>
      <xdr:rowOff>9525</xdr:rowOff>
    </xdr:to>
    <xdr:sp macro="" textlink="">
      <xdr:nvSpPr>
        <xdr:cNvPr id="10253" name="DL_Pointages" hidden="1">
          <a:extLst>
            <a:ext uri="{63B3BB69-23CF-44E3-9099-C40C66FF867C}">
              <a14:compatExt xmlns:a14="http://schemas.microsoft.com/office/drawing/2010/main" spid="_x0000_s10253"/>
            </a:ext>
            <a:ext uri="{FF2B5EF4-FFF2-40B4-BE49-F238E27FC236}">
              <a16:creationId xmlns:a16="http://schemas.microsoft.com/office/drawing/2014/main" id="{00000000-0008-0000-0100-00000D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260350</xdr:colOff>
      <xdr:row>31</xdr:row>
      <xdr:rowOff>104775</xdr:rowOff>
    </xdr:from>
    <xdr:to>
      <xdr:col>13</xdr:col>
      <xdr:colOff>266700</xdr:colOff>
      <xdr:row>47</xdr:row>
      <xdr:rowOff>133350</xdr:rowOff>
    </xdr:to>
    <xdr:graphicFrame macro="">
      <xdr:nvGraphicFramePr>
        <xdr:cNvPr id="33" name="Graphique 3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18</xdr:col>
      <xdr:colOff>276225</xdr:colOff>
      <xdr:row>5</xdr:row>
      <xdr:rowOff>161925</xdr:rowOff>
    </xdr:from>
    <xdr:to>
      <xdr:col>18</xdr:col>
      <xdr:colOff>1743075</xdr:colOff>
      <xdr:row>6</xdr:row>
      <xdr:rowOff>190500</xdr:rowOff>
    </xdr:to>
    <xdr:sp macro="" textlink="">
      <xdr:nvSpPr>
        <xdr:cNvPr id="10256" name="PrecisChk" hidden="1">
          <a:extLst>
            <a:ext uri="{63B3BB69-23CF-44E3-9099-C40C66FF867C}">
              <a14:compatExt xmlns:a14="http://schemas.microsoft.com/office/drawing/2010/main" spid="_x0000_s10256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9525</xdr:colOff>
      <xdr:row>2</xdr:row>
      <xdr:rowOff>161925</xdr:rowOff>
    </xdr:from>
    <xdr:to>
      <xdr:col>4</xdr:col>
      <xdr:colOff>409575</xdr:colOff>
      <xdr:row>4</xdr:row>
      <xdr:rowOff>28575</xdr:rowOff>
    </xdr:to>
    <xdr:sp macro="" textlink="">
      <xdr:nvSpPr>
        <xdr:cNvPr id="10257" name="DayMinusBtn" hidden="1">
          <a:extLst>
            <a:ext uri="{63B3BB69-23CF-44E3-9099-C40C66FF867C}">
              <a14:compatExt xmlns:a14="http://schemas.microsoft.com/office/drawing/2010/main" spid="_x0000_s10257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6</xdr:col>
      <xdr:colOff>333375</xdr:colOff>
      <xdr:row>2</xdr:row>
      <xdr:rowOff>161925</xdr:rowOff>
    </xdr:from>
    <xdr:to>
      <xdr:col>6</xdr:col>
      <xdr:colOff>733425</xdr:colOff>
      <xdr:row>4</xdr:row>
      <xdr:rowOff>28575</xdr:rowOff>
    </xdr:to>
    <xdr:sp macro="" textlink="">
      <xdr:nvSpPr>
        <xdr:cNvPr id="10258" name="DayPlusBtn" hidden="1">
          <a:extLst>
            <a:ext uri="{63B3BB69-23CF-44E3-9099-C40C66FF867C}">
              <a14:compatExt xmlns:a14="http://schemas.microsoft.com/office/drawing/2010/main" spid="_x0000_s10258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11</xdr:row>
          <xdr:rowOff>180975</xdr:rowOff>
        </xdr:from>
        <xdr:to>
          <xdr:col>4</xdr:col>
          <xdr:colOff>647700</xdr:colOff>
          <xdr:row>13</xdr:row>
          <xdr:rowOff>66675</xdr:rowOff>
        </xdr:to>
        <xdr:sp macro="" textlink="">
          <xdr:nvSpPr>
            <xdr:cNvPr id="10259" name="DisableBtn" hidden="1">
              <a:extLst>
                <a:ext uri="{63B3BB69-23CF-44E3-9099-C40C66FF867C}">
                  <a14:compatExt spid="_x0000_s102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11</xdr:row>
          <xdr:rowOff>180975</xdr:rowOff>
        </xdr:from>
        <xdr:to>
          <xdr:col>7</xdr:col>
          <xdr:colOff>0</xdr:colOff>
          <xdr:row>13</xdr:row>
          <xdr:rowOff>66675</xdr:rowOff>
        </xdr:to>
        <xdr:sp macro="" textlink="">
          <xdr:nvSpPr>
            <xdr:cNvPr id="10260" name="DelBtn" hidden="1">
              <a:extLst>
                <a:ext uri="{63B3BB69-23CF-44E3-9099-C40C66FF867C}">
                  <a14:compatExt spid="_x0000_s102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11</xdr:row>
          <xdr:rowOff>180975</xdr:rowOff>
        </xdr:from>
        <xdr:to>
          <xdr:col>8</xdr:col>
          <xdr:colOff>1114425</xdr:colOff>
          <xdr:row>13</xdr:row>
          <xdr:rowOff>66675</xdr:rowOff>
        </xdr:to>
        <xdr:sp macro="" textlink="">
          <xdr:nvSpPr>
            <xdr:cNvPr id="10261" name="CorrBtn" hidden="1">
              <a:extLst>
                <a:ext uri="{63B3BB69-23CF-44E3-9099-C40C66FF867C}">
                  <a14:compatExt spid="_x0000_s102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13</xdr:row>
          <xdr:rowOff>152400</xdr:rowOff>
        </xdr:from>
        <xdr:to>
          <xdr:col>8</xdr:col>
          <xdr:colOff>1114425</xdr:colOff>
          <xdr:row>15</xdr:row>
          <xdr:rowOff>57150</xdr:rowOff>
        </xdr:to>
        <xdr:sp macro="" textlink="">
          <xdr:nvSpPr>
            <xdr:cNvPr id="10262" name="CorrRejBtn" hidden="1">
              <a:extLst>
                <a:ext uri="{63B3BB69-23CF-44E3-9099-C40C66FF867C}">
                  <a14:compatExt spid="_x0000_s102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733425</xdr:colOff>
          <xdr:row>2</xdr:row>
          <xdr:rowOff>152400</xdr:rowOff>
        </xdr:from>
        <xdr:to>
          <xdr:col>4</xdr:col>
          <xdr:colOff>371475</xdr:colOff>
          <xdr:row>4</xdr:row>
          <xdr:rowOff>19050</xdr:rowOff>
        </xdr:to>
        <xdr:sp macro="" textlink="">
          <xdr:nvSpPr>
            <xdr:cNvPr id="10263" name="DayMinusBtn" hidden="1">
              <a:extLst>
                <a:ext uri="{63B3BB69-23CF-44E3-9099-C40C66FF867C}">
                  <a14:compatExt spid="_x0000_s102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371475</xdr:colOff>
          <xdr:row>2</xdr:row>
          <xdr:rowOff>152400</xdr:rowOff>
        </xdr:from>
        <xdr:to>
          <xdr:col>7</xdr:col>
          <xdr:colOff>9525</xdr:colOff>
          <xdr:row>4</xdr:row>
          <xdr:rowOff>19050</xdr:rowOff>
        </xdr:to>
        <xdr:sp macro="" textlink="">
          <xdr:nvSpPr>
            <xdr:cNvPr id="10264" name="DayPlusBtn" hidden="1">
              <a:extLst>
                <a:ext uri="{63B3BB69-23CF-44E3-9099-C40C66FF867C}">
                  <a14:compatExt spid="_x0000_s102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26</xdr:row>
          <xdr:rowOff>19050</xdr:rowOff>
        </xdr:from>
        <xdr:to>
          <xdr:col>7</xdr:col>
          <xdr:colOff>628650</xdr:colOff>
          <xdr:row>27</xdr:row>
          <xdr:rowOff>104775</xdr:rowOff>
        </xdr:to>
        <xdr:sp macro="" textlink="">
          <xdr:nvSpPr>
            <xdr:cNvPr id="10265" name="InfoCorrectionBtn" hidden="1">
              <a:extLst>
                <a:ext uri="{63B3BB69-23CF-44E3-9099-C40C66FF867C}">
                  <a14:compatExt spid="_x0000_s10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381000</xdr:colOff>
          <xdr:row>23</xdr:row>
          <xdr:rowOff>85725</xdr:rowOff>
        </xdr:from>
        <xdr:to>
          <xdr:col>7</xdr:col>
          <xdr:colOff>352425</xdr:colOff>
          <xdr:row>24</xdr:row>
          <xdr:rowOff>180975</xdr:rowOff>
        </xdr:to>
        <xdr:sp macro="" textlink="">
          <xdr:nvSpPr>
            <xdr:cNvPr id="10266" name="DL_Pointages" hidden="1">
              <a:extLst>
                <a:ext uri="{63B3BB69-23CF-44E3-9099-C40C66FF867C}">
                  <a14:compatExt spid="_x0000_s10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276225</xdr:colOff>
          <xdr:row>18</xdr:row>
          <xdr:rowOff>57150</xdr:rowOff>
        </xdr:from>
        <xdr:to>
          <xdr:col>6</xdr:col>
          <xdr:colOff>581025</xdr:colOff>
          <xdr:row>19</xdr:row>
          <xdr:rowOff>133350</xdr:rowOff>
        </xdr:to>
        <xdr:sp macro="" textlink="">
          <xdr:nvSpPr>
            <xdr:cNvPr id="10269" name="NewPtBtn" hidden="1">
              <a:extLst>
                <a:ext uri="{63B3BB69-23CF-44E3-9099-C40C66FF867C}">
                  <a14:compatExt spid="_x0000_s102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314325</xdr:colOff>
          <xdr:row>5</xdr:row>
          <xdr:rowOff>104775</xdr:rowOff>
        </xdr:from>
        <xdr:to>
          <xdr:col>18</xdr:col>
          <xdr:colOff>1781175</xdr:colOff>
          <xdr:row>6</xdr:row>
          <xdr:rowOff>133350</xdr:rowOff>
        </xdr:to>
        <xdr:sp macro="" textlink="">
          <xdr:nvSpPr>
            <xdr:cNvPr id="10270" name="PrecisChk" hidden="1">
              <a:extLst>
                <a:ext uri="{63B3BB69-23CF-44E3-9099-C40C66FF867C}">
                  <a14:compatExt spid="_x0000_s102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95250</xdr:colOff>
          <xdr:row>2</xdr:row>
          <xdr:rowOff>76200</xdr:rowOff>
        </xdr:from>
        <xdr:to>
          <xdr:col>7</xdr:col>
          <xdr:colOff>476250</xdr:colOff>
          <xdr:row>4</xdr:row>
          <xdr:rowOff>76200</xdr:rowOff>
        </xdr:to>
        <xdr:sp macro="" textlink="">
          <xdr:nvSpPr>
            <xdr:cNvPr id="10271" name="DatePickerBtn" hidden="1">
              <a:extLst>
                <a:ext uri="{63B3BB69-23CF-44E3-9099-C40C66FF867C}">
                  <a14:compatExt spid="_x0000_s102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495300</xdr:colOff>
      <xdr:row>30</xdr:row>
      <xdr:rowOff>0</xdr:rowOff>
    </xdr:from>
    <xdr:to>
      <xdr:col>8</xdr:col>
      <xdr:colOff>361950</xdr:colOff>
      <xdr:row>31</xdr:row>
      <xdr:rowOff>161925</xdr:rowOff>
    </xdr:to>
    <xdr:sp macro="" textlink="">
      <xdr:nvSpPr>
        <xdr:cNvPr id="3074" name="Upt_list" hidden="1">
          <a:extLst>
            <a:ext uri="{63B3BB69-23CF-44E3-9099-C40C66FF867C}">
              <a14:compatExt xmlns:a14="http://schemas.microsoft.com/office/drawing/2010/main" spid="_x0000_s3074"/>
            </a:ext>
            <a:ext uri="{FF2B5EF4-FFF2-40B4-BE49-F238E27FC236}">
              <a16:creationId xmlns:a16="http://schemas.microsoft.com/office/drawing/2014/main" id="{00000000-0008-0000-0200-000002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12</xdr:col>
      <xdr:colOff>276225</xdr:colOff>
      <xdr:row>8</xdr:row>
      <xdr:rowOff>76200</xdr:rowOff>
    </xdr:from>
    <xdr:to>
      <xdr:col>15</xdr:col>
      <xdr:colOff>247650</xdr:colOff>
      <xdr:row>10</xdr:row>
      <xdr:rowOff>0</xdr:rowOff>
    </xdr:to>
    <xdr:sp macro="" textlink="">
      <xdr:nvSpPr>
        <xdr:cNvPr id="3075" name="ReadCfg" hidden="1">
          <a:extLst>
            <a:ext uri="{63B3BB69-23CF-44E3-9099-C40C66FF867C}">
              <a14:compatExt xmlns:a14="http://schemas.microsoft.com/office/drawing/2010/main" spid="_x0000_s3075"/>
            </a:ext>
            <a:ext uri="{FF2B5EF4-FFF2-40B4-BE49-F238E27FC236}">
              <a16:creationId xmlns:a16="http://schemas.microsoft.com/office/drawing/2014/main" id="{00000000-0008-0000-0200-000003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0</xdr:colOff>
      <xdr:row>52</xdr:row>
      <xdr:rowOff>47625</xdr:rowOff>
    </xdr:from>
    <xdr:to>
      <xdr:col>3</xdr:col>
      <xdr:colOff>123825</xdr:colOff>
      <xdr:row>53</xdr:row>
      <xdr:rowOff>171450</xdr:rowOff>
    </xdr:to>
    <xdr:sp macro="" textlink="">
      <xdr:nvSpPr>
        <xdr:cNvPr id="3076" name="UpdtCfg" hidden="1">
          <a:extLst>
            <a:ext uri="{63B3BB69-23CF-44E3-9099-C40C66FF867C}">
              <a14:compatExt xmlns:a14="http://schemas.microsoft.com/office/drawing/2010/main" spid="_x0000_s3076"/>
            </a:ext>
            <a:ext uri="{FF2B5EF4-FFF2-40B4-BE49-F238E27FC236}">
              <a16:creationId xmlns:a16="http://schemas.microsoft.com/office/drawing/2014/main" id="{00000000-0008-0000-0200-000004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11</xdr:col>
      <xdr:colOff>685800</xdr:colOff>
      <xdr:row>3</xdr:row>
      <xdr:rowOff>123825</xdr:rowOff>
    </xdr:from>
    <xdr:to>
      <xdr:col>15</xdr:col>
      <xdr:colOff>571500</xdr:colOff>
      <xdr:row>5</xdr:row>
      <xdr:rowOff>85725</xdr:rowOff>
    </xdr:to>
    <xdr:sp macro="" textlink="">
      <xdr:nvSpPr>
        <xdr:cNvPr id="3078" name="ImportBtn" hidden="1">
          <a:extLst>
            <a:ext uri="{63B3BB69-23CF-44E3-9099-C40C66FF867C}">
              <a14:compatExt xmlns:a14="http://schemas.microsoft.com/office/drawing/2010/main" spid="_x0000_s3078"/>
            </a:ext>
            <a:ext uri="{FF2B5EF4-FFF2-40B4-BE49-F238E27FC236}">
              <a16:creationId xmlns:a16="http://schemas.microsoft.com/office/drawing/2014/main" id="{00000000-0008-0000-0200-000006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12</xdr:col>
      <xdr:colOff>228600</xdr:colOff>
      <xdr:row>6</xdr:row>
      <xdr:rowOff>9525</xdr:rowOff>
    </xdr:from>
    <xdr:to>
      <xdr:col>15</xdr:col>
      <xdr:colOff>295275</xdr:colOff>
      <xdr:row>7</xdr:row>
      <xdr:rowOff>171450</xdr:rowOff>
    </xdr:to>
    <xdr:sp macro="" textlink="">
      <xdr:nvSpPr>
        <xdr:cNvPr id="3079" name="Get_list" hidden="1">
          <a:extLst>
            <a:ext uri="{63B3BB69-23CF-44E3-9099-C40C66FF867C}">
              <a14:compatExt xmlns:a14="http://schemas.microsoft.com/office/drawing/2010/main" spid="_x0000_s3079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409575</xdr:colOff>
      <xdr:row>23</xdr:row>
      <xdr:rowOff>171450</xdr:rowOff>
    </xdr:from>
    <xdr:to>
      <xdr:col>8</xdr:col>
      <xdr:colOff>419100</xdr:colOff>
      <xdr:row>25</xdr:row>
      <xdr:rowOff>152400</xdr:rowOff>
    </xdr:to>
    <xdr:sp macro="" textlink="">
      <xdr:nvSpPr>
        <xdr:cNvPr id="3080" name="ExportBtn" hidden="1">
          <a:extLst>
            <a:ext uri="{63B3BB69-23CF-44E3-9099-C40C66FF867C}">
              <a14:compatExt xmlns:a14="http://schemas.microsoft.com/office/drawing/2010/main" spid="_x0000_s3080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428625</xdr:colOff>
          <xdr:row>30</xdr:row>
          <xdr:rowOff>0</xdr:rowOff>
        </xdr:from>
        <xdr:to>
          <xdr:col>8</xdr:col>
          <xdr:colOff>295275</xdr:colOff>
          <xdr:row>31</xdr:row>
          <xdr:rowOff>161925</xdr:rowOff>
        </xdr:to>
        <xdr:sp macro="" textlink="">
          <xdr:nvSpPr>
            <xdr:cNvPr id="3081" name="Upt_list" hidden="1">
              <a:extLst>
                <a:ext uri="{63B3BB69-23CF-44E3-9099-C40C66FF867C}">
                  <a14:compatExt spid="_x0000_s3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209550</xdr:colOff>
          <xdr:row>8</xdr:row>
          <xdr:rowOff>76200</xdr:rowOff>
        </xdr:from>
        <xdr:to>
          <xdr:col>15</xdr:col>
          <xdr:colOff>180975</xdr:colOff>
          <xdr:row>10</xdr:row>
          <xdr:rowOff>0</xdr:rowOff>
        </xdr:to>
        <xdr:sp macro="" textlink="">
          <xdr:nvSpPr>
            <xdr:cNvPr id="3082" name="ReadCfg" hidden="1">
              <a:extLst>
                <a:ext uri="{63B3BB69-23CF-44E3-9099-C40C66FF867C}">
                  <a14:compatExt spid="_x0000_s3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619125</xdr:colOff>
          <xdr:row>3</xdr:row>
          <xdr:rowOff>123825</xdr:rowOff>
        </xdr:from>
        <xdr:to>
          <xdr:col>15</xdr:col>
          <xdr:colOff>504825</xdr:colOff>
          <xdr:row>5</xdr:row>
          <xdr:rowOff>85725</xdr:rowOff>
        </xdr:to>
        <xdr:sp macro="" textlink="">
          <xdr:nvSpPr>
            <xdr:cNvPr id="3083" name="ImportBtn" hidden="1">
              <a:extLst>
                <a:ext uri="{63B3BB69-23CF-44E3-9099-C40C66FF867C}">
                  <a14:compatExt spid="_x0000_s3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161925</xdr:colOff>
          <xdr:row>6</xdr:row>
          <xdr:rowOff>9525</xdr:rowOff>
        </xdr:from>
        <xdr:to>
          <xdr:col>15</xdr:col>
          <xdr:colOff>228600</xdr:colOff>
          <xdr:row>7</xdr:row>
          <xdr:rowOff>171450</xdr:rowOff>
        </xdr:to>
        <xdr:sp macro="" textlink="">
          <xdr:nvSpPr>
            <xdr:cNvPr id="3084" name="Get_list" hidden="1">
              <a:extLst>
                <a:ext uri="{63B3BB69-23CF-44E3-9099-C40C66FF867C}">
                  <a14:compatExt spid="_x0000_s3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23</xdr:row>
          <xdr:rowOff>171450</xdr:rowOff>
        </xdr:from>
        <xdr:to>
          <xdr:col>8</xdr:col>
          <xdr:colOff>352425</xdr:colOff>
          <xdr:row>25</xdr:row>
          <xdr:rowOff>152400</xdr:rowOff>
        </xdr:to>
        <xdr:sp macro="" textlink="">
          <xdr:nvSpPr>
            <xdr:cNvPr id="3085" name="ExportBtn" hidden="1">
              <a:extLst>
                <a:ext uri="{63B3BB69-23CF-44E3-9099-C40C66FF867C}">
                  <a14:compatExt spid="_x0000_s3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52</xdr:row>
          <xdr:rowOff>38100</xdr:rowOff>
        </xdr:from>
        <xdr:to>
          <xdr:col>3</xdr:col>
          <xdr:colOff>123825</xdr:colOff>
          <xdr:row>53</xdr:row>
          <xdr:rowOff>161925</xdr:rowOff>
        </xdr:to>
        <xdr:sp macro="" textlink="">
          <xdr:nvSpPr>
            <xdr:cNvPr id="3086" name="UpdtCfg" hidden="1">
              <a:extLst>
                <a:ext uri="{63B3BB69-23CF-44E3-9099-C40C66FF867C}">
                  <a14:compatExt spid="_x0000_s30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Tableau1" displayName="Tableau1" ref="A1:D30" totalsRowShown="0" headerRowDxfId="5" tableBorderDxfId="4">
  <autoFilter ref="A1:D30"/>
  <tableColumns count="4">
    <tableColumn id="1" name="Employé" dataDxfId="3"/>
    <tableColumn id="2" name="Code" dataDxfId="2"/>
    <tableColumn id="3" name="Temps Partiel (x)" dataDxfId="1"/>
    <tableColumn id="4" name="App Version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10" Type="http://schemas.openxmlformats.org/officeDocument/2006/relationships/comments" Target="../comments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image" Target="../media/image8.emf"/><Relationship Id="rId18" Type="http://schemas.openxmlformats.org/officeDocument/2006/relationships/control" Target="../activeX/activeX11.xml"/><Relationship Id="rId3" Type="http://schemas.openxmlformats.org/officeDocument/2006/relationships/vmlDrawing" Target="../drawings/vmlDrawing2.vml"/><Relationship Id="rId21" Type="http://schemas.openxmlformats.org/officeDocument/2006/relationships/image" Target="../media/image12.emf"/><Relationship Id="rId7" Type="http://schemas.openxmlformats.org/officeDocument/2006/relationships/image" Target="../media/image5.emf"/><Relationship Id="rId12" Type="http://schemas.openxmlformats.org/officeDocument/2006/relationships/control" Target="../activeX/activeX8.xml"/><Relationship Id="rId17" Type="http://schemas.openxmlformats.org/officeDocument/2006/relationships/image" Target="../media/image10.emf"/><Relationship Id="rId25" Type="http://schemas.openxmlformats.org/officeDocument/2006/relationships/image" Target="../media/image14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10.xml"/><Relationship Id="rId20" Type="http://schemas.openxmlformats.org/officeDocument/2006/relationships/control" Target="../activeX/activeX1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5.xml"/><Relationship Id="rId11" Type="http://schemas.openxmlformats.org/officeDocument/2006/relationships/image" Target="../media/image7.emf"/><Relationship Id="rId24" Type="http://schemas.openxmlformats.org/officeDocument/2006/relationships/control" Target="../activeX/activeX14.xml"/><Relationship Id="rId5" Type="http://schemas.openxmlformats.org/officeDocument/2006/relationships/image" Target="../media/image4.emf"/><Relationship Id="rId15" Type="http://schemas.openxmlformats.org/officeDocument/2006/relationships/image" Target="../media/image9.emf"/><Relationship Id="rId23" Type="http://schemas.openxmlformats.org/officeDocument/2006/relationships/image" Target="../media/image13.emf"/><Relationship Id="rId10" Type="http://schemas.openxmlformats.org/officeDocument/2006/relationships/control" Target="../activeX/activeX7.xml"/><Relationship Id="rId19" Type="http://schemas.openxmlformats.org/officeDocument/2006/relationships/image" Target="../media/image11.emf"/><Relationship Id="rId4" Type="http://schemas.openxmlformats.org/officeDocument/2006/relationships/control" Target="../activeX/activeX4.xml"/><Relationship Id="rId9" Type="http://schemas.openxmlformats.org/officeDocument/2006/relationships/image" Target="../media/image6.emf"/><Relationship Id="rId14" Type="http://schemas.openxmlformats.org/officeDocument/2006/relationships/control" Target="../activeX/activeX9.xml"/><Relationship Id="rId22" Type="http://schemas.openxmlformats.org/officeDocument/2006/relationships/control" Target="../activeX/activeX1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13" Type="http://schemas.openxmlformats.org/officeDocument/2006/relationships/image" Target="../media/image19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6.emf"/><Relationship Id="rId12" Type="http://schemas.openxmlformats.org/officeDocument/2006/relationships/control" Target="../activeX/activeX19.xml"/><Relationship Id="rId2" Type="http://schemas.openxmlformats.org/officeDocument/2006/relationships/drawing" Target="../drawings/drawing3.xml"/><Relationship Id="rId16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6.xml"/><Relationship Id="rId11" Type="http://schemas.openxmlformats.org/officeDocument/2006/relationships/image" Target="../media/image18.emf"/><Relationship Id="rId5" Type="http://schemas.openxmlformats.org/officeDocument/2006/relationships/image" Target="../media/image15.emf"/><Relationship Id="rId15" Type="http://schemas.openxmlformats.org/officeDocument/2006/relationships/image" Target="../media/image20.emf"/><Relationship Id="rId10" Type="http://schemas.openxmlformats.org/officeDocument/2006/relationships/control" Target="../activeX/activeX18.xml"/><Relationship Id="rId4" Type="http://schemas.openxmlformats.org/officeDocument/2006/relationships/control" Target="../activeX/activeX15.xml"/><Relationship Id="rId9" Type="http://schemas.openxmlformats.org/officeDocument/2006/relationships/image" Target="../media/image17.emf"/><Relationship Id="rId14" Type="http://schemas.openxmlformats.org/officeDocument/2006/relationships/control" Target="../activeX/activeX20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4.v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AP104"/>
  <sheetViews>
    <sheetView showZeros="0" tabSelected="1" zoomScaleNormal="100" workbookViewId="0">
      <pane ySplit="27" topLeftCell="A28" activePane="bottomLeft" state="frozen"/>
      <selection pane="bottomLeft" activeCell="D8" sqref="D8:G8"/>
    </sheetView>
  </sheetViews>
  <sheetFormatPr baseColWidth="10" defaultRowHeight="15" x14ac:dyDescent="0.25"/>
  <cols>
    <col min="1" max="1" width="4.28515625" style="24" customWidth="1"/>
    <col min="2" max="2" width="9.42578125" style="24" customWidth="1"/>
    <col min="3" max="3" width="11.42578125" style="24"/>
    <col min="4" max="25" width="6" style="24" customWidth="1"/>
    <col min="26" max="26" width="6" style="139" customWidth="1"/>
    <col min="27" max="28" width="6" style="156" customWidth="1"/>
    <col min="29" max="40" width="6" style="24" customWidth="1"/>
    <col min="41" max="52" width="6.140625" style="24" customWidth="1"/>
    <col min="53" max="54" width="11.42578125" style="24"/>
    <col min="55" max="55" width="11.42578125" style="24" customWidth="1"/>
    <col min="56" max="16384" width="11.42578125" style="24"/>
  </cols>
  <sheetData>
    <row r="1" spans="2:41" ht="16.5" thickBot="1" x14ac:dyDescent="0.3">
      <c r="E1" s="411" t="s">
        <v>75</v>
      </c>
      <c r="F1" s="412"/>
      <c r="G1" s="413"/>
      <c r="M1" s="125"/>
      <c r="N1" s="424" t="s">
        <v>340</v>
      </c>
      <c r="O1" s="424"/>
      <c r="P1" s="424"/>
      <c r="Q1" s="125"/>
      <c r="S1" s="424">
        <v>2026</v>
      </c>
      <c r="T1" s="424"/>
      <c r="X1" s="24" t="s">
        <v>74</v>
      </c>
      <c r="AA1" s="441"/>
      <c r="AB1" s="441"/>
      <c r="AC1" s="26"/>
      <c r="AD1" s="26"/>
      <c r="AE1" s="26"/>
    </row>
    <row r="2" spans="2:41" hidden="1" x14ac:dyDescent="0.25"/>
    <row r="4" spans="2:41" s="30" customFormat="1" ht="30" customHeight="1" x14ac:dyDescent="0.25">
      <c r="B4" s="350"/>
      <c r="C4" s="169"/>
      <c r="D4" s="636"/>
      <c r="E4" s="636"/>
      <c r="F4" s="636"/>
      <c r="G4" s="636"/>
      <c r="H4" s="250"/>
      <c r="I4" s="636"/>
      <c r="J4" s="636"/>
      <c r="K4" s="636"/>
      <c r="L4" s="636"/>
      <c r="M4" s="250"/>
      <c r="N4" s="636"/>
      <c r="O4" s="636"/>
      <c r="P4" s="636"/>
      <c r="Q4" s="636"/>
      <c r="R4" s="250"/>
      <c r="S4" s="636"/>
      <c r="T4" s="636"/>
      <c r="U4" s="636"/>
      <c r="V4" s="636"/>
      <c r="W4" s="250"/>
      <c r="X4" s="636"/>
      <c r="Y4" s="636"/>
      <c r="Z4" s="636"/>
      <c r="AA4" s="636"/>
      <c r="AB4" s="250"/>
      <c r="AC4" s="636"/>
      <c r="AD4" s="636"/>
      <c r="AE4" s="636"/>
      <c r="AF4" s="636"/>
      <c r="AG4" s="250"/>
      <c r="AH4" s="636"/>
      <c r="AI4" s="636"/>
      <c r="AJ4" s="636"/>
      <c r="AK4" s="636"/>
      <c r="AL4" s="126"/>
      <c r="AM4" s="126"/>
      <c r="AN4" s="126"/>
      <c r="AO4" s="249"/>
    </row>
    <row r="5" spans="2:41" s="30" customFormat="1" x14ac:dyDescent="0.25">
      <c r="B5" s="350"/>
      <c r="C5" s="207"/>
      <c r="D5" s="250"/>
      <c r="E5" s="250"/>
      <c r="F5" s="250"/>
      <c r="G5" s="250"/>
      <c r="H5" s="250"/>
      <c r="I5" s="250"/>
      <c r="J5" s="250"/>
      <c r="K5" s="250"/>
      <c r="L5" s="250"/>
      <c r="M5" s="250"/>
      <c r="N5" s="250"/>
      <c r="O5" s="250"/>
      <c r="P5" s="250"/>
      <c r="Q5" s="250"/>
      <c r="R5" s="250"/>
      <c r="S5" s="250"/>
      <c r="T5" s="250"/>
      <c r="U5" s="250"/>
      <c r="V5" s="250"/>
      <c r="W5" s="250"/>
      <c r="X5" s="250"/>
      <c r="Y5" s="250"/>
      <c r="Z5" s="637"/>
      <c r="AA5" s="250"/>
      <c r="AB5" s="250"/>
      <c r="AC5" s="250"/>
      <c r="AD5" s="250"/>
      <c r="AE5" s="250"/>
      <c r="AF5" s="250"/>
      <c r="AG5" s="250"/>
      <c r="AH5" s="250"/>
      <c r="AI5" s="250"/>
      <c r="AJ5" s="250"/>
      <c r="AK5" s="250"/>
      <c r="AL5" s="126"/>
      <c r="AM5" s="126"/>
      <c r="AN5" s="126"/>
      <c r="AO5" s="249"/>
    </row>
    <row r="6" spans="2:41" s="30" customFormat="1" x14ac:dyDescent="0.25">
      <c r="B6" s="350"/>
      <c r="C6" s="207"/>
      <c r="D6" s="653"/>
      <c r="E6" s="238"/>
      <c r="F6" s="238"/>
      <c r="G6" s="238"/>
      <c r="H6" s="250"/>
      <c r="I6" s="638"/>
      <c r="J6" s="238"/>
      <c r="K6" s="238"/>
      <c r="L6" s="238"/>
      <c r="M6" s="127"/>
      <c r="N6" s="638"/>
      <c r="O6" s="238"/>
      <c r="P6" s="238"/>
      <c r="Q6" s="238"/>
      <c r="R6" s="127"/>
      <c r="S6" s="653"/>
      <c r="T6" s="238"/>
      <c r="U6" s="238"/>
      <c r="V6" s="238"/>
      <c r="W6" s="250"/>
      <c r="X6" s="653"/>
      <c r="Y6" s="238"/>
      <c r="Z6" s="238"/>
      <c r="AA6" s="238"/>
      <c r="AB6" s="250"/>
      <c r="AC6" s="653"/>
      <c r="AD6" s="238"/>
      <c r="AE6" s="238"/>
      <c r="AF6" s="238"/>
      <c r="AG6" s="127"/>
      <c r="AH6" s="653"/>
      <c r="AI6" s="238"/>
      <c r="AJ6" s="238"/>
      <c r="AK6" s="238"/>
      <c r="AL6" s="126"/>
      <c r="AM6" s="238"/>
      <c r="AN6" s="238"/>
      <c r="AO6" s="249"/>
    </row>
    <row r="7" spans="2:41" s="30" customFormat="1" x14ac:dyDescent="0.25">
      <c r="B7" s="350"/>
      <c r="C7" s="207"/>
      <c r="D7" s="250"/>
      <c r="E7" s="250"/>
      <c r="F7" s="238"/>
      <c r="G7" s="238"/>
      <c r="H7" s="250"/>
      <c r="I7" s="127"/>
      <c r="J7" s="127"/>
      <c r="K7" s="238"/>
      <c r="L7" s="238"/>
      <c r="M7" s="127"/>
      <c r="N7" s="127"/>
      <c r="O7" s="127"/>
      <c r="P7" s="238"/>
      <c r="Q7" s="238"/>
      <c r="R7" s="127"/>
      <c r="S7" s="250"/>
      <c r="T7" s="250"/>
      <c r="U7" s="238"/>
      <c r="V7" s="238"/>
      <c r="W7" s="250"/>
      <c r="X7" s="250"/>
      <c r="Y7" s="250"/>
      <c r="Z7" s="238"/>
      <c r="AA7" s="238"/>
      <c r="AB7" s="250"/>
      <c r="AC7" s="127"/>
      <c r="AD7" s="127"/>
      <c r="AE7" s="238"/>
      <c r="AF7" s="238"/>
      <c r="AG7" s="127"/>
      <c r="AH7" s="127"/>
      <c r="AI7" s="127"/>
      <c r="AJ7" s="238"/>
      <c r="AK7" s="238"/>
      <c r="AL7" s="126"/>
      <c r="AM7" s="127"/>
      <c r="AN7" s="127"/>
      <c r="AO7" s="249"/>
    </row>
    <row r="8" spans="2:41" s="30" customFormat="1" ht="30" customHeight="1" x14ac:dyDescent="0.25">
      <c r="B8" s="350"/>
      <c r="C8" s="207"/>
      <c r="D8" s="636"/>
      <c r="E8" s="636"/>
      <c r="F8" s="636"/>
      <c r="G8" s="636"/>
      <c r="H8" s="250"/>
      <c r="I8" s="636"/>
      <c r="J8" s="636"/>
      <c r="K8" s="636"/>
      <c r="L8" s="636"/>
      <c r="M8" s="127"/>
      <c r="N8" s="639"/>
      <c r="O8" s="639"/>
      <c r="P8" s="639"/>
      <c r="Q8" s="639"/>
      <c r="R8" s="127"/>
      <c r="S8" s="636"/>
      <c r="T8" s="636"/>
      <c r="U8" s="636"/>
      <c r="V8" s="636"/>
      <c r="W8" s="250"/>
      <c r="X8" s="636"/>
      <c r="Y8" s="636"/>
      <c r="Z8" s="636"/>
      <c r="AA8" s="636"/>
      <c r="AB8" s="250"/>
      <c r="AC8" s="639"/>
      <c r="AD8" s="639"/>
      <c r="AE8" s="639"/>
      <c r="AF8" s="639"/>
      <c r="AG8" s="127"/>
      <c r="AH8" s="639"/>
      <c r="AI8" s="639"/>
      <c r="AJ8" s="639"/>
      <c r="AK8" s="639"/>
      <c r="AL8" s="126"/>
      <c r="AM8" s="127"/>
      <c r="AN8" s="127"/>
      <c r="AO8" s="249"/>
    </row>
    <row r="9" spans="2:41" s="30" customFormat="1" ht="15" customHeight="1" x14ac:dyDescent="0.25">
      <c r="B9" s="350"/>
      <c r="C9" s="207"/>
      <c r="D9" s="250"/>
      <c r="E9" s="250"/>
      <c r="F9" s="127"/>
      <c r="G9" s="127"/>
      <c r="H9" s="250"/>
      <c r="I9" s="127"/>
      <c r="J9" s="127"/>
      <c r="K9" s="127"/>
      <c r="L9" s="127"/>
      <c r="M9" s="127"/>
      <c r="N9" s="127"/>
      <c r="O9" s="127"/>
      <c r="P9" s="127"/>
      <c r="Q9" s="127"/>
      <c r="R9" s="127"/>
      <c r="S9" s="250"/>
      <c r="T9" s="250"/>
      <c r="U9" s="127"/>
      <c r="V9" s="127"/>
      <c r="W9" s="250"/>
      <c r="X9" s="250"/>
      <c r="Y9" s="250"/>
      <c r="Z9" s="127"/>
      <c r="AA9" s="127"/>
      <c r="AB9" s="250"/>
      <c r="AC9" s="127"/>
      <c r="AD9" s="127"/>
      <c r="AE9" s="127"/>
      <c r="AF9" s="127"/>
      <c r="AG9" s="127"/>
      <c r="AH9" s="127"/>
      <c r="AI9" s="127"/>
      <c r="AJ9" s="127"/>
      <c r="AK9" s="127"/>
      <c r="AL9" s="126"/>
      <c r="AM9" s="127"/>
      <c r="AN9" s="127"/>
      <c r="AO9" s="249"/>
    </row>
    <row r="10" spans="2:41" s="30" customFormat="1" ht="15" customHeight="1" x14ac:dyDescent="0.25">
      <c r="B10" s="350"/>
      <c r="C10" s="207"/>
      <c r="D10" s="638"/>
      <c r="E10" s="238"/>
      <c r="F10" s="238"/>
      <c r="G10" s="238"/>
      <c r="H10" s="250"/>
      <c r="I10" s="638"/>
      <c r="J10" s="238"/>
      <c r="K10" s="238"/>
      <c r="L10" s="238"/>
      <c r="M10" s="127"/>
      <c r="N10" s="638"/>
      <c r="O10" s="238"/>
      <c r="P10" s="238"/>
      <c r="Q10" s="238"/>
      <c r="R10" s="127"/>
      <c r="S10" s="638"/>
      <c r="T10" s="238"/>
      <c r="U10" s="238"/>
      <c r="V10" s="238"/>
      <c r="W10" s="250"/>
      <c r="X10" s="653"/>
      <c r="Y10" s="238"/>
      <c r="Z10" s="238"/>
      <c r="AA10" s="238"/>
      <c r="AB10" s="250"/>
      <c r="AC10" s="653"/>
      <c r="AD10" s="238"/>
      <c r="AE10" s="238"/>
      <c r="AF10" s="238"/>
      <c r="AG10" s="127"/>
      <c r="AH10" s="638"/>
      <c r="AI10" s="238"/>
      <c r="AJ10" s="238"/>
      <c r="AK10" s="238"/>
      <c r="AL10" s="126"/>
      <c r="AM10" s="127"/>
      <c r="AN10" s="127"/>
      <c r="AO10" s="249"/>
    </row>
    <row r="11" spans="2:41" s="30" customFormat="1" ht="15" customHeight="1" thickBot="1" x14ac:dyDescent="0.3">
      <c r="B11" s="350"/>
      <c r="C11" s="207"/>
      <c r="D11" s="250"/>
      <c r="E11" s="250"/>
      <c r="F11" s="127"/>
      <c r="G11" s="127"/>
      <c r="H11" s="250"/>
      <c r="I11" s="127"/>
      <c r="J11" s="127"/>
      <c r="K11" s="127"/>
      <c r="L11" s="127"/>
      <c r="M11" s="127"/>
      <c r="N11" s="127"/>
      <c r="O11" s="127"/>
      <c r="P11" s="127"/>
      <c r="Q11" s="127"/>
      <c r="R11" s="127"/>
      <c r="S11" s="250"/>
      <c r="T11" s="250"/>
      <c r="U11" s="127"/>
      <c r="V11" s="127"/>
      <c r="W11" s="250"/>
      <c r="X11" s="250"/>
      <c r="Y11" s="250"/>
      <c r="Z11" s="127"/>
      <c r="AA11" s="127"/>
      <c r="AB11" s="250"/>
      <c r="AC11" s="127"/>
      <c r="AD11" s="127"/>
      <c r="AE11" s="127"/>
      <c r="AF11" s="127"/>
      <c r="AG11" s="127"/>
      <c r="AH11" s="127"/>
      <c r="AI11" s="127"/>
      <c r="AJ11" s="127"/>
      <c r="AK11" s="127"/>
      <c r="AL11" s="126"/>
      <c r="AM11" s="127"/>
      <c r="AN11" s="127"/>
      <c r="AO11" s="249"/>
    </row>
    <row r="12" spans="2:41" s="30" customFormat="1" ht="15" hidden="1" customHeight="1" x14ac:dyDescent="0.3">
      <c r="B12" s="350"/>
      <c r="C12" s="207"/>
      <c r="D12" s="250"/>
      <c r="E12" s="250"/>
      <c r="F12" s="238"/>
      <c r="G12" s="238"/>
      <c r="H12" s="129"/>
      <c r="I12" s="250"/>
      <c r="J12" s="250"/>
      <c r="K12" s="127"/>
      <c r="L12" s="127"/>
      <c r="M12" s="129"/>
      <c r="N12" s="250"/>
      <c r="O12" s="250"/>
      <c r="P12" s="127"/>
      <c r="Q12" s="127"/>
      <c r="R12" s="129"/>
      <c r="S12" s="250"/>
      <c r="T12" s="250"/>
      <c r="U12" s="127"/>
      <c r="V12" s="127"/>
      <c r="W12" s="129"/>
      <c r="X12" s="250"/>
      <c r="Y12" s="250"/>
      <c r="Z12" s="127"/>
      <c r="AA12" s="127"/>
      <c r="AB12" s="129"/>
      <c r="AC12" s="250"/>
      <c r="AD12" s="250"/>
      <c r="AE12" s="127"/>
      <c r="AF12" s="127"/>
      <c r="AG12" s="131"/>
      <c r="AH12" s="250"/>
      <c r="AI12" s="250"/>
      <c r="AJ12" s="127"/>
      <c r="AK12" s="127"/>
      <c r="AL12" s="131"/>
      <c r="AM12" s="131"/>
      <c r="AN12" s="131"/>
      <c r="AO12" s="249"/>
    </row>
    <row r="13" spans="2:41" s="30" customFormat="1" ht="15" hidden="1" customHeight="1" x14ac:dyDescent="0.3">
      <c r="B13" s="350"/>
      <c r="C13" s="207"/>
      <c r="D13" s="250"/>
      <c r="E13" s="250"/>
      <c r="F13" s="238"/>
      <c r="G13" s="238"/>
      <c r="H13" s="129"/>
      <c r="I13" s="250"/>
      <c r="J13" s="250"/>
      <c r="K13" s="127"/>
      <c r="L13" s="127"/>
      <c r="M13" s="129"/>
      <c r="N13" s="250"/>
      <c r="O13" s="250"/>
      <c r="P13" s="127"/>
      <c r="Q13" s="127"/>
      <c r="R13" s="129"/>
      <c r="S13" s="250"/>
      <c r="T13" s="250"/>
      <c r="U13" s="127"/>
      <c r="V13" s="127"/>
      <c r="W13" s="129"/>
      <c r="X13" s="250"/>
      <c r="Y13" s="250"/>
      <c r="Z13" s="127"/>
      <c r="AA13" s="127"/>
      <c r="AB13" s="129"/>
      <c r="AC13" s="250"/>
      <c r="AD13" s="250"/>
      <c r="AE13" s="127"/>
      <c r="AF13" s="127"/>
      <c r="AG13" s="131"/>
      <c r="AH13" s="250"/>
      <c r="AI13" s="250"/>
      <c r="AJ13" s="127"/>
      <c r="AK13" s="127"/>
      <c r="AL13" s="131"/>
      <c r="AM13" s="131"/>
      <c r="AN13" s="131"/>
      <c r="AO13" s="249"/>
    </row>
    <row r="14" spans="2:41" s="168" customFormat="1" ht="15" hidden="1" customHeight="1" x14ac:dyDescent="0.3">
      <c r="C14" s="209"/>
      <c r="D14" s="250"/>
      <c r="E14" s="250"/>
      <c r="F14" s="238"/>
      <c r="G14" s="238"/>
      <c r="H14" s="129"/>
      <c r="I14" s="250"/>
      <c r="J14" s="250"/>
      <c r="K14" s="250"/>
      <c r="L14" s="250"/>
      <c r="M14" s="129"/>
      <c r="N14" s="250"/>
      <c r="O14" s="250"/>
      <c r="P14" s="250"/>
      <c r="Q14" s="250"/>
      <c r="R14" s="129"/>
      <c r="S14" s="250"/>
      <c r="T14" s="250"/>
      <c r="U14" s="250"/>
      <c r="V14" s="250"/>
      <c r="W14" s="129"/>
      <c r="X14" s="250"/>
      <c r="Y14" s="250"/>
      <c r="Z14" s="250"/>
      <c r="AA14" s="250"/>
      <c r="AB14" s="250"/>
      <c r="AC14" s="250"/>
      <c r="AD14" s="250"/>
      <c r="AE14" s="129"/>
      <c r="AF14" s="250"/>
      <c r="AG14" s="250"/>
      <c r="AH14" s="250"/>
      <c r="AI14" s="250"/>
      <c r="AJ14" s="131"/>
      <c r="AK14" s="250"/>
      <c r="AL14" s="126"/>
      <c r="AM14" s="126"/>
      <c r="AN14" s="126"/>
    </row>
    <row r="15" spans="2:41" s="30" customFormat="1" ht="15" hidden="1" customHeight="1" x14ac:dyDescent="0.3">
      <c r="B15" s="350"/>
      <c r="C15" s="207"/>
      <c r="D15" s="250"/>
      <c r="E15" s="250"/>
      <c r="F15" s="127"/>
      <c r="G15" s="127"/>
      <c r="H15" s="130"/>
      <c r="I15" s="250"/>
      <c r="J15" s="250"/>
      <c r="K15" s="250"/>
      <c r="L15" s="250"/>
      <c r="M15" s="129"/>
      <c r="N15" s="250"/>
      <c r="O15" s="250"/>
      <c r="P15" s="250"/>
      <c r="Q15" s="250"/>
      <c r="R15" s="129"/>
      <c r="S15" s="250"/>
      <c r="T15" s="250"/>
      <c r="U15" s="250"/>
      <c r="V15" s="250"/>
      <c r="W15" s="129"/>
      <c r="X15" s="250"/>
      <c r="Y15" s="250"/>
      <c r="Z15" s="250"/>
      <c r="AA15" s="250"/>
      <c r="AB15" s="250"/>
      <c r="AC15" s="250"/>
      <c r="AD15" s="250"/>
      <c r="AE15" s="129"/>
      <c r="AF15" s="250"/>
      <c r="AG15" s="250"/>
      <c r="AH15" s="250"/>
      <c r="AI15" s="250"/>
      <c r="AJ15" s="131"/>
      <c r="AK15" s="250"/>
      <c r="AL15" s="126"/>
      <c r="AM15" s="126"/>
      <c r="AN15" s="126"/>
      <c r="AO15" s="249"/>
    </row>
    <row r="16" spans="2:41" s="30" customFormat="1" ht="15" hidden="1" customHeight="1" x14ac:dyDescent="0.3">
      <c r="B16" s="350"/>
      <c r="C16" s="207"/>
      <c r="D16" s="250"/>
      <c r="E16" s="250"/>
      <c r="F16" s="127"/>
      <c r="G16" s="127"/>
      <c r="H16" s="130"/>
      <c r="I16" s="127"/>
      <c r="J16" s="127"/>
      <c r="K16" s="127"/>
      <c r="L16" s="127"/>
      <c r="M16" s="130"/>
      <c r="N16" s="127"/>
      <c r="O16" s="127"/>
      <c r="P16" s="127"/>
      <c r="Q16" s="127"/>
      <c r="R16" s="129"/>
      <c r="S16" s="250"/>
      <c r="T16" s="250"/>
      <c r="U16" s="127"/>
      <c r="V16" s="127"/>
      <c r="W16" s="130"/>
      <c r="X16" s="250"/>
      <c r="Y16" s="250"/>
      <c r="Z16" s="250"/>
      <c r="AA16" s="250"/>
      <c r="AB16" s="250"/>
      <c r="AC16" s="127"/>
      <c r="AD16" s="127"/>
      <c r="AE16" s="130"/>
      <c r="AF16" s="127"/>
      <c r="AG16" s="127"/>
      <c r="AH16" s="127"/>
      <c r="AI16" s="127"/>
      <c r="AJ16" s="131"/>
      <c r="AK16" s="250"/>
      <c r="AL16" s="126"/>
      <c r="AM16" s="127"/>
      <c r="AN16" s="127"/>
      <c r="AO16" s="249"/>
    </row>
    <row r="17" spans="1:41" s="30" customFormat="1" ht="15" hidden="1" customHeight="1" x14ac:dyDescent="0.3">
      <c r="B17" s="350"/>
      <c r="C17" s="208"/>
      <c r="D17" s="250"/>
      <c r="E17" s="250"/>
      <c r="F17" s="127"/>
      <c r="G17" s="127"/>
      <c r="H17" s="130"/>
      <c r="I17" s="127"/>
      <c r="J17" s="127"/>
      <c r="K17" s="127"/>
      <c r="L17" s="127"/>
      <c r="M17" s="127"/>
      <c r="N17" s="127"/>
      <c r="O17" s="127"/>
      <c r="P17" s="127"/>
      <c r="Q17" s="127"/>
      <c r="R17" s="250"/>
      <c r="S17" s="250"/>
      <c r="T17" s="250"/>
      <c r="U17" s="127"/>
      <c r="V17" s="127"/>
      <c r="W17" s="127"/>
      <c r="X17" s="250"/>
      <c r="Y17" s="250"/>
      <c r="Z17" s="250"/>
      <c r="AA17" s="250"/>
      <c r="AB17" s="250"/>
      <c r="AC17" s="127"/>
      <c r="AD17" s="127"/>
      <c r="AE17" s="127"/>
      <c r="AF17" s="127"/>
      <c r="AG17" s="127"/>
      <c r="AH17" s="127"/>
      <c r="AI17" s="127"/>
      <c r="AJ17" s="131"/>
      <c r="AK17" s="250"/>
      <c r="AL17" s="126"/>
      <c r="AM17" s="127"/>
      <c r="AN17" s="127"/>
      <c r="AO17" s="249"/>
    </row>
    <row r="18" spans="1:41" s="30" customFormat="1" ht="15" hidden="1" customHeight="1" x14ac:dyDescent="0.3">
      <c r="B18" s="350"/>
      <c r="C18" s="208"/>
      <c r="D18" s="250"/>
      <c r="E18" s="250"/>
      <c r="F18" s="127"/>
      <c r="G18" s="127"/>
      <c r="H18" s="130"/>
      <c r="I18" s="127"/>
      <c r="J18" s="127"/>
      <c r="K18" s="127"/>
      <c r="L18" s="127"/>
      <c r="M18" s="127"/>
      <c r="N18" s="127"/>
      <c r="O18" s="127"/>
      <c r="P18" s="127"/>
      <c r="Q18" s="127"/>
      <c r="R18" s="250"/>
      <c r="S18" s="250"/>
      <c r="T18" s="250"/>
      <c r="U18" s="127"/>
      <c r="V18" s="127"/>
      <c r="W18" s="127"/>
      <c r="X18" s="250"/>
      <c r="Y18" s="250"/>
      <c r="Z18" s="250"/>
      <c r="AA18" s="250"/>
      <c r="AB18" s="250"/>
      <c r="AC18" s="127"/>
      <c r="AD18" s="127"/>
      <c r="AE18" s="127"/>
      <c r="AF18" s="127"/>
      <c r="AG18" s="127"/>
      <c r="AH18" s="127"/>
      <c r="AI18" s="127"/>
      <c r="AJ18" s="131"/>
      <c r="AK18" s="250"/>
      <c r="AL18" s="126"/>
      <c r="AM18" s="127"/>
      <c r="AN18" s="127"/>
      <c r="AO18" s="249"/>
    </row>
    <row r="19" spans="1:41" s="30" customFormat="1" ht="15" hidden="1" customHeight="1" x14ac:dyDescent="0.3">
      <c r="B19" s="350"/>
      <c r="C19" s="208"/>
      <c r="D19" s="250"/>
      <c r="E19" s="250"/>
      <c r="F19" s="127"/>
      <c r="G19" s="127"/>
      <c r="H19" s="130"/>
      <c r="I19" s="127"/>
      <c r="J19" s="127"/>
      <c r="K19" s="127"/>
      <c r="L19" s="127"/>
      <c r="M19" s="127"/>
      <c r="N19" s="127"/>
      <c r="O19" s="127"/>
      <c r="P19" s="127"/>
      <c r="Q19" s="127"/>
      <c r="R19" s="250"/>
      <c r="S19" s="250"/>
      <c r="T19" s="250"/>
      <c r="U19" s="127"/>
      <c r="V19" s="127"/>
      <c r="W19" s="127"/>
      <c r="X19" s="250"/>
      <c r="Y19" s="250"/>
      <c r="Z19" s="250"/>
      <c r="AA19" s="250"/>
      <c r="AB19" s="250"/>
      <c r="AC19" s="127"/>
      <c r="AD19" s="127"/>
      <c r="AE19" s="127"/>
      <c r="AF19" s="127"/>
      <c r="AG19" s="127"/>
      <c r="AH19" s="127"/>
      <c r="AI19" s="127"/>
      <c r="AJ19" s="131"/>
      <c r="AK19" s="250"/>
      <c r="AL19" s="126"/>
      <c r="AM19" s="127"/>
      <c r="AN19" s="127"/>
      <c r="AO19" s="249"/>
    </row>
    <row r="20" spans="1:41" s="30" customFormat="1" ht="15" hidden="1" customHeight="1" x14ac:dyDescent="0.3">
      <c r="B20" s="350"/>
      <c r="C20" s="208"/>
      <c r="D20" s="250"/>
      <c r="E20" s="250"/>
      <c r="F20" s="127"/>
      <c r="G20" s="127"/>
      <c r="H20" s="130"/>
      <c r="I20" s="127"/>
      <c r="J20" s="127"/>
      <c r="K20" s="127"/>
      <c r="L20" s="127"/>
      <c r="M20" s="127"/>
      <c r="N20" s="127"/>
      <c r="O20" s="127"/>
      <c r="P20" s="127"/>
      <c r="Q20" s="127"/>
      <c r="R20" s="250"/>
      <c r="S20" s="250"/>
      <c r="T20" s="250"/>
      <c r="U20" s="127"/>
      <c r="V20" s="127"/>
      <c r="W20" s="127"/>
      <c r="X20" s="250"/>
      <c r="Y20" s="250"/>
      <c r="Z20" s="250"/>
      <c r="AA20" s="250"/>
      <c r="AB20" s="250"/>
      <c r="AC20" s="127"/>
      <c r="AD20" s="127"/>
      <c r="AE20" s="127"/>
      <c r="AF20" s="127"/>
      <c r="AG20" s="127"/>
      <c r="AH20" s="127"/>
      <c r="AI20" s="127"/>
      <c r="AJ20" s="131"/>
      <c r="AK20" s="250"/>
      <c r="AL20" s="126"/>
      <c r="AM20" s="127"/>
      <c r="AN20" s="127"/>
      <c r="AO20" s="249"/>
    </row>
    <row r="21" spans="1:41" s="30" customFormat="1" ht="15" hidden="1" customHeight="1" x14ac:dyDescent="0.3">
      <c r="B21" s="350"/>
      <c r="C21" s="208"/>
      <c r="D21" s="250"/>
      <c r="E21" s="250"/>
      <c r="F21" s="127"/>
      <c r="G21" s="127"/>
      <c r="H21" s="129"/>
      <c r="I21" s="127"/>
      <c r="J21" s="127"/>
      <c r="K21" s="127"/>
      <c r="L21" s="127"/>
      <c r="M21" s="127"/>
      <c r="N21" s="127"/>
      <c r="O21" s="127"/>
      <c r="P21" s="127"/>
      <c r="Q21" s="127"/>
      <c r="R21" s="250"/>
      <c r="S21" s="250"/>
      <c r="T21" s="250"/>
      <c r="U21" s="127"/>
      <c r="V21" s="127"/>
      <c r="W21" s="127"/>
      <c r="X21" s="250"/>
      <c r="Y21" s="250"/>
      <c r="Z21" s="250"/>
      <c r="AA21" s="250"/>
      <c r="AB21" s="250"/>
      <c r="AC21" s="127"/>
      <c r="AD21" s="127"/>
      <c r="AE21" s="127"/>
      <c r="AF21" s="127"/>
      <c r="AG21" s="127"/>
      <c r="AH21" s="127"/>
      <c r="AI21" s="127"/>
      <c r="AJ21" s="131"/>
      <c r="AK21" s="250"/>
      <c r="AL21" s="126"/>
      <c r="AM21" s="127"/>
      <c r="AN21" s="127"/>
      <c r="AO21" s="249"/>
    </row>
    <row r="22" spans="1:41" s="30" customFormat="1" ht="15" hidden="1" customHeight="1" x14ac:dyDescent="0.3">
      <c r="B22" s="350"/>
      <c r="C22" s="208"/>
      <c r="D22" s="250"/>
      <c r="E22" s="250"/>
      <c r="F22" s="127"/>
      <c r="G22" s="127"/>
      <c r="H22" s="129"/>
      <c r="I22" s="131"/>
      <c r="J22" s="131"/>
      <c r="K22" s="131"/>
      <c r="L22" s="131"/>
      <c r="M22" s="131"/>
      <c r="N22" s="131"/>
      <c r="O22" s="131"/>
      <c r="P22" s="131"/>
      <c r="Q22" s="131"/>
      <c r="R22" s="131"/>
      <c r="S22" s="131"/>
      <c r="T22" s="131"/>
      <c r="U22" s="131"/>
      <c r="V22" s="131"/>
      <c r="W22" s="131"/>
      <c r="X22" s="131"/>
      <c r="Y22" s="131"/>
      <c r="Z22" s="131"/>
      <c r="AA22" s="131"/>
      <c r="AB22" s="131"/>
      <c r="AC22" s="131"/>
      <c r="AD22" s="131"/>
      <c r="AE22" s="131"/>
      <c r="AF22" s="131"/>
      <c r="AG22" s="131"/>
      <c r="AH22" s="131"/>
      <c r="AI22" s="131"/>
      <c r="AJ22" s="131"/>
      <c r="AK22" s="131"/>
      <c r="AL22" s="249"/>
      <c r="AM22" s="249"/>
      <c r="AN22" s="249"/>
      <c r="AO22" s="249"/>
    </row>
    <row r="23" spans="1:41" s="30" customFormat="1" ht="15.75" hidden="1" thickBot="1" x14ac:dyDescent="0.3">
      <c r="A23" s="30" t="s">
        <v>318</v>
      </c>
      <c r="B23" s="350" t="b">
        <v>1</v>
      </c>
      <c r="C23" s="208" t="s">
        <v>319</v>
      </c>
      <c r="D23" s="169"/>
      <c r="E23" s="169"/>
      <c r="F23" s="169"/>
      <c r="G23" s="169"/>
      <c r="H23" s="350"/>
      <c r="I23" s="350"/>
      <c r="J23" s="350"/>
      <c r="K23" s="350"/>
      <c r="L23" s="350"/>
      <c r="M23" s="369"/>
    </row>
    <row r="24" spans="1:41" ht="19.5" thickBot="1" x14ac:dyDescent="0.35">
      <c r="B24" s="351"/>
      <c r="C24" s="371"/>
      <c r="D24" s="350"/>
      <c r="E24" s="350"/>
      <c r="F24" s="350"/>
      <c r="G24" s="350"/>
      <c r="H24" s="350"/>
      <c r="I24" s="428"/>
      <c r="J24" s="429"/>
      <c r="K24" s="429"/>
      <c r="L24" s="429"/>
      <c r="M24" s="430"/>
      <c r="N24" s="431"/>
      <c r="Q24" s="252"/>
      <c r="R24" s="432" t="s">
        <v>76</v>
      </c>
      <c r="S24" s="433"/>
      <c r="T24" s="433"/>
      <c r="U24" s="433"/>
      <c r="V24" s="434"/>
      <c r="W24" s="302"/>
      <c r="X24" s="303"/>
      <c r="Y24" s="449" t="s">
        <v>152</v>
      </c>
      <c r="Z24" s="449"/>
      <c r="AA24" s="449"/>
      <c r="AB24" s="449"/>
      <c r="AC24" s="447" t="s">
        <v>341</v>
      </c>
      <c r="AD24" s="447"/>
      <c r="AE24" s="447"/>
      <c r="AF24" s="447"/>
      <c r="AG24" s="447"/>
      <c r="AH24" s="447"/>
      <c r="AI24" s="447"/>
      <c r="AJ24" s="448"/>
    </row>
    <row r="25" spans="1:41" ht="15.75" thickBot="1" x14ac:dyDescent="0.3">
      <c r="A25" s="203"/>
      <c r="B25" s="435" t="s">
        <v>77</v>
      </c>
      <c r="C25" s="436"/>
      <c r="D25" s="436"/>
      <c r="E25" s="436"/>
      <c r="F25" s="436"/>
      <c r="G25" s="436"/>
      <c r="H25" s="436"/>
      <c r="I25" s="437"/>
      <c r="J25" s="437"/>
      <c r="K25" s="437"/>
      <c r="L25" s="437"/>
      <c r="M25" s="438"/>
      <c r="N25" s="437"/>
      <c r="O25" s="436"/>
      <c r="P25" s="436"/>
      <c r="Q25" s="437"/>
      <c r="R25" s="436"/>
      <c r="S25" s="436"/>
      <c r="T25" s="436"/>
      <c r="U25" s="436"/>
      <c r="V25" s="436"/>
      <c r="W25" s="439"/>
      <c r="X25" s="293"/>
      <c r="Y25" s="293"/>
      <c r="Z25" s="293"/>
      <c r="AA25" s="293"/>
      <c r="AB25" s="293"/>
      <c r="AC25" s="294"/>
      <c r="AD25" s="294"/>
      <c r="AE25" s="294"/>
      <c r="AF25" s="295"/>
      <c r="AG25" s="296"/>
      <c r="AH25" s="296"/>
      <c r="AI25" s="296"/>
      <c r="AJ25" s="297"/>
    </row>
    <row r="26" spans="1:41" ht="15.75" thickBot="1" x14ac:dyDescent="0.3">
      <c r="A26" s="203"/>
      <c r="B26" s="366"/>
      <c r="C26" s="167"/>
      <c r="D26" s="440">
        <v>1</v>
      </c>
      <c r="E26" s="440"/>
      <c r="F26" s="440">
        <v>2</v>
      </c>
      <c r="G26" s="440"/>
      <c r="H26" s="440">
        <v>3</v>
      </c>
      <c r="I26" s="440"/>
      <c r="J26" s="440">
        <v>4</v>
      </c>
      <c r="K26" s="440"/>
      <c r="L26" s="440">
        <v>5</v>
      </c>
      <c r="M26" s="457"/>
      <c r="N26" s="454">
        <v>6</v>
      </c>
      <c r="O26" s="455"/>
      <c r="P26" s="456">
        <v>7</v>
      </c>
      <c r="Q26" s="455"/>
      <c r="R26" s="456">
        <v>8</v>
      </c>
      <c r="S26" s="455"/>
      <c r="T26" s="456">
        <v>9</v>
      </c>
      <c r="U26" s="455"/>
      <c r="V26" s="456">
        <v>10</v>
      </c>
      <c r="W26" s="458"/>
      <c r="X26" s="442" t="s">
        <v>105</v>
      </c>
      <c r="Y26" s="443"/>
      <c r="Z26" s="444"/>
      <c r="AA26" s="298"/>
      <c r="AB26" s="298"/>
      <c r="AC26" s="299"/>
      <c r="AD26" s="299"/>
      <c r="AE26" s="299"/>
      <c r="AF26" s="299"/>
      <c r="AG26" s="300"/>
      <c r="AH26" s="300"/>
      <c r="AI26" s="300"/>
      <c r="AJ26" s="301"/>
    </row>
    <row r="27" spans="1:41" s="203" customFormat="1" ht="15.75" thickBot="1" x14ac:dyDescent="0.3">
      <c r="B27" s="367"/>
      <c r="C27" s="128"/>
      <c r="D27" s="172" t="s">
        <v>57</v>
      </c>
      <c r="E27" s="172" t="s">
        <v>58</v>
      </c>
      <c r="F27" s="172" t="s">
        <v>57</v>
      </c>
      <c r="G27" s="172" t="s">
        <v>58</v>
      </c>
      <c r="H27" s="172" t="s">
        <v>57</v>
      </c>
      <c r="I27" s="172" t="s">
        <v>58</v>
      </c>
      <c r="J27" s="172" t="s">
        <v>57</v>
      </c>
      <c r="K27" s="172" t="s">
        <v>58</v>
      </c>
      <c r="L27" s="172" t="s">
        <v>57</v>
      </c>
      <c r="M27" s="370" t="s">
        <v>58</v>
      </c>
      <c r="N27" s="368" t="s">
        <v>57</v>
      </c>
      <c r="O27" s="172" t="s">
        <v>58</v>
      </c>
      <c r="P27" s="172" t="s">
        <v>57</v>
      </c>
      <c r="Q27" s="172" t="s">
        <v>58</v>
      </c>
      <c r="R27" s="172" t="s">
        <v>57</v>
      </c>
      <c r="S27" s="172" t="s">
        <v>58</v>
      </c>
      <c r="T27" s="172" t="s">
        <v>57</v>
      </c>
      <c r="U27" s="172" t="s">
        <v>58</v>
      </c>
      <c r="V27" s="172" t="s">
        <v>57</v>
      </c>
      <c r="W27" s="172" t="s">
        <v>58</v>
      </c>
      <c r="X27" s="173" t="s">
        <v>78</v>
      </c>
      <c r="Y27" s="174" t="s">
        <v>104</v>
      </c>
      <c r="Z27" s="175" t="s">
        <v>106</v>
      </c>
      <c r="AA27" s="54" t="s">
        <v>138</v>
      </c>
      <c r="AB27" s="54" t="s">
        <v>271</v>
      </c>
      <c r="AC27" s="414" t="s">
        <v>100</v>
      </c>
      <c r="AD27" s="415"/>
      <c r="AE27" s="414" t="s">
        <v>101</v>
      </c>
      <c r="AF27" s="415"/>
      <c r="AG27" s="416" t="s">
        <v>102</v>
      </c>
      <c r="AH27" s="416"/>
      <c r="AI27" s="416" t="s">
        <v>103</v>
      </c>
      <c r="AJ27" s="416"/>
    </row>
    <row r="28" spans="1:41" x14ac:dyDescent="0.25">
      <c r="A28" s="203"/>
      <c r="B28" s="357" t="s">
        <v>79</v>
      </c>
      <c r="C28" s="358">
        <v>46020</v>
      </c>
      <c r="D28" s="359"/>
      <c r="E28" s="359"/>
      <c r="F28" s="359"/>
      <c r="G28" s="359"/>
      <c r="H28" s="359"/>
      <c r="I28" s="359"/>
      <c r="J28" s="359"/>
      <c r="K28" s="359"/>
      <c r="L28" s="359"/>
      <c r="M28" s="359"/>
      <c r="N28" s="359"/>
      <c r="O28" s="359"/>
      <c r="P28" s="359"/>
      <c r="Q28" s="359"/>
      <c r="R28" s="359"/>
      <c r="S28" s="359"/>
      <c r="T28" s="359"/>
      <c r="U28" s="359"/>
      <c r="V28" s="359"/>
      <c r="W28" s="361"/>
      <c r="X28" s="362"/>
      <c r="Y28" s="360"/>
      <c r="Z28" s="363"/>
      <c r="AA28" s="364"/>
      <c r="AB28" s="365"/>
      <c r="AC28" s="425"/>
      <c r="AD28" s="425"/>
      <c r="AE28" s="450" t="str">
        <f>TRUNC(SUM(AC28:AC34)*24,0) &amp; "h" &amp; RIGHT("00"&amp;ROUND(((SUM(AC28:AC34)*24)-TRUNC(SUM(AC28:AC34)*24,0))*60,2),2)</f>
        <v>0h00</v>
      </c>
      <c r="AF28" s="450"/>
      <c r="AG28" s="451"/>
      <c r="AH28" s="451"/>
      <c r="AI28" s="450" t="str">
        <f>TRUNC(SUM(AG28:AG34)*24,0) &amp; "h" &amp; RIGHT("00"&amp;ROUND(((SUM(AG28:AG34)*24)-TRUNC(SUM(AG28:AG34)*24,0))*60,2),2)</f>
        <v>0h00</v>
      </c>
      <c r="AJ28" s="450"/>
    </row>
    <row r="29" spans="1:41" ht="14.1" customHeight="1" x14ac:dyDescent="0.25">
      <c r="A29" s="203"/>
      <c r="B29" s="189" t="s">
        <v>80</v>
      </c>
      <c r="C29" s="186">
        <v>46021</v>
      </c>
      <c r="D29" s="176"/>
      <c r="E29" s="176"/>
      <c r="F29" s="176"/>
      <c r="G29" s="176"/>
      <c r="H29" s="176"/>
      <c r="I29" s="176"/>
      <c r="J29" s="176"/>
      <c r="K29" s="176"/>
      <c r="L29" s="176"/>
      <c r="M29" s="176"/>
      <c r="N29" s="176"/>
      <c r="O29" s="176"/>
      <c r="P29" s="176"/>
      <c r="Q29" s="176"/>
      <c r="R29" s="176"/>
      <c r="S29" s="176"/>
      <c r="T29" s="176"/>
      <c r="U29" s="176"/>
      <c r="V29" s="176"/>
      <c r="W29" s="210"/>
      <c r="X29" s="219"/>
      <c r="Y29" s="177"/>
      <c r="Z29" s="220"/>
      <c r="AA29" s="226"/>
      <c r="AB29" s="227"/>
      <c r="AC29" s="426"/>
      <c r="AD29" s="426"/>
      <c r="AE29" s="419"/>
      <c r="AF29" s="419"/>
      <c r="AG29" s="452"/>
      <c r="AH29" s="452"/>
      <c r="AI29" s="419"/>
      <c r="AJ29" s="419"/>
    </row>
    <row r="30" spans="1:41" ht="14.1" customHeight="1" x14ac:dyDescent="0.25">
      <c r="A30" s="203"/>
      <c r="B30" s="189" t="s">
        <v>81</v>
      </c>
      <c r="C30" s="186">
        <v>46022</v>
      </c>
      <c r="D30" s="178"/>
      <c r="E30" s="178"/>
      <c r="F30" s="178"/>
      <c r="G30" s="178"/>
      <c r="H30" s="178"/>
      <c r="I30" s="178"/>
      <c r="J30" s="178"/>
      <c r="K30" s="178"/>
      <c r="L30" s="178"/>
      <c r="M30" s="178"/>
      <c r="N30" s="178"/>
      <c r="O30" s="178"/>
      <c r="P30" s="178"/>
      <c r="Q30" s="178"/>
      <c r="R30" s="178"/>
      <c r="S30" s="178"/>
      <c r="T30" s="178"/>
      <c r="U30" s="178"/>
      <c r="V30" s="178"/>
      <c r="W30" s="211"/>
      <c r="X30" s="221"/>
      <c r="Y30" s="179"/>
      <c r="Z30" s="222"/>
      <c r="AA30" s="228"/>
      <c r="AB30" s="229"/>
      <c r="AC30" s="427"/>
      <c r="AD30" s="427"/>
      <c r="AE30" s="420"/>
      <c r="AF30" s="420"/>
      <c r="AG30" s="423"/>
      <c r="AH30" s="423"/>
      <c r="AI30" s="420"/>
      <c r="AJ30" s="420"/>
    </row>
    <row r="31" spans="1:41" ht="14.1" customHeight="1" x14ac:dyDescent="0.25">
      <c r="A31" s="203"/>
      <c r="B31" s="189" t="s">
        <v>82</v>
      </c>
      <c r="C31" s="186">
        <v>46023</v>
      </c>
      <c r="D31" s="608"/>
      <c r="E31" s="608"/>
      <c r="F31" s="608"/>
      <c r="G31" s="608"/>
      <c r="H31" s="608"/>
      <c r="I31" s="608"/>
      <c r="J31" s="608"/>
      <c r="K31" s="608"/>
      <c r="L31" s="608"/>
      <c r="M31" s="608"/>
      <c r="N31" s="608"/>
      <c r="O31" s="608"/>
      <c r="P31" s="608"/>
      <c r="Q31" s="608"/>
      <c r="R31" s="608"/>
      <c r="S31" s="608"/>
      <c r="T31" s="608"/>
      <c r="U31" s="608"/>
      <c r="V31" s="608"/>
      <c r="W31" s="640"/>
      <c r="X31" s="641"/>
      <c r="Y31" s="609"/>
      <c r="Z31" s="642"/>
      <c r="AA31" s="643"/>
      <c r="AB31" s="644"/>
      <c r="AC31" s="645"/>
      <c r="AD31" s="645"/>
      <c r="AE31" s="419"/>
      <c r="AF31" s="419"/>
      <c r="AG31" s="646"/>
      <c r="AH31" s="452"/>
      <c r="AI31" s="419"/>
      <c r="AJ31" s="419"/>
    </row>
    <row r="32" spans="1:41" ht="14.1" customHeight="1" x14ac:dyDescent="0.25">
      <c r="A32" s="203"/>
      <c r="B32" s="189" t="s">
        <v>83</v>
      </c>
      <c r="C32" s="186">
        <v>46024</v>
      </c>
      <c r="D32" s="178"/>
      <c r="E32" s="178"/>
      <c r="F32" s="178"/>
      <c r="G32" s="178"/>
      <c r="H32" s="178"/>
      <c r="I32" s="178"/>
      <c r="J32" s="178"/>
      <c r="K32" s="178"/>
      <c r="L32" s="178"/>
      <c r="M32" s="178"/>
      <c r="N32" s="178"/>
      <c r="O32" s="178"/>
      <c r="P32" s="178"/>
      <c r="Q32" s="178"/>
      <c r="R32" s="178"/>
      <c r="S32" s="178"/>
      <c r="T32" s="178"/>
      <c r="U32" s="178"/>
      <c r="V32" s="178"/>
      <c r="W32" s="211"/>
      <c r="X32" s="221"/>
      <c r="Y32" s="179"/>
      <c r="Z32" s="222"/>
      <c r="AA32" s="228"/>
      <c r="AB32" s="229"/>
      <c r="AC32" s="427"/>
      <c r="AD32" s="427"/>
      <c r="AE32" s="420"/>
      <c r="AF32" s="420"/>
      <c r="AG32" s="423"/>
      <c r="AH32" s="423"/>
      <c r="AI32" s="420"/>
      <c r="AJ32" s="420"/>
    </row>
    <row r="33" spans="1:42" ht="14.1" customHeight="1" x14ac:dyDescent="0.25">
      <c r="A33" s="203"/>
      <c r="B33" s="189" t="s">
        <v>84</v>
      </c>
      <c r="C33" s="186">
        <v>46025</v>
      </c>
      <c r="D33" s="176"/>
      <c r="E33" s="176"/>
      <c r="F33" s="176"/>
      <c r="G33" s="176"/>
      <c r="H33" s="176"/>
      <c r="I33" s="176"/>
      <c r="J33" s="176"/>
      <c r="K33" s="176"/>
      <c r="L33" s="176"/>
      <c r="M33" s="176"/>
      <c r="N33" s="176"/>
      <c r="O33" s="176"/>
      <c r="P33" s="176"/>
      <c r="Q33" s="176"/>
      <c r="R33" s="176"/>
      <c r="S33" s="176"/>
      <c r="T33" s="176"/>
      <c r="U33" s="176"/>
      <c r="V33" s="176"/>
      <c r="W33" s="210"/>
      <c r="X33" s="219"/>
      <c r="Y33" s="177"/>
      <c r="Z33" s="220"/>
      <c r="AA33" s="226"/>
      <c r="AB33" s="227"/>
      <c r="AC33" s="426"/>
      <c r="AD33" s="426"/>
      <c r="AE33" s="419"/>
      <c r="AF33" s="419"/>
      <c r="AG33" s="452"/>
      <c r="AH33" s="452"/>
      <c r="AI33" s="419"/>
      <c r="AJ33" s="419"/>
    </row>
    <row r="34" spans="1:42" ht="14.1" customHeight="1" x14ac:dyDescent="0.25">
      <c r="A34" s="203"/>
      <c r="B34" s="192" t="s">
        <v>85</v>
      </c>
      <c r="C34" s="193">
        <v>46026</v>
      </c>
      <c r="D34" s="182"/>
      <c r="E34" s="182"/>
      <c r="F34" s="182"/>
      <c r="G34" s="182"/>
      <c r="H34" s="182"/>
      <c r="I34" s="182"/>
      <c r="J34" s="182"/>
      <c r="K34" s="182"/>
      <c r="L34" s="182"/>
      <c r="M34" s="182"/>
      <c r="N34" s="182"/>
      <c r="O34" s="182"/>
      <c r="P34" s="182"/>
      <c r="Q34" s="182"/>
      <c r="R34" s="182"/>
      <c r="S34" s="182"/>
      <c r="T34" s="182"/>
      <c r="U34" s="182"/>
      <c r="V34" s="182"/>
      <c r="W34" s="212"/>
      <c r="X34" s="289"/>
      <c r="Y34" s="348"/>
      <c r="Z34" s="336"/>
      <c r="AA34" s="230"/>
      <c r="AB34" s="231"/>
      <c r="AC34" s="445"/>
      <c r="AD34" s="445"/>
      <c r="AE34" s="421"/>
      <c r="AF34" s="421"/>
      <c r="AG34" s="453"/>
      <c r="AH34" s="453"/>
      <c r="AI34" s="421"/>
      <c r="AJ34" s="421"/>
    </row>
    <row r="35" spans="1:42" ht="14.1" customHeight="1" x14ac:dyDescent="0.25">
      <c r="A35" s="203"/>
      <c r="B35" s="256" t="s">
        <v>79</v>
      </c>
      <c r="C35" s="257">
        <v>46027</v>
      </c>
      <c r="D35" s="258"/>
      <c r="E35" s="258"/>
      <c r="F35" s="258"/>
      <c r="G35" s="258"/>
      <c r="H35" s="258"/>
      <c r="I35" s="258"/>
      <c r="J35" s="258"/>
      <c r="K35" s="258"/>
      <c r="L35" s="258"/>
      <c r="M35" s="258"/>
      <c r="N35" s="258"/>
      <c r="O35" s="258"/>
      <c r="P35" s="258"/>
      <c r="Q35" s="258"/>
      <c r="R35" s="258"/>
      <c r="S35" s="258"/>
      <c r="T35" s="258"/>
      <c r="U35" s="258"/>
      <c r="V35" s="258"/>
      <c r="W35" s="259"/>
      <c r="X35" s="290"/>
      <c r="Y35" s="260"/>
      <c r="Z35" s="349"/>
      <c r="AA35" s="271"/>
      <c r="AB35" s="261"/>
      <c r="AC35" s="460"/>
      <c r="AD35" s="460"/>
      <c r="AE35" s="461" t="str">
        <f>TRUNC(SUM(AC35:AC41)*24,0) &amp; "h" &amp; RIGHT("00"&amp;ROUND(((SUM(AC35:AC41)*24)-TRUNC(SUM(AC35:AC41)*24,0))*60,2),2)</f>
        <v>0h00</v>
      </c>
      <c r="AF35" s="461"/>
      <c r="AG35" s="476"/>
      <c r="AH35" s="476"/>
      <c r="AI35" s="461" t="str">
        <f>TRUNC(SUM(AG35:AG41)*24,0) &amp; "h" &amp; RIGHT("00"&amp;ROUND(((SUM(AG35:AG41)*24)-TRUNC(SUM(AG35:AG41)*24,0))*60,2),2)</f>
        <v>0h00</v>
      </c>
      <c r="AJ35" s="461"/>
      <c r="AK35" s="140"/>
      <c r="AL35" s="140"/>
      <c r="AM35" s="140"/>
      <c r="AN35" s="140"/>
      <c r="AO35" s="140"/>
      <c r="AP35" s="140"/>
    </row>
    <row r="36" spans="1:42" ht="14.1" customHeight="1" x14ac:dyDescent="0.25">
      <c r="A36" s="203"/>
      <c r="B36" s="189" t="s">
        <v>80</v>
      </c>
      <c r="C36" s="186">
        <v>46028</v>
      </c>
      <c r="D36" s="178"/>
      <c r="E36" s="178"/>
      <c r="F36" s="178"/>
      <c r="G36" s="178"/>
      <c r="H36" s="178"/>
      <c r="I36" s="178"/>
      <c r="J36" s="178"/>
      <c r="K36" s="178"/>
      <c r="L36" s="178"/>
      <c r="M36" s="178"/>
      <c r="N36" s="178"/>
      <c r="O36" s="178"/>
      <c r="P36" s="178"/>
      <c r="Q36" s="178"/>
      <c r="R36" s="178"/>
      <c r="S36" s="178"/>
      <c r="T36" s="178"/>
      <c r="U36" s="178"/>
      <c r="V36" s="178"/>
      <c r="W36" s="211"/>
      <c r="X36" s="221"/>
      <c r="Y36" s="179"/>
      <c r="Z36" s="222"/>
      <c r="AA36" s="228"/>
      <c r="AB36" s="229"/>
      <c r="AC36" s="427"/>
      <c r="AD36" s="427"/>
      <c r="AE36" s="420"/>
      <c r="AF36" s="420"/>
      <c r="AG36" s="423"/>
      <c r="AH36" s="423"/>
      <c r="AI36" s="420"/>
      <c r="AJ36" s="420"/>
      <c r="AK36" s="141"/>
      <c r="AL36" s="141"/>
      <c r="AM36" s="141"/>
      <c r="AN36" s="141"/>
      <c r="AO36" s="141"/>
      <c r="AP36" s="140"/>
    </row>
    <row r="37" spans="1:42" ht="14.1" customHeight="1" x14ac:dyDescent="0.25">
      <c r="A37" s="203"/>
      <c r="B37" s="189" t="s">
        <v>81</v>
      </c>
      <c r="C37" s="186">
        <v>46029</v>
      </c>
      <c r="D37" s="176"/>
      <c r="E37" s="176"/>
      <c r="F37" s="176"/>
      <c r="G37" s="176"/>
      <c r="H37" s="176"/>
      <c r="I37" s="176"/>
      <c r="J37" s="176"/>
      <c r="K37" s="176"/>
      <c r="L37" s="176"/>
      <c r="M37" s="176"/>
      <c r="N37" s="176"/>
      <c r="O37" s="176"/>
      <c r="P37" s="176"/>
      <c r="Q37" s="176"/>
      <c r="R37" s="176"/>
      <c r="S37" s="176"/>
      <c r="T37" s="176"/>
      <c r="U37" s="176"/>
      <c r="V37" s="176"/>
      <c r="W37" s="210"/>
      <c r="X37" s="219"/>
      <c r="Y37" s="177"/>
      <c r="Z37" s="220"/>
      <c r="AA37" s="226"/>
      <c r="AB37" s="227"/>
      <c r="AC37" s="426"/>
      <c r="AD37" s="426"/>
      <c r="AE37" s="419"/>
      <c r="AF37" s="419"/>
      <c r="AG37" s="452"/>
      <c r="AH37" s="452"/>
      <c r="AI37" s="419"/>
      <c r="AJ37" s="419"/>
      <c r="AK37" s="140"/>
      <c r="AL37" s="142"/>
      <c r="AM37" s="140"/>
      <c r="AN37" s="140"/>
      <c r="AO37" s="140"/>
      <c r="AP37" s="140"/>
    </row>
    <row r="38" spans="1:42" ht="14.1" customHeight="1" x14ac:dyDescent="0.25">
      <c r="A38" s="203"/>
      <c r="B38" s="189" t="s">
        <v>82</v>
      </c>
      <c r="C38" s="186">
        <v>46030</v>
      </c>
      <c r="D38" s="178"/>
      <c r="E38" s="178"/>
      <c r="F38" s="178"/>
      <c r="G38" s="178"/>
      <c r="H38" s="178"/>
      <c r="I38" s="178"/>
      <c r="J38" s="180"/>
      <c r="K38" s="180"/>
      <c r="L38" s="180"/>
      <c r="M38" s="180"/>
      <c r="N38" s="180"/>
      <c r="O38" s="180"/>
      <c r="P38" s="180"/>
      <c r="Q38" s="180"/>
      <c r="R38" s="180"/>
      <c r="S38" s="180"/>
      <c r="T38" s="180"/>
      <c r="U38" s="180"/>
      <c r="V38" s="180"/>
      <c r="W38" s="213"/>
      <c r="X38" s="221"/>
      <c r="Y38" s="179"/>
      <c r="Z38" s="222"/>
      <c r="AA38" s="228"/>
      <c r="AB38" s="229"/>
      <c r="AC38" s="427"/>
      <c r="AD38" s="427"/>
      <c r="AE38" s="420"/>
      <c r="AF38" s="420"/>
      <c r="AG38" s="423"/>
      <c r="AH38" s="423"/>
      <c r="AI38" s="420"/>
      <c r="AJ38" s="420"/>
      <c r="AK38" s="141"/>
      <c r="AL38" s="141"/>
      <c r="AM38" s="141"/>
      <c r="AN38" s="141"/>
      <c r="AO38" s="141"/>
      <c r="AP38" s="140"/>
    </row>
    <row r="39" spans="1:42" ht="14.1" customHeight="1" x14ac:dyDescent="0.25">
      <c r="A39" s="203"/>
      <c r="B39" s="189" t="s">
        <v>83</v>
      </c>
      <c r="C39" s="186">
        <v>46031</v>
      </c>
      <c r="D39" s="176"/>
      <c r="E39" s="176"/>
      <c r="F39" s="176"/>
      <c r="G39" s="176"/>
      <c r="H39" s="176"/>
      <c r="I39" s="176"/>
      <c r="J39" s="181"/>
      <c r="K39" s="181"/>
      <c r="L39" s="181"/>
      <c r="M39" s="181"/>
      <c r="N39" s="181"/>
      <c r="O39" s="181"/>
      <c r="P39" s="181"/>
      <c r="Q39" s="181"/>
      <c r="R39" s="181"/>
      <c r="S39" s="181"/>
      <c r="T39" s="181"/>
      <c r="U39" s="181"/>
      <c r="V39" s="181"/>
      <c r="W39" s="214"/>
      <c r="X39" s="219"/>
      <c r="Y39" s="177"/>
      <c r="Z39" s="220"/>
      <c r="AA39" s="226"/>
      <c r="AB39" s="227"/>
      <c r="AC39" s="426"/>
      <c r="AD39" s="426"/>
      <c r="AE39" s="419"/>
      <c r="AF39" s="419"/>
      <c r="AG39" s="452"/>
      <c r="AH39" s="452"/>
      <c r="AI39" s="419"/>
      <c r="AJ39" s="419"/>
      <c r="AK39" s="140"/>
      <c r="AL39" s="140"/>
      <c r="AM39" s="140"/>
      <c r="AN39" s="140"/>
      <c r="AO39" s="140"/>
      <c r="AP39" s="140"/>
    </row>
    <row r="40" spans="1:42" ht="14.1" customHeight="1" x14ac:dyDescent="0.25">
      <c r="A40" s="203"/>
      <c r="B40" s="189" t="s">
        <v>84</v>
      </c>
      <c r="C40" s="186">
        <v>46032</v>
      </c>
      <c r="D40" s="178"/>
      <c r="E40" s="178"/>
      <c r="F40" s="178"/>
      <c r="G40" s="178"/>
      <c r="H40" s="178"/>
      <c r="I40" s="178"/>
      <c r="J40" s="180"/>
      <c r="K40" s="180"/>
      <c r="L40" s="180"/>
      <c r="M40" s="180"/>
      <c r="N40" s="180"/>
      <c r="O40" s="180"/>
      <c r="P40" s="180"/>
      <c r="Q40" s="180"/>
      <c r="R40" s="180"/>
      <c r="S40" s="180"/>
      <c r="T40" s="180"/>
      <c r="U40" s="180"/>
      <c r="V40" s="180"/>
      <c r="W40" s="213"/>
      <c r="X40" s="221"/>
      <c r="Y40" s="179"/>
      <c r="Z40" s="222"/>
      <c r="AA40" s="228"/>
      <c r="AB40" s="229"/>
      <c r="AC40" s="427"/>
      <c r="AD40" s="427"/>
      <c r="AE40" s="420"/>
      <c r="AF40" s="420"/>
      <c r="AG40" s="423"/>
      <c r="AH40" s="423"/>
      <c r="AI40" s="420"/>
      <c r="AJ40" s="420"/>
      <c r="AK40" s="140"/>
      <c r="AL40" s="140"/>
      <c r="AM40" s="140"/>
      <c r="AN40" s="140"/>
      <c r="AO40" s="140"/>
      <c r="AP40" s="140"/>
    </row>
    <row r="41" spans="1:42" ht="14.1" customHeight="1" x14ac:dyDescent="0.25">
      <c r="A41" s="203"/>
      <c r="B41" s="190" t="s">
        <v>85</v>
      </c>
      <c r="C41" s="191">
        <v>46033</v>
      </c>
      <c r="D41" s="251"/>
      <c r="E41" s="251"/>
      <c r="F41" s="183"/>
      <c r="G41" s="183"/>
      <c r="H41" s="183"/>
      <c r="I41" s="183"/>
      <c r="J41" s="183"/>
      <c r="K41" s="183"/>
      <c r="L41" s="183"/>
      <c r="M41" s="183"/>
      <c r="N41" s="183"/>
      <c r="O41" s="183"/>
      <c r="P41" s="183"/>
      <c r="Q41" s="183"/>
      <c r="R41" s="183"/>
      <c r="S41" s="183"/>
      <c r="T41" s="183"/>
      <c r="U41" s="183"/>
      <c r="V41" s="183"/>
      <c r="W41" s="215"/>
      <c r="X41" s="223"/>
      <c r="Y41" s="347"/>
      <c r="Z41" s="272"/>
      <c r="AA41" s="232"/>
      <c r="AB41" s="233"/>
      <c r="AC41" s="459"/>
      <c r="AD41" s="459"/>
      <c r="AE41" s="462"/>
      <c r="AF41" s="462"/>
      <c r="AG41" s="467"/>
      <c r="AH41" s="467"/>
      <c r="AI41" s="462"/>
      <c r="AJ41" s="462"/>
      <c r="AK41" s="140"/>
      <c r="AL41" s="140"/>
      <c r="AM41" s="140"/>
      <c r="AN41" s="140"/>
      <c r="AO41" s="140"/>
      <c r="AP41" s="140"/>
    </row>
    <row r="42" spans="1:42" ht="14.1" customHeight="1" x14ac:dyDescent="0.25">
      <c r="A42" s="203"/>
      <c r="B42" s="187" t="s">
        <v>79</v>
      </c>
      <c r="C42" s="188">
        <v>46034</v>
      </c>
      <c r="D42" s="273"/>
      <c r="E42" s="273"/>
      <c r="F42" s="273"/>
      <c r="G42" s="273"/>
      <c r="H42" s="273"/>
      <c r="I42" s="273"/>
      <c r="J42" s="273"/>
      <c r="K42" s="273"/>
      <c r="L42" s="273"/>
      <c r="M42" s="273"/>
      <c r="N42" s="273"/>
      <c r="O42" s="273"/>
      <c r="P42" s="273"/>
      <c r="Q42" s="273"/>
      <c r="R42" s="273"/>
      <c r="S42" s="273"/>
      <c r="T42" s="273"/>
      <c r="U42" s="273"/>
      <c r="V42" s="273"/>
      <c r="W42" s="274"/>
      <c r="X42" s="275"/>
      <c r="Y42" s="276"/>
      <c r="Z42" s="277"/>
      <c r="AA42" s="278"/>
      <c r="AB42" s="279"/>
      <c r="AC42" s="446"/>
      <c r="AD42" s="446"/>
      <c r="AE42" s="418" t="str">
        <f>TRUNC(SUM(AC42:AC48)*24,0) &amp; "h" &amp; RIGHT("00"&amp;ROUND(((SUM(AC42:AC48)*24)-TRUNC(SUM(AC42:AC48)*24,0))*60,2),2)</f>
        <v>0h00</v>
      </c>
      <c r="AF42" s="418"/>
      <c r="AG42" s="468"/>
      <c r="AH42" s="468"/>
      <c r="AI42" s="418" t="str">
        <f>TRUNC(SUM(AG42:AG48)*24,0) &amp; "h" &amp; RIGHT("00"&amp;ROUND(((SUM(AG42:AG48)*24)-TRUNC(SUM(AG42:AG48)*24,0))*60,2),2)</f>
        <v>0h00</v>
      </c>
      <c r="AJ42" s="418"/>
      <c r="AK42" s="140"/>
      <c r="AL42" s="140"/>
      <c r="AM42" s="140"/>
      <c r="AN42" s="140"/>
      <c r="AO42" s="140"/>
      <c r="AP42" s="140"/>
    </row>
    <row r="43" spans="1:42" ht="14.1" customHeight="1" x14ac:dyDescent="0.25">
      <c r="A43" s="203"/>
      <c r="B43" s="189" t="s">
        <v>80</v>
      </c>
      <c r="C43" s="186">
        <v>46035</v>
      </c>
      <c r="D43" s="176"/>
      <c r="E43" s="176"/>
      <c r="F43" s="176"/>
      <c r="G43" s="176"/>
      <c r="H43" s="176"/>
      <c r="I43" s="176"/>
      <c r="J43" s="176"/>
      <c r="K43" s="176"/>
      <c r="L43" s="176"/>
      <c r="M43" s="176"/>
      <c r="N43" s="176"/>
      <c r="O43" s="176"/>
      <c r="P43" s="176"/>
      <c r="Q43" s="176"/>
      <c r="R43" s="176"/>
      <c r="S43" s="176"/>
      <c r="T43" s="176"/>
      <c r="U43" s="176"/>
      <c r="V43" s="176"/>
      <c r="W43" s="210"/>
      <c r="X43" s="219"/>
      <c r="Y43" s="177"/>
      <c r="Z43" s="220"/>
      <c r="AA43" s="226"/>
      <c r="AB43" s="227"/>
      <c r="AC43" s="426"/>
      <c r="AD43" s="426"/>
      <c r="AE43" s="419"/>
      <c r="AF43" s="419"/>
      <c r="AG43" s="452"/>
      <c r="AH43" s="452"/>
      <c r="AI43" s="419"/>
      <c r="AJ43" s="419"/>
      <c r="AK43" s="140"/>
      <c r="AL43" s="140"/>
      <c r="AM43" s="140"/>
      <c r="AN43" s="140"/>
      <c r="AO43" s="140"/>
      <c r="AP43" s="140"/>
    </row>
    <row r="44" spans="1:42" ht="14.1" customHeight="1" x14ac:dyDescent="0.25">
      <c r="A44" s="203"/>
      <c r="B44" s="189" t="s">
        <v>81</v>
      </c>
      <c r="C44" s="186">
        <v>46036</v>
      </c>
      <c r="D44" s="178"/>
      <c r="E44" s="178"/>
      <c r="F44" s="178"/>
      <c r="G44" s="178"/>
      <c r="H44" s="178"/>
      <c r="I44" s="178"/>
      <c r="J44" s="178"/>
      <c r="K44" s="178"/>
      <c r="L44" s="178"/>
      <c r="M44" s="178"/>
      <c r="N44" s="178"/>
      <c r="O44" s="178"/>
      <c r="P44" s="178"/>
      <c r="Q44" s="178"/>
      <c r="R44" s="178"/>
      <c r="S44" s="178"/>
      <c r="T44" s="178"/>
      <c r="U44" s="178"/>
      <c r="V44" s="178"/>
      <c r="W44" s="211"/>
      <c r="X44" s="221"/>
      <c r="Y44" s="179"/>
      <c r="Z44" s="222"/>
      <c r="AA44" s="228"/>
      <c r="AB44" s="229"/>
      <c r="AC44" s="427"/>
      <c r="AD44" s="427"/>
      <c r="AE44" s="420"/>
      <c r="AF44" s="420"/>
      <c r="AG44" s="423"/>
      <c r="AH44" s="423"/>
      <c r="AI44" s="420"/>
      <c r="AJ44" s="420"/>
      <c r="AK44" s="140"/>
      <c r="AL44" s="140"/>
      <c r="AM44" s="140"/>
      <c r="AN44" s="140"/>
      <c r="AO44" s="140"/>
      <c r="AP44" s="140"/>
    </row>
    <row r="45" spans="1:42" ht="14.1" customHeight="1" x14ac:dyDescent="0.25">
      <c r="A45" s="203"/>
      <c r="B45" s="189" t="s">
        <v>82</v>
      </c>
      <c r="C45" s="186">
        <v>46037</v>
      </c>
      <c r="D45" s="176"/>
      <c r="E45" s="176"/>
      <c r="F45" s="176"/>
      <c r="G45" s="176"/>
      <c r="H45" s="176"/>
      <c r="I45" s="176"/>
      <c r="J45" s="176"/>
      <c r="K45" s="176"/>
      <c r="L45" s="176"/>
      <c r="M45" s="176"/>
      <c r="N45" s="176"/>
      <c r="O45" s="176"/>
      <c r="P45" s="176"/>
      <c r="Q45" s="176"/>
      <c r="R45" s="176"/>
      <c r="S45" s="176"/>
      <c r="T45" s="176"/>
      <c r="U45" s="176"/>
      <c r="V45" s="176"/>
      <c r="W45" s="210"/>
      <c r="X45" s="219"/>
      <c r="Y45" s="177"/>
      <c r="Z45" s="220"/>
      <c r="AA45" s="226"/>
      <c r="AB45" s="227"/>
      <c r="AC45" s="426"/>
      <c r="AD45" s="426"/>
      <c r="AE45" s="419"/>
      <c r="AF45" s="419"/>
      <c r="AG45" s="452"/>
      <c r="AH45" s="452"/>
      <c r="AI45" s="419"/>
      <c r="AJ45" s="419"/>
      <c r="AK45" s="140"/>
      <c r="AL45" s="140"/>
      <c r="AM45" s="140"/>
      <c r="AN45" s="140"/>
      <c r="AO45" s="140"/>
      <c r="AP45" s="140"/>
    </row>
    <row r="46" spans="1:42" ht="14.1" customHeight="1" x14ac:dyDescent="0.25">
      <c r="A46" s="203"/>
      <c r="B46" s="189" t="s">
        <v>83</v>
      </c>
      <c r="C46" s="186">
        <v>46038</v>
      </c>
      <c r="D46" s="178"/>
      <c r="E46" s="178"/>
      <c r="F46" s="178"/>
      <c r="G46" s="178"/>
      <c r="H46" s="178"/>
      <c r="I46" s="178"/>
      <c r="J46" s="178"/>
      <c r="K46" s="178"/>
      <c r="L46" s="178"/>
      <c r="M46" s="178"/>
      <c r="N46" s="178"/>
      <c r="O46" s="178"/>
      <c r="P46" s="178"/>
      <c r="Q46" s="178"/>
      <c r="R46" s="178"/>
      <c r="S46" s="178"/>
      <c r="T46" s="178"/>
      <c r="U46" s="178"/>
      <c r="V46" s="178"/>
      <c r="W46" s="211"/>
      <c r="X46" s="221"/>
      <c r="Y46" s="179"/>
      <c r="Z46" s="222"/>
      <c r="AA46" s="228"/>
      <c r="AB46" s="229"/>
      <c r="AC46" s="427"/>
      <c r="AD46" s="427"/>
      <c r="AE46" s="420"/>
      <c r="AF46" s="420"/>
      <c r="AG46" s="423"/>
      <c r="AH46" s="423"/>
      <c r="AI46" s="420"/>
      <c r="AJ46" s="420"/>
      <c r="AK46" s="140"/>
      <c r="AL46" s="140"/>
      <c r="AM46" s="140"/>
      <c r="AN46" s="140"/>
      <c r="AO46" s="140"/>
      <c r="AP46" s="140"/>
    </row>
    <row r="47" spans="1:42" ht="14.1" customHeight="1" x14ac:dyDescent="0.25">
      <c r="A47" s="203"/>
      <c r="B47" s="189" t="s">
        <v>84</v>
      </c>
      <c r="C47" s="186">
        <v>46039</v>
      </c>
      <c r="D47" s="176"/>
      <c r="E47" s="176"/>
      <c r="F47" s="176"/>
      <c r="G47" s="176"/>
      <c r="H47" s="176"/>
      <c r="I47" s="176"/>
      <c r="J47" s="176"/>
      <c r="K47" s="176"/>
      <c r="L47" s="176"/>
      <c r="M47" s="176"/>
      <c r="N47" s="176"/>
      <c r="O47" s="176"/>
      <c r="P47" s="176"/>
      <c r="Q47" s="176"/>
      <c r="R47" s="176"/>
      <c r="S47" s="176"/>
      <c r="T47" s="176"/>
      <c r="U47" s="176"/>
      <c r="V47" s="176"/>
      <c r="W47" s="210"/>
      <c r="X47" s="219"/>
      <c r="Y47" s="177"/>
      <c r="Z47" s="220"/>
      <c r="AA47" s="226"/>
      <c r="AB47" s="227"/>
      <c r="AC47" s="426"/>
      <c r="AD47" s="426"/>
      <c r="AE47" s="419"/>
      <c r="AF47" s="419"/>
      <c r="AG47" s="452"/>
      <c r="AH47" s="452"/>
      <c r="AI47" s="419"/>
      <c r="AJ47" s="419"/>
      <c r="AK47" s="140"/>
      <c r="AL47" s="140"/>
      <c r="AM47" s="140"/>
      <c r="AN47" s="140"/>
      <c r="AO47" s="140"/>
      <c r="AP47" s="140"/>
    </row>
    <row r="48" spans="1:42" ht="14.1" customHeight="1" x14ac:dyDescent="0.25">
      <c r="A48" s="203"/>
      <c r="B48" s="192" t="s">
        <v>85</v>
      </c>
      <c r="C48" s="193">
        <v>46040</v>
      </c>
      <c r="D48" s="182"/>
      <c r="E48" s="182"/>
      <c r="F48" s="182"/>
      <c r="G48" s="182"/>
      <c r="H48" s="182"/>
      <c r="I48" s="182"/>
      <c r="J48" s="182"/>
      <c r="K48" s="182"/>
      <c r="L48" s="182"/>
      <c r="M48" s="182"/>
      <c r="N48" s="182"/>
      <c r="O48" s="182"/>
      <c r="P48" s="182"/>
      <c r="Q48" s="182"/>
      <c r="R48" s="182"/>
      <c r="S48" s="182"/>
      <c r="T48" s="182"/>
      <c r="U48" s="182"/>
      <c r="V48" s="182"/>
      <c r="W48" s="212"/>
      <c r="X48" s="289"/>
      <c r="Y48" s="348"/>
      <c r="Z48" s="336"/>
      <c r="AA48" s="230"/>
      <c r="AB48" s="231"/>
      <c r="AC48" s="445"/>
      <c r="AD48" s="445"/>
      <c r="AE48" s="421"/>
      <c r="AF48" s="421"/>
      <c r="AG48" s="453"/>
      <c r="AH48" s="453"/>
      <c r="AI48" s="421"/>
      <c r="AJ48" s="421"/>
    </row>
    <row r="49" spans="1:36" ht="14.1" customHeight="1" x14ac:dyDescent="0.25">
      <c r="A49" s="203"/>
      <c r="B49" s="256" t="s">
        <v>79</v>
      </c>
      <c r="C49" s="257">
        <v>46041</v>
      </c>
      <c r="D49" s="258"/>
      <c r="E49" s="258"/>
      <c r="F49" s="258"/>
      <c r="G49" s="258"/>
      <c r="H49" s="258"/>
      <c r="I49" s="258"/>
      <c r="J49" s="258"/>
      <c r="K49" s="258"/>
      <c r="L49" s="258"/>
      <c r="M49" s="258"/>
      <c r="N49" s="258"/>
      <c r="O49" s="258"/>
      <c r="P49" s="258"/>
      <c r="Q49" s="258"/>
      <c r="R49" s="258"/>
      <c r="S49" s="258"/>
      <c r="T49" s="258"/>
      <c r="U49" s="258"/>
      <c r="V49" s="258"/>
      <c r="W49" s="259"/>
      <c r="X49" s="290"/>
      <c r="Y49" s="260"/>
      <c r="Z49" s="349"/>
      <c r="AA49" s="271"/>
      <c r="AB49" s="261"/>
      <c r="AC49" s="460"/>
      <c r="AD49" s="460"/>
      <c r="AE49" s="461" t="str">
        <f>TRUNC(SUM(AC49:AC55)*24,0) &amp; "h" &amp; RIGHT("00"&amp;ROUND(((SUM(AC49:AC55)*24)-TRUNC(SUM(AC49:AC55)*24,0))*60,2),2)</f>
        <v>0h00</v>
      </c>
      <c r="AF49" s="461"/>
      <c r="AG49" s="476"/>
      <c r="AH49" s="476"/>
      <c r="AI49" s="461" t="str">
        <f>TRUNC(SUM(AG49:AG55)*24,0) &amp; "h" &amp; RIGHT("00"&amp;ROUND(((SUM(AG49:AG55)*24)-TRUNC(SUM(AG49:AG55)*24,0))*60,2),2)</f>
        <v>0h00</v>
      </c>
      <c r="AJ49" s="461"/>
    </row>
    <row r="50" spans="1:36" ht="14.1" customHeight="1" x14ac:dyDescent="0.25">
      <c r="A50" s="203"/>
      <c r="B50" s="189" t="s">
        <v>80</v>
      </c>
      <c r="C50" s="186">
        <v>46042</v>
      </c>
      <c r="D50" s="178"/>
      <c r="E50" s="178"/>
      <c r="F50" s="178"/>
      <c r="G50" s="178"/>
      <c r="H50" s="178"/>
      <c r="I50" s="178"/>
      <c r="J50" s="178"/>
      <c r="K50" s="178"/>
      <c r="L50" s="178"/>
      <c r="M50" s="178"/>
      <c r="N50" s="178"/>
      <c r="O50" s="178"/>
      <c r="P50" s="178"/>
      <c r="Q50" s="178"/>
      <c r="R50" s="178"/>
      <c r="S50" s="178"/>
      <c r="T50" s="178"/>
      <c r="U50" s="178"/>
      <c r="V50" s="178"/>
      <c r="W50" s="211"/>
      <c r="X50" s="221"/>
      <c r="Y50" s="179"/>
      <c r="Z50" s="222"/>
      <c r="AA50" s="228"/>
      <c r="AB50" s="229"/>
      <c r="AC50" s="427"/>
      <c r="AD50" s="427"/>
      <c r="AE50" s="420"/>
      <c r="AF50" s="420"/>
      <c r="AG50" s="423"/>
      <c r="AH50" s="423"/>
      <c r="AI50" s="420"/>
      <c r="AJ50" s="420"/>
    </row>
    <row r="51" spans="1:36" ht="14.1" customHeight="1" x14ac:dyDescent="0.25">
      <c r="A51" s="203"/>
      <c r="B51" s="189" t="s">
        <v>81</v>
      </c>
      <c r="C51" s="186">
        <v>46043</v>
      </c>
      <c r="D51" s="176"/>
      <c r="E51" s="176"/>
      <c r="F51" s="176"/>
      <c r="G51" s="176"/>
      <c r="H51" s="176"/>
      <c r="I51" s="176"/>
      <c r="J51" s="176"/>
      <c r="K51" s="176"/>
      <c r="L51" s="176"/>
      <c r="M51" s="176"/>
      <c r="N51" s="176"/>
      <c r="O51" s="176"/>
      <c r="P51" s="176"/>
      <c r="Q51" s="176"/>
      <c r="R51" s="176"/>
      <c r="S51" s="176"/>
      <c r="T51" s="176"/>
      <c r="U51" s="176"/>
      <c r="V51" s="176"/>
      <c r="W51" s="210"/>
      <c r="X51" s="219"/>
      <c r="Y51" s="177"/>
      <c r="Z51" s="220"/>
      <c r="AA51" s="226"/>
      <c r="AB51" s="227"/>
      <c r="AC51" s="426"/>
      <c r="AD51" s="426"/>
      <c r="AE51" s="419"/>
      <c r="AF51" s="419"/>
      <c r="AG51" s="452"/>
      <c r="AH51" s="452"/>
      <c r="AI51" s="419"/>
      <c r="AJ51" s="419"/>
    </row>
    <row r="52" spans="1:36" ht="14.1" customHeight="1" x14ac:dyDescent="0.25">
      <c r="A52" s="203"/>
      <c r="B52" s="189" t="s">
        <v>82</v>
      </c>
      <c r="C52" s="186">
        <v>46044</v>
      </c>
      <c r="D52" s="178"/>
      <c r="E52" s="178"/>
      <c r="F52" s="178"/>
      <c r="G52" s="178"/>
      <c r="H52" s="180"/>
      <c r="I52" s="180"/>
      <c r="J52" s="180"/>
      <c r="K52" s="180"/>
      <c r="L52" s="180"/>
      <c r="M52" s="180"/>
      <c r="N52" s="180"/>
      <c r="O52" s="180"/>
      <c r="P52" s="180"/>
      <c r="Q52" s="180"/>
      <c r="R52" s="180"/>
      <c r="S52" s="180"/>
      <c r="T52" s="180"/>
      <c r="U52" s="180"/>
      <c r="V52" s="180"/>
      <c r="W52" s="213"/>
      <c r="X52" s="221"/>
      <c r="Y52" s="179"/>
      <c r="Z52" s="222"/>
      <c r="AA52" s="228"/>
      <c r="AB52" s="229"/>
      <c r="AC52" s="427"/>
      <c r="AD52" s="427"/>
      <c r="AE52" s="420"/>
      <c r="AF52" s="420"/>
      <c r="AG52" s="423"/>
      <c r="AH52" s="423"/>
      <c r="AI52" s="420"/>
      <c r="AJ52" s="420"/>
    </row>
    <row r="53" spans="1:36" ht="14.1" customHeight="1" x14ac:dyDescent="0.25">
      <c r="A53" s="203"/>
      <c r="B53" s="189" t="s">
        <v>83</v>
      </c>
      <c r="C53" s="186">
        <v>46045</v>
      </c>
      <c r="D53" s="176"/>
      <c r="E53" s="176"/>
      <c r="F53" s="176"/>
      <c r="G53" s="176"/>
      <c r="H53" s="176"/>
      <c r="I53" s="176"/>
      <c r="J53" s="181"/>
      <c r="K53" s="181"/>
      <c r="L53" s="181"/>
      <c r="M53" s="181"/>
      <c r="N53" s="181"/>
      <c r="O53" s="181"/>
      <c r="P53" s="181"/>
      <c r="Q53" s="181"/>
      <c r="R53" s="181"/>
      <c r="S53" s="181"/>
      <c r="T53" s="181"/>
      <c r="U53" s="181"/>
      <c r="V53" s="181"/>
      <c r="W53" s="214"/>
      <c r="X53" s="219"/>
      <c r="Y53" s="177"/>
      <c r="Z53" s="220"/>
      <c r="AA53" s="226"/>
      <c r="AB53" s="227"/>
      <c r="AC53" s="426"/>
      <c r="AD53" s="426"/>
      <c r="AE53" s="419"/>
      <c r="AF53" s="419"/>
      <c r="AG53" s="452"/>
      <c r="AH53" s="452"/>
      <c r="AI53" s="419"/>
      <c r="AJ53" s="419"/>
    </row>
    <row r="54" spans="1:36" ht="14.1" customHeight="1" x14ac:dyDescent="0.25">
      <c r="A54" s="203"/>
      <c r="B54" s="189" t="s">
        <v>84</v>
      </c>
      <c r="C54" s="186">
        <v>46046</v>
      </c>
      <c r="D54" s="178"/>
      <c r="E54" s="178"/>
      <c r="F54" s="178"/>
      <c r="G54" s="178"/>
      <c r="H54" s="178"/>
      <c r="I54" s="178"/>
      <c r="J54" s="180"/>
      <c r="K54" s="180"/>
      <c r="L54" s="180"/>
      <c r="M54" s="180"/>
      <c r="N54" s="180"/>
      <c r="O54" s="180"/>
      <c r="P54" s="180"/>
      <c r="Q54" s="180"/>
      <c r="R54" s="180"/>
      <c r="S54" s="180"/>
      <c r="T54" s="180"/>
      <c r="U54" s="180"/>
      <c r="V54" s="180"/>
      <c r="W54" s="213"/>
      <c r="X54" s="221"/>
      <c r="Y54" s="179"/>
      <c r="Z54" s="222"/>
      <c r="AA54" s="228"/>
      <c r="AB54" s="229"/>
      <c r="AC54" s="427"/>
      <c r="AD54" s="427"/>
      <c r="AE54" s="420"/>
      <c r="AF54" s="420"/>
      <c r="AG54" s="423"/>
      <c r="AH54" s="423"/>
      <c r="AI54" s="420"/>
      <c r="AJ54" s="420"/>
    </row>
    <row r="55" spans="1:36" ht="14.1" customHeight="1" x14ac:dyDescent="0.25">
      <c r="A55" s="203"/>
      <c r="B55" s="190" t="s">
        <v>85</v>
      </c>
      <c r="C55" s="191">
        <v>46047</v>
      </c>
      <c r="D55" s="251"/>
      <c r="E55" s="251"/>
      <c r="F55" s="251"/>
      <c r="G55" s="251"/>
      <c r="H55" s="183"/>
      <c r="I55" s="183"/>
      <c r="J55" s="183"/>
      <c r="K55" s="183"/>
      <c r="L55" s="183"/>
      <c r="M55" s="183"/>
      <c r="N55" s="183"/>
      <c r="O55" s="183"/>
      <c r="P55" s="183"/>
      <c r="Q55" s="183"/>
      <c r="R55" s="183"/>
      <c r="S55" s="183"/>
      <c r="T55" s="183"/>
      <c r="U55" s="183"/>
      <c r="V55" s="183"/>
      <c r="W55" s="215"/>
      <c r="X55" s="223"/>
      <c r="Y55" s="347"/>
      <c r="Z55" s="272"/>
      <c r="AA55" s="232"/>
      <c r="AB55" s="233"/>
      <c r="AC55" s="459"/>
      <c r="AD55" s="459"/>
      <c r="AE55" s="462"/>
      <c r="AF55" s="462"/>
      <c r="AG55" s="467"/>
      <c r="AH55" s="467"/>
      <c r="AI55" s="462"/>
      <c r="AJ55" s="462"/>
    </row>
    <row r="56" spans="1:36" ht="14.1" customHeight="1" x14ac:dyDescent="0.25">
      <c r="A56" s="203"/>
      <c r="B56" s="585"/>
      <c r="C56" s="586"/>
      <c r="D56" s="587"/>
      <c r="E56" s="587"/>
      <c r="F56" s="587"/>
      <c r="G56" s="587"/>
      <c r="H56" s="587"/>
      <c r="I56" s="587"/>
      <c r="J56" s="587"/>
      <c r="K56" s="587"/>
      <c r="L56" s="587"/>
      <c r="M56" s="587"/>
      <c r="N56" s="587"/>
      <c r="O56" s="587"/>
      <c r="P56" s="587"/>
      <c r="Q56" s="587"/>
      <c r="R56" s="587"/>
      <c r="S56" s="587"/>
      <c r="T56" s="587"/>
      <c r="U56" s="587"/>
      <c r="V56" s="587"/>
      <c r="W56" s="588"/>
      <c r="X56" s="585"/>
      <c r="Y56" s="589"/>
      <c r="Z56" s="590"/>
      <c r="AA56" s="591"/>
      <c r="AB56" s="592"/>
      <c r="AC56" s="593"/>
      <c r="AD56" s="593"/>
      <c r="AE56" s="594" t="str">
        <f>TRUNC(SUM(AC56:AC62)*24,0) &amp; "h" &amp; RIGHT("00"&amp;ROUND(((SUM(AC56:AC62)*24)-TRUNC(SUM(AC56:AC62)*24,0))*60,2),2)</f>
        <v>0h00</v>
      </c>
      <c r="AF56" s="594"/>
      <c r="AG56" s="595"/>
      <c r="AH56" s="595"/>
      <c r="AI56" s="594" t="str">
        <f>TRUNC(SUM(AG56:AG62)*24,0) &amp; "h" &amp; RIGHT("00"&amp;ROUND(((SUM(AG56:AG62)*24)-TRUNC(SUM(AG56:AG62)*24,0))*60,2),2)</f>
        <v>0h00</v>
      </c>
      <c r="AJ56" s="594"/>
    </row>
    <row r="57" spans="1:36" ht="14.1" customHeight="1" x14ac:dyDescent="0.25">
      <c r="A57" s="203"/>
      <c r="B57" s="199"/>
      <c r="C57" s="200"/>
      <c r="D57" s="194"/>
      <c r="E57" s="194"/>
      <c r="F57" s="194"/>
      <c r="G57" s="194"/>
      <c r="H57" s="194"/>
      <c r="I57" s="194"/>
      <c r="J57" s="194"/>
      <c r="K57" s="194"/>
      <c r="L57" s="194"/>
      <c r="M57" s="194"/>
      <c r="N57" s="194"/>
      <c r="O57" s="194"/>
      <c r="P57" s="194"/>
      <c r="Q57" s="194"/>
      <c r="R57" s="194"/>
      <c r="S57" s="194"/>
      <c r="T57" s="194"/>
      <c r="U57" s="194"/>
      <c r="V57" s="194"/>
      <c r="W57" s="216"/>
      <c r="X57" s="199"/>
      <c r="Y57" s="195"/>
      <c r="Z57" s="224"/>
      <c r="AA57" s="234"/>
      <c r="AB57" s="235"/>
      <c r="AC57" s="471"/>
      <c r="AD57" s="471"/>
      <c r="AE57" s="464"/>
      <c r="AF57" s="464"/>
      <c r="AG57" s="472"/>
      <c r="AH57" s="472"/>
      <c r="AI57" s="464"/>
      <c r="AJ57" s="464"/>
    </row>
    <row r="58" spans="1:36" ht="14.1" customHeight="1" x14ac:dyDescent="0.25">
      <c r="A58" s="203"/>
      <c r="B58" s="199"/>
      <c r="C58" s="200"/>
      <c r="D58" s="194"/>
      <c r="E58" s="194"/>
      <c r="F58" s="194"/>
      <c r="G58" s="194"/>
      <c r="H58" s="194"/>
      <c r="I58" s="194"/>
      <c r="J58" s="194"/>
      <c r="K58" s="194"/>
      <c r="L58" s="194"/>
      <c r="M58" s="194"/>
      <c r="N58" s="194"/>
      <c r="O58" s="194"/>
      <c r="P58" s="194"/>
      <c r="Q58" s="194"/>
      <c r="R58" s="194"/>
      <c r="S58" s="194"/>
      <c r="T58" s="194"/>
      <c r="U58" s="194"/>
      <c r="V58" s="194"/>
      <c r="W58" s="216"/>
      <c r="X58" s="199"/>
      <c r="Y58" s="195"/>
      <c r="Z58" s="224"/>
      <c r="AA58" s="234"/>
      <c r="AB58" s="235"/>
      <c r="AC58" s="471"/>
      <c r="AD58" s="471"/>
      <c r="AE58" s="464"/>
      <c r="AF58" s="464"/>
      <c r="AG58" s="472"/>
      <c r="AH58" s="472"/>
      <c r="AI58" s="464"/>
      <c r="AJ58" s="464"/>
    </row>
    <row r="59" spans="1:36" ht="14.1" customHeight="1" x14ac:dyDescent="0.25">
      <c r="A59" s="203"/>
      <c r="B59" s="199"/>
      <c r="C59" s="200"/>
      <c r="D59" s="194"/>
      <c r="E59" s="194"/>
      <c r="F59" s="194"/>
      <c r="G59" s="194"/>
      <c r="H59" s="194"/>
      <c r="I59" s="194"/>
      <c r="J59" s="194"/>
      <c r="K59" s="194"/>
      <c r="L59" s="194"/>
      <c r="M59" s="194"/>
      <c r="N59" s="194"/>
      <c r="O59" s="194"/>
      <c r="P59" s="194"/>
      <c r="Q59" s="194"/>
      <c r="R59" s="194"/>
      <c r="S59" s="194"/>
      <c r="T59" s="194"/>
      <c r="U59" s="194"/>
      <c r="V59" s="194"/>
      <c r="W59" s="216"/>
      <c r="X59" s="199"/>
      <c r="Y59" s="195"/>
      <c r="Z59" s="224"/>
      <c r="AA59" s="234"/>
      <c r="AB59" s="235"/>
      <c r="AC59" s="471"/>
      <c r="AD59" s="471"/>
      <c r="AE59" s="464"/>
      <c r="AF59" s="464"/>
      <c r="AG59" s="472"/>
      <c r="AH59" s="472"/>
      <c r="AI59" s="464"/>
      <c r="AJ59" s="464"/>
    </row>
    <row r="60" spans="1:36" ht="14.1" customHeight="1" x14ac:dyDescent="0.25">
      <c r="A60" s="203"/>
      <c r="B60" s="199"/>
      <c r="C60" s="200"/>
      <c r="D60" s="194"/>
      <c r="E60" s="194"/>
      <c r="F60" s="194"/>
      <c r="G60" s="194"/>
      <c r="H60" s="194"/>
      <c r="I60" s="194"/>
      <c r="J60" s="194"/>
      <c r="K60" s="194"/>
      <c r="L60" s="194"/>
      <c r="M60" s="194"/>
      <c r="N60" s="194"/>
      <c r="O60" s="194"/>
      <c r="P60" s="194"/>
      <c r="Q60" s="194"/>
      <c r="R60" s="194"/>
      <c r="S60" s="194"/>
      <c r="T60" s="194"/>
      <c r="U60" s="194"/>
      <c r="V60" s="194"/>
      <c r="W60" s="216"/>
      <c r="X60" s="199"/>
      <c r="Y60" s="195"/>
      <c r="Z60" s="224"/>
      <c r="AA60" s="234"/>
      <c r="AB60" s="235"/>
      <c r="AC60" s="471"/>
      <c r="AD60" s="471"/>
      <c r="AE60" s="464"/>
      <c r="AF60" s="464"/>
      <c r="AG60" s="472"/>
      <c r="AH60" s="472"/>
      <c r="AI60" s="464"/>
      <c r="AJ60" s="464"/>
    </row>
    <row r="61" spans="1:36" ht="14.1" customHeight="1" x14ac:dyDescent="0.25">
      <c r="A61" s="203"/>
      <c r="B61" s="199"/>
      <c r="C61" s="200"/>
      <c r="D61" s="194"/>
      <c r="E61" s="194"/>
      <c r="F61" s="194"/>
      <c r="G61" s="194"/>
      <c r="H61" s="194"/>
      <c r="I61" s="194"/>
      <c r="J61" s="194"/>
      <c r="K61" s="194"/>
      <c r="L61" s="194"/>
      <c r="M61" s="194"/>
      <c r="N61" s="194"/>
      <c r="O61" s="194"/>
      <c r="P61" s="194"/>
      <c r="Q61" s="194"/>
      <c r="R61" s="194"/>
      <c r="S61" s="194"/>
      <c r="T61" s="194"/>
      <c r="U61" s="194"/>
      <c r="V61" s="194"/>
      <c r="W61" s="216"/>
      <c r="X61" s="199"/>
      <c r="Y61" s="195"/>
      <c r="Z61" s="224"/>
      <c r="AA61" s="234"/>
      <c r="AB61" s="235"/>
      <c r="AC61" s="471"/>
      <c r="AD61" s="471"/>
      <c r="AE61" s="464"/>
      <c r="AF61" s="464"/>
      <c r="AG61" s="472"/>
      <c r="AH61" s="472"/>
      <c r="AI61" s="464"/>
      <c r="AJ61" s="464"/>
    </row>
    <row r="62" spans="1:36" ht="14.1" customHeight="1" x14ac:dyDescent="0.25">
      <c r="A62" s="203"/>
      <c r="B62" s="596"/>
      <c r="C62" s="597"/>
      <c r="D62" s="598"/>
      <c r="E62" s="598"/>
      <c r="F62" s="598"/>
      <c r="G62" s="598"/>
      <c r="H62" s="599"/>
      <c r="I62" s="599"/>
      <c r="J62" s="599"/>
      <c r="K62" s="599"/>
      <c r="L62" s="599"/>
      <c r="M62" s="599"/>
      <c r="N62" s="599"/>
      <c r="O62" s="599"/>
      <c r="P62" s="599"/>
      <c r="Q62" s="599"/>
      <c r="R62" s="599"/>
      <c r="S62" s="599"/>
      <c r="T62" s="599"/>
      <c r="U62" s="599"/>
      <c r="V62" s="599"/>
      <c r="W62" s="600"/>
      <c r="X62" s="596"/>
      <c r="Y62" s="601"/>
      <c r="Z62" s="602"/>
      <c r="AA62" s="603"/>
      <c r="AB62" s="604"/>
      <c r="AC62" s="605"/>
      <c r="AD62" s="605"/>
      <c r="AE62" s="606"/>
      <c r="AF62" s="606"/>
      <c r="AG62" s="607"/>
      <c r="AH62" s="607"/>
      <c r="AI62" s="606"/>
      <c r="AJ62" s="606"/>
    </row>
    <row r="63" spans="1:36" ht="14.1" customHeight="1" x14ac:dyDescent="0.25">
      <c r="A63" s="203"/>
      <c r="B63" s="283"/>
      <c r="C63" s="281"/>
      <c r="D63" s="282"/>
      <c r="E63" s="282"/>
      <c r="F63" s="282"/>
      <c r="G63" s="282"/>
      <c r="H63" s="282"/>
      <c r="I63" s="282"/>
      <c r="J63" s="282"/>
      <c r="K63" s="282"/>
      <c r="L63" s="282"/>
      <c r="M63" s="282"/>
      <c r="N63" s="282"/>
      <c r="O63" s="282"/>
      <c r="P63" s="282"/>
      <c r="Q63" s="282"/>
      <c r="R63" s="282"/>
      <c r="S63" s="282"/>
      <c r="T63" s="282"/>
      <c r="U63" s="282"/>
      <c r="V63" s="282"/>
      <c r="W63" s="284"/>
      <c r="X63" s="283"/>
      <c r="Y63" s="280"/>
      <c r="Z63" s="285"/>
      <c r="AA63" s="286"/>
      <c r="AB63" s="287"/>
      <c r="AC63" s="466"/>
      <c r="AD63" s="466"/>
      <c r="AE63" s="463" t="str">
        <f>TRUNC(SUM(AC63:AC69)*24,0) &amp; "h" &amp; RIGHT("00"&amp;ROUND(((SUM(AC63:AC69)*24)-TRUNC(SUM(AC63:AC69)*24,0))*60,2),2)</f>
        <v>0h00</v>
      </c>
      <c r="AF63" s="463"/>
      <c r="AG63" s="475"/>
      <c r="AH63" s="475"/>
      <c r="AI63" s="463" t="str">
        <f>TRUNC(SUM(AG63:AG69)*24,0) &amp; "h" &amp; RIGHT("00"&amp;ROUND(((SUM(AG63:AG69)*24)-TRUNC(SUM(AG63:AG69)*24,0))*60,2),2)</f>
        <v>0h00</v>
      </c>
      <c r="AJ63" s="463"/>
    </row>
    <row r="64" spans="1:36" s="184" customFormat="1" ht="14.1" customHeight="1" x14ac:dyDescent="0.25">
      <c r="A64" s="203"/>
      <c r="B64" s="199"/>
      <c r="C64" s="200"/>
      <c r="D64" s="194"/>
      <c r="E64" s="194"/>
      <c r="F64" s="194"/>
      <c r="G64" s="194"/>
      <c r="H64" s="194"/>
      <c r="I64" s="194"/>
      <c r="J64" s="194"/>
      <c r="K64" s="194"/>
      <c r="L64" s="194"/>
      <c r="M64" s="194"/>
      <c r="N64" s="194"/>
      <c r="O64" s="194"/>
      <c r="P64" s="194"/>
      <c r="Q64" s="194"/>
      <c r="R64" s="194"/>
      <c r="S64" s="194"/>
      <c r="T64" s="194"/>
      <c r="U64" s="194"/>
      <c r="V64" s="194"/>
      <c r="W64" s="216"/>
      <c r="X64" s="199"/>
      <c r="Y64" s="195"/>
      <c r="Z64" s="224"/>
      <c r="AA64" s="234"/>
      <c r="AB64" s="235"/>
      <c r="AC64" s="471"/>
      <c r="AD64" s="471"/>
      <c r="AE64" s="464"/>
      <c r="AF64" s="464"/>
      <c r="AG64" s="472"/>
      <c r="AH64" s="472"/>
      <c r="AI64" s="464"/>
      <c r="AJ64" s="464"/>
    </row>
    <row r="65" spans="1:36" s="184" customFormat="1" ht="14.1" customHeight="1" x14ac:dyDescent="0.25">
      <c r="A65" s="203"/>
      <c r="B65" s="199"/>
      <c r="C65" s="200"/>
      <c r="D65" s="194"/>
      <c r="E65" s="194"/>
      <c r="F65" s="194"/>
      <c r="G65" s="194"/>
      <c r="H65" s="194"/>
      <c r="I65" s="194"/>
      <c r="J65" s="194"/>
      <c r="K65" s="194"/>
      <c r="L65" s="194"/>
      <c r="M65" s="194"/>
      <c r="N65" s="194"/>
      <c r="O65" s="194"/>
      <c r="P65" s="194"/>
      <c r="Q65" s="194"/>
      <c r="R65" s="194"/>
      <c r="S65" s="194"/>
      <c r="T65" s="194"/>
      <c r="U65" s="194"/>
      <c r="V65" s="194"/>
      <c r="W65" s="216"/>
      <c r="X65" s="199"/>
      <c r="Y65" s="195"/>
      <c r="Z65" s="224"/>
      <c r="AA65" s="234"/>
      <c r="AB65" s="235"/>
      <c r="AC65" s="471"/>
      <c r="AD65" s="471"/>
      <c r="AE65" s="464"/>
      <c r="AF65" s="464"/>
      <c r="AG65" s="472"/>
      <c r="AH65" s="472"/>
      <c r="AI65" s="464"/>
      <c r="AJ65" s="464"/>
    </row>
    <row r="66" spans="1:36" s="184" customFormat="1" ht="14.1" customHeight="1" x14ac:dyDescent="0.25">
      <c r="A66" s="203"/>
      <c r="B66" s="199"/>
      <c r="C66" s="200"/>
      <c r="D66" s="194"/>
      <c r="E66" s="194"/>
      <c r="F66" s="194"/>
      <c r="G66" s="194"/>
      <c r="H66" s="196"/>
      <c r="I66" s="196"/>
      <c r="J66" s="196"/>
      <c r="K66" s="196"/>
      <c r="L66" s="196"/>
      <c r="M66" s="196"/>
      <c r="N66" s="196"/>
      <c r="O66" s="196"/>
      <c r="P66" s="196"/>
      <c r="Q66" s="196"/>
      <c r="R66" s="196"/>
      <c r="S66" s="196"/>
      <c r="T66" s="196"/>
      <c r="U66" s="196"/>
      <c r="V66" s="196"/>
      <c r="W66" s="217"/>
      <c r="X66" s="199"/>
      <c r="Y66" s="195"/>
      <c r="Z66" s="224"/>
      <c r="AA66" s="234"/>
      <c r="AB66" s="235"/>
      <c r="AC66" s="471"/>
      <c r="AD66" s="471"/>
      <c r="AE66" s="464"/>
      <c r="AF66" s="464"/>
      <c r="AG66" s="472"/>
      <c r="AH66" s="472"/>
      <c r="AI66" s="464"/>
      <c r="AJ66" s="464"/>
    </row>
    <row r="67" spans="1:36" s="184" customFormat="1" ht="14.1" customHeight="1" x14ac:dyDescent="0.25">
      <c r="A67" s="203"/>
      <c r="B67" s="199"/>
      <c r="C67" s="200"/>
      <c r="D67" s="194"/>
      <c r="E67" s="194"/>
      <c r="F67" s="194"/>
      <c r="G67" s="194"/>
      <c r="H67" s="196"/>
      <c r="I67" s="196"/>
      <c r="J67" s="196"/>
      <c r="K67" s="196"/>
      <c r="L67" s="196"/>
      <c r="M67" s="196"/>
      <c r="N67" s="196"/>
      <c r="O67" s="196"/>
      <c r="P67" s="196"/>
      <c r="Q67" s="196"/>
      <c r="R67" s="196"/>
      <c r="S67" s="196"/>
      <c r="T67" s="196"/>
      <c r="U67" s="196"/>
      <c r="V67" s="196"/>
      <c r="W67" s="217"/>
      <c r="X67" s="199"/>
      <c r="Y67" s="195"/>
      <c r="Z67" s="224"/>
      <c r="AA67" s="234"/>
      <c r="AB67" s="235"/>
      <c r="AC67" s="471"/>
      <c r="AD67" s="471"/>
      <c r="AE67" s="464"/>
      <c r="AF67" s="464"/>
      <c r="AG67" s="472"/>
      <c r="AH67" s="472"/>
      <c r="AI67" s="464"/>
      <c r="AJ67" s="464"/>
    </row>
    <row r="68" spans="1:36" s="184" customFormat="1" ht="14.1" customHeight="1" x14ac:dyDescent="0.25">
      <c r="A68" s="203"/>
      <c r="B68" s="199"/>
      <c r="C68" s="200"/>
      <c r="D68" s="196"/>
      <c r="E68" s="196"/>
      <c r="F68" s="196"/>
      <c r="G68" s="196"/>
      <c r="H68" s="196"/>
      <c r="I68" s="196"/>
      <c r="J68" s="196"/>
      <c r="K68" s="196"/>
      <c r="L68" s="196"/>
      <c r="M68" s="196"/>
      <c r="N68" s="196"/>
      <c r="O68" s="196"/>
      <c r="P68" s="196"/>
      <c r="Q68" s="196"/>
      <c r="R68" s="196"/>
      <c r="S68" s="196"/>
      <c r="T68" s="196"/>
      <c r="U68" s="196"/>
      <c r="V68" s="196"/>
      <c r="W68" s="217"/>
      <c r="X68" s="199"/>
      <c r="Y68" s="195"/>
      <c r="Z68" s="224"/>
      <c r="AA68" s="234"/>
      <c r="AB68" s="235"/>
      <c r="AC68" s="471"/>
      <c r="AD68" s="471"/>
      <c r="AE68" s="464"/>
      <c r="AF68" s="464"/>
      <c r="AG68" s="472"/>
      <c r="AH68" s="472"/>
      <c r="AI68" s="464"/>
      <c r="AJ68" s="464"/>
    </row>
    <row r="69" spans="1:36" s="184" customFormat="1" ht="14.1" customHeight="1" thickBot="1" x14ac:dyDescent="0.3">
      <c r="A69" s="203"/>
      <c r="B69" s="201"/>
      <c r="C69" s="202"/>
      <c r="D69" s="197"/>
      <c r="E69" s="197"/>
      <c r="F69" s="197"/>
      <c r="G69" s="197"/>
      <c r="H69" s="197"/>
      <c r="I69" s="197"/>
      <c r="J69" s="197"/>
      <c r="K69" s="197"/>
      <c r="L69" s="197"/>
      <c r="M69" s="197"/>
      <c r="N69" s="197"/>
      <c r="O69" s="197"/>
      <c r="P69" s="197"/>
      <c r="Q69" s="197"/>
      <c r="R69" s="197"/>
      <c r="S69" s="197"/>
      <c r="T69" s="197"/>
      <c r="U69" s="197"/>
      <c r="V69" s="197"/>
      <c r="W69" s="218"/>
      <c r="X69" s="201"/>
      <c r="Y69" s="198"/>
      <c r="Z69" s="225"/>
      <c r="AA69" s="236"/>
      <c r="AB69" s="237"/>
      <c r="AC69" s="474"/>
      <c r="AD69" s="474"/>
      <c r="AE69" s="465"/>
      <c r="AF69" s="465"/>
      <c r="AG69" s="473"/>
      <c r="AH69" s="473"/>
      <c r="AI69" s="465"/>
      <c r="AJ69" s="465"/>
    </row>
    <row r="70" spans="1:36" ht="24" customHeight="1" thickBot="1" x14ac:dyDescent="0.3">
      <c r="B70" s="292"/>
      <c r="C70" s="292"/>
      <c r="D70" s="292"/>
      <c r="E70" s="292"/>
      <c r="F70" s="291"/>
      <c r="G70" s="291"/>
      <c r="H70" s="291"/>
      <c r="I70" s="291"/>
      <c r="J70" s="291"/>
      <c r="K70" s="291"/>
      <c r="L70" s="291"/>
      <c r="M70" s="291"/>
      <c r="N70" s="291"/>
      <c r="O70" s="291"/>
      <c r="P70" s="204"/>
      <c r="Q70" s="205"/>
      <c r="R70" s="205"/>
      <c r="S70" s="205"/>
      <c r="T70" s="205"/>
      <c r="U70" s="205"/>
      <c r="V70" s="469" t="s">
        <v>121</v>
      </c>
      <c r="W70" s="469"/>
      <c r="X70" s="469"/>
      <c r="Y70" s="469"/>
      <c r="Z70" s="469"/>
      <c r="AA70" s="206"/>
      <c r="AB70" s="206">
        <f>MAX(AB29:AB69)</f>
        <v>0</v>
      </c>
      <c r="AC70" s="470"/>
      <c r="AD70" s="470"/>
      <c r="AE70" s="417" t="str">
        <f>TRUNC(SUM(AC28:AC69)*24,0) &amp; "h" &amp; RIGHT("00"&amp;ROUND(((SUM(AC28:AC69)*24)-TRUNC(SUM(AC28:AC69)*24,0))*60,2),2)</f>
        <v>0h00</v>
      </c>
      <c r="AF70" s="417"/>
      <c r="AG70" s="422"/>
      <c r="AH70" s="422"/>
      <c r="AI70" s="422" t="str">
        <f>TRUNC(SUM(AG29:AG69)*24,0) &amp; "h" &amp; RIGHT("00"&amp;ROUND(((SUM(AG29:AG69)*24)-TRUNC(SUM(AG29:AG69)*24,0))*60,2),2)</f>
        <v>0h00</v>
      </c>
      <c r="AJ70" s="422"/>
    </row>
    <row r="71" spans="1:36" x14ac:dyDescent="0.25">
      <c r="C71" s="43"/>
      <c r="D71" s="43"/>
      <c r="E71" s="43"/>
      <c r="F71" s="43"/>
      <c r="G71" s="43"/>
      <c r="H71" s="43"/>
      <c r="I71" s="43"/>
      <c r="J71" s="43"/>
      <c r="K71" s="43"/>
      <c r="L71" s="43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  <c r="Z71" s="43"/>
      <c r="AA71" s="43"/>
      <c r="AB71" s="43"/>
      <c r="AC71" s="43"/>
      <c r="AD71" s="43"/>
      <c r="AE71" s="43"/>
      <c r="AF71" s="43"/>
    </row>
    <row r="72" spans="1:36" x14ac:dyDescent="0.25">
      <c r="C72" s="168"/>
      <c r="D72" s="168"/>
      <c r="E72" s="168"/>
      <c r="F72" s="168"/>
      <c r="G72" s="168"/>
      <c r="H72" s="168"/>
      <c r="I72" s="168"/>
      <c r="J72" s="168"/>
      <c r="K72" s="168"/>
      <c r="L72" s="168"/>
      <c r="M72" s="168"/>
      <c r="N72" s="43"/>
      <c r="O72" s="43"/>
      <c r="P72" s="43"/>
      <c r="Q72" s="43"/>
      <c r="R72" s="43"/>
      <c r="S72" s="43"/>
      <c r="T72" s="43"/>
      <c r="U72" s="43"/>
      <c r="V72" s="43"/>
      <c r="W72" s="43"/>
      <c r="X72" s="43"/>
      <c r="Y72" s="43"/>
      <c r="Z72" s="43"/>
      <c r="AA72" s="43"/>
      <c r="AB72" s="43"/>
      <c r="AC72" s="43"/>
      <c r="AD72" s="43"/>
      <c r="AE72" s="43"/>
      <c r="AF72" s="43"/>
    </row>
    <row r="73" spans="1:36" x14ac:dyDescent="0.25">
      <c r="C73" s="168"/>
      <c r="D73" s="30"/>
      <c r="E73" s="30"/>
      <c r="F73" s="30"/>
      <c r="G73" s="30"/>
      <c r="H73" s="30"/>
      <c r="I73" s="30"/>
      <c r="J73" s="30"/>
      <c r="K73" s="30"/>
      <c r="L73" s="30"/>
      <c r="M73" s="168"/>
      <c r="N73" s="43"/>
      <c r="O73" s="43"/>
      <c r="P73" s="43"/>
      <c r="Q73" s="43"/>
      <c r="R73" s="43"/>
      <c r="S73" s="43"/>
      <c r="T73" s="43"/>
      <c r="U73" s="43"/>
      <c r="V73" s="43"/>
      <c r="W73" s="43"/>
      <c r="X73" s="43"/>
      <c r="Y73" s="43"/>
      <c r="Z73" s="43"/>
      <c r="AA73" s="43"/>
      <c r="AB73" s="43"/>
      <c r="AC73" s="43"/>
      <c r="AD73" s="43"/>
      <c r="AE73" s="43"/>
      <c r="AF73" s="43"/>
    </row>
    <row r="74" spans="1:36" x14ac:dyDescent="0.25">
      <c r="C74" s="168"/>
      <c r="D74" s="30"/>
      <c r="E74" s="169"/>
      <c r="F74" s="169"/>
      <c r="G74" s="169"/>
      <c r="H74" s="169"/>
      <c r="I74" s="169"/>
      <c r="J74" s="169"/>
      <c r="K74" s="169"/>
      <c r="L74" s="30"/>
      <c r="M74" s="168"/>
      <c r="N74" s="43"/>
      <c r="O74" s="43"/>
      <c r="P74" s="43"/>
      <c r="Q74" s="43"/>
      <c r="R74" s="43"/>
      <c r="S74" s="43"/>
      <c r="T74" s="43"/>
      <c r="U74" s="43"/>
      <c r="V74" s="43"/>
      <c r="W74" s="43"/>
      <c r="X74" s="43"/>
      <c r="Y74" s="43"/>
      <c r="Z74" s="43"/>
      <c r="AA74" s="43"/>
      <c r="AB74" s="43"/>
      <c r="AC74" s="43"/>
      <c r="AD74" s="43"/>
      <c r="AE74" s="43"/>
      <c r="AF74" s="43"/>
    </row>
    <row r="75" spans="1:36" x14ac:dyDescent="0.25">
      <c r="C75" s="168"/>
      <c r="D75" s="30"/>
      <c r="E75" s="30"/>
      <c r="F75" s="30"/>
      <c r="G75" s="30"/>
      <c r="H75" s="170"/>
      <c r="I75" s="30"/>
      <c r="J75" s="30"/>
      <c r="K75" s="30"/>
      <c r="L75" s="30"/>
      <c r="M75" s="168"/>
      <c r="N75" s="43"/>
      <c r="O75" s="43"/>
      <c r="P75" s="43"/>
      <c r="Q75" s="43"/>
      <c r="R75" s="43"/>
      <c r="S75" s="43"/>
      <c r="T75" s="43"/>
      <c r="U75" s="43"/>
      <c r="V75" s="43"/>
      <c r="W75" s="43"/>
      <c r="X75" s="43"/>
      <c r="Y75" s="43"/>
      <c r="Z75" s="43"/>
      <c r="AA75" s="43"/>
      <c r="AB75" s="43"/>
      <c r="AC75" s="43"/>
      <c r="AD75" s="43"/>
      <c r="AE75" s="43"/>
      <c r="AF75" s="43"/>
    </row>
    <row r="76" spans="1:36" x14ac:dyDescent="0.25">
      <c r="C76" s="168"/>
      <c r="D76" s="30"/>
      <c r="E76" s="169"/>
      <c r="F76" s="169"/>
      <c r="G76" s="169"/>
      <c r="H76" s="169"/>
      <c r="I76" s="169"/>
      <c r="J76" s="169"/>
      <c r="K76" s="169"/>
      <c r="L76" s="30"/>
      <c r="M76" s="168"/>
      <c r="N76" s="43"/>
      <c r="O76" s="43"/>
      <c r="P76" s="43"/>
      <c r="Q76" s="43"/>
      <c r="R76" s="43"/>
      <c r="S76" s="43"/>
      <c r="T76" s="43"/>
      <c r="U76" s="43"/>
      <c r="V76" s="43"/>
      <c r="W76" s="43"/>
      <c r="X76" s="43"/>
      <c r="Y76" s="43"/>
      <c r="Z76" s="43"/>
      <c r="AA76" s="43"/>
      <c r="AB76" s="43"/>
      <c r="AC76" s="43"/>
      <c r="AD76" s="43"/>
      <c r="AE76" s="43"/>
      <c r="AF76" s="43"/>
    </row>
    <row r="77" spans="1:36" x14ac:dyDescent="0.25">
      <c r="C77" s="168"/>
      <c r="D77" s="30"/>
      <c r="E77" s="30"/>
      <c r="F77" s="30"/>
      <c r="G77" s="30"/>
      <c r="H77" s="30"/>
      <c r="I77" s="30"/>
      <c r="J77" s="30"/>
      <c r="K77" s="30"/>
      <c r="L77" s="30"/>
      <c r="M77" s="168"/>
      <c r="N77" s="43"/>
      <c r="O77" s="43"/>
      <c r="P77" s="43"/>
      <c r="Q77" s="43"/>
      <c r="R77" s="43"/>
      <c r="S77" s="43"/>
      <c r="T77" s="43"/>
      <c r="U77" s="43"/>
      <c r="V77" s="43"/>
      <c r="W77" s="43"/>
      <c r="X77" s="43"/>
      <c r="Y77" s="43"/>
      <c r="Z77" s="43"/>
      <c r="AA77" s="43"/>
      <c r="AB77" s="43"/>
      <c r="AC77" s="43"/>
      <c r="AD77" s="43"/>
      <c r="AE77" s="43"/>
      <c r="AF77" s="43"/>
    </row>
    <row r="78" spans="1:36" x14ac:dyDescent="0.25">
      <c r="C78" s="168"/>
      <c r="D78" s="30"/>
      <c r="E78" s="30"/>
      <c r="F78" s="30"/>
      <c r="G78" s="30"/>
      <c r="H78" s="30"/>
      <c r="I78" s="30"/>
      <c r="J78" s="30"/>
      <c r="K78" s="30"/>
      <c r="L78" s="30"/>
      <c r="M78" s="168"/>
      <c r="N78" s="43"/>
      <c r="O78" s="43"/>
      <c r="P78" s="43"/>
      <c r="Q78" s="43"/>
      <c r="R78" s="43"/>
      <c r="S78" s="43"/>
      <c r="T78" s="43"/>
      <c r="U78" s="43"/>
      <c r="V78" s="43"/>
      <c r="W78" s="43"/>
      <c r="X78" s="43"/>
      <c r="Y78" s="43"/>
      <c r="Z78" s="43"/>
      <c r="AA78" s="43"/>
      <c r="AB78" s="43"/>
      <c r="AC78" s="43"/>
      <c r="AD78" s="43"/>
      <c r="AE78" s="43"/>
      <c r="AF78" s="43"/>
    </row>
    <row r="79" spans="1:36" x14ac:dyDescent="0.25">
      <c r="C79" s="168"/>
      <c r="D79" s="30"/>
      <c r="E79" s="30"/>
      <c r="F79" s="30"/>
      <c r="G79" s="30"/>
      <c r="H79" s="30"/>
      <c r="I79" s="30"/>
      <c r="J79" s="30"/>
      <c r="K79" s="30"/>
      <c r="L79" s="30"/>
      <c r="M79" s="168"/>
      <c r="N79" s="43"/>
      <c r="O79" s="43"/>
      <c r="P79" s="43"/>
      <c r="Q79" s="43"/>
      <c r="R79" s="43"/>
      <c r="S79" s="43"/>
      <c r="T79" s="43"/>
      <c r="U79" s="43"/>
      <c r="V79" s="43"/>
      <c r="W79" s="43"/>
      <c r="X79" s="43"/>
      <c r="Y79" s="43"/>
      <c r="Z79" s="43"/>
      <c r="AA79" s="43"/>
      <c r="AB79" s="43"/>
      <c r="AC79" s="43"/>
      <c r="AD79" s="43"/>
      <c r="AE79" s="43"/>
      <c r="AF79" s="43"/>
    </row>
    <row r="80" spans="1:36" x14ac:dyDescent="0.25">
      <c r="C80" s="168"/>
      <c r="D80" s="30"/>
      <c r="E80" s="30"/>
      <c r="F80" s="30"/>
      <c r="G80" s="30"/>
      <c r="H80" s="30"/>
      <c r="I80" s="30"/>
      <c r="J80" s="30"/>
      <c r="K80" s="30"/>
      <c r="L80" s="30"/>
      <c r="M80" s="168"/>
      <c r="N80" s="43"/>
      <c r="O80" s="43"/>
      <c r="P80" s="43"/>
      <c r="Q80" s="43"/>
      <c r="R80" s="43"/>
      <c r="S80" s="43"/>
      <c r="T80" s="43"/>
      <c r="U80" s="43"/>
      <c r="V80" s="43"/>
      <c r="W80" s="43"/>
      <c r="X80" s="43"/>
      <c r="Y80" s="43"/>
      <c r="Z80" s="43"/>
      <c r="AA80" s="43"/>
      <c r="AB80" s="43"/>
      <c r="AC80" s="43"/>
      <c r="AD80" s="43"/>
      <c r="AE80" s="43"/>
      <c r="AF80" s="43"/>
    </row>
    <row r="81" spans="3:32" x14ac:dyDescent="0.25">
      <c r="C81" s="168"/>
      <c r="D81" s="30"/>
      <c r="E81" s="30"/>
      <c r="F81" s="30"/>
      <c r="G81" s="30"/>
      <c r="H81" s="30"/>
      <c r="I81" s="30"/>
      <c r="J81" s="30"/>
      <c r="K81" s="30"/>
      <c r="L81" s="30"/>
      <c r="M81" s="168"/>
      <c r="N81" s="43"/>
      <c r="O81" s="43"/>
      <c r="P81" s="43"/>
      <c r="Q81" s="43"/>
      <c r="R81" s="43"/>
      <c r="S81" s="43"/>
      <c r="T81" s="43"/>
      <c r="U81" s="43"/>
      <c r="V81" s="43"/>
      <c r="W81" s="43"/>
      <c r="X81" s="43"/>
      <c r="Y81" s="43"/>
      <c r="Z81" s="43"/>
      <c r="AA81" s="43"/>
      <c r="AB81" s="43"/>
      <c r="AC81" s="43"/>
      <c r="AD81" s="43"/>
      <c r="AE81" s="43"/>
      <c r="AF81" s="43"/>
    </row>
    <row r="82" spans="3:32" x14ac:dyDescent="0.25">
      <c r="C82" s="168"/>
      <c r="D82" s="30"/>
      <c r="E82" s="30"/>
      <c r="F82" s="30"/>
      <c r="G82" s="30"/>
      <c r="H82" s="30"/>
      <c r="I82" s="30"/>
      <c r="J82" s="30"/>
      <c r="K82" s="30"/>
      <c r="L82" s="30"/>
      <c r="M82" s="168"/>
      <c r="N82" s="43"/>
      <c r="O82" s="43"/>
      <c r="P82" s="43"/>
      <c r="Q82" s="43"/>
      <c r="R82" s="43"/>
      <c r="S82" s="43"/>
      <c r="T82" s="43"/>
      <c r="U82" s="43"/>
      <c r="V82" s="43"/>
      <c r="W82" s="43"/>
      <c r="X82" s="43"/>
      <c r="Y82" s="43"/>
      <c r="Z82" s="43"/>
      <c r="AA82" s="43"/>
      <c r="AB82" s="43"/>
      <c r="AC82" s="43"/>
      <c r="AD82" s="43"/>
      <c r="AE82" s="43"/>
      <c r="AF82" s="43"/>
    </row>
    <row r="83" spans="3:32" x14ac:dyDescent="0.25">
      <c r="C83" s="168"/>
      <c r="D83" s="30"/>
      <c r="E83" s="30"/>
      <c r="F83" s="30"/>
      <c r="G83" s="30"/>
      <c r="H83" s="30"/>
      <c r="I83" s="30"/>
      <c r="J83" s="30"/>
      <c r="K83" s="30"/>
      <c r="L83" s="30"/>
      <c r="M83" s="168"/>
      <c r="N83" s="43"/>
      <c r="O83" s="43"/>
      <c r="P83" s="43"/>
      <c r="Q83" s="43"/>
      <c r="R83" s="43"/>
      <c r="S83" s="43"/>
      <c r="T83" s="43"/>
      <c r="U83" s="43"/>
      <c r="V83" s="43"/>
      <c r="W83" s="43"/>
      <c r="X83" s="43"/>
      <c r="Y83" s="43"/>
      <c r="Z83" s="43"/>
      <c r="AA83" s="43"/>
      <c r="AB83" s="43"/>
      <c r="AC83" s="43"/>
      <c r="AD83" s="43"/>
      <c r="AE83" s="43"/>
      <c r="AF83" s="43"/>
    </row>
    <row r="84" spans="3:32" x14ac:dyDescent="0.25">
      <c r="C84" s="168"/>
      <c r="D84" s="30"/>
      <c r="E84" s="30"/>
      <c r="F84" s="30"/>
      <c r="G84" s="30"/>
      <c r="H84" s="30"/>
      <c r="I84" s="30"/>
      <c r="J84" s="30"/>
      <c r="K84" s="30"/>
      <c r="L84" s="30"/>
      <c r="M84" s="168"/>
      <c r="N84" s="43"/>
      <c r="O84" s="43"/>
      <c r="P84" s="43"/>
      <c r="Q84" s="43"/>
      <c r="R84" s="43"/>
      <c r="S84" s="43"/>
      <c r="T84" s="43"/>
      <c r="U84" s="43"/>
      <c r="V84" s="43"/>
      <c r="W84" s="43"/>
      <c r="X84" s="43"/>
      <c r="Y84" s="43"/>
      <c r="Z84" s="43"/>
      <c r="AA84" s="43"/>
      <c r="AB84" s="43"/>
      <c r="AC84" s="43"/>
      <c r="AD84" s="43"/>
      <c r="AE84" s="43"/>
      <c r="AF84" s="43"/>
    </row>
    <row r="85" spans="3:32" x14ac:dyDescent="0.25">
      <c r="C85" s="168"/>
      <c r="D85" s="140"/>
      <c r="E85" s="171"/>
      <c r="F85" s="30"/>
      <c r="G85" s="30"/>
      <c r="H85" s="30"/>
      <c r="I85" s="30"/>
      <c r="J85" s="30"/>
      <c r="K85" s="30"/>
      <c r="L85" s="30"/>
      <c r="M85" s="168"/>
      <c r="N85" s="43"/>
      <c r="O85" s="43"/>
      <c r="P85" s="43"/>
      <c r="Q85" s="43"/>
      <c r="R85" s="43"/>
      <c r="S85" s="43"/>
      <c r="T85" s="43"/>
      <c r="U85" s="43"/>
      <c r="V85" s="43"/>
      <c r="W85" s="43"/>
      <c r="X85" s="43"/>
      <c r="Y85" s="43"/>
      <c r="Z85" s="43"/>
      <c r="AA85" s="43"/>
      <c r="AB85" s="43"/>
      <c r="AC85" s="43"/>
      <c r="AD85" s="43"/>
      <c r="AE85" s="43"/>
      <c r="AF85" s="43"/>
    </row>
    <row r="86" spans="3:32" x14ac:dyDescent="0.25">
      <c r="C86" s="168"/>
      <c r="D86" s="168"/>
      <c r="E86" s="168"/>
      <c r="F86" s="168"/>
      <c r="G86" s="168"/>
      <c r="H86" s="168"/>
      <c r="I86" s="168"/>
      <c r="J86" s="168"/>
      <c r="K86" s="168"/>
      <c r="L86" s="168"/>
      <c r="M86" s="168"/>
      <c r="N86" s="43"/>
      <c r="O86" s="43"/>
      <c r="P86" s="43"/>
      <c r="Q86" s="43"/>
      <c r="R86" s="43"/>
      <c r="S86" s="43"/>
      <c r="T86" s="43"/>
      <c r="U86" s="43"/>
      <c r="V86" s="43"/>
      <c r="W86" s="43"/>
      <c r="X86" s="43"/>
      <c r="Y86" s="43"/>
      <c r="Z86" s="43"/>
      <c r="AA86" s="43"/>
      <c r="AB86" s="43"/>
      <c r="AC86" s="43"/>
      <c r="AD86" s="43"/>
      <c r="AE86" s="43"/>
      <c r="AF86" s="43"/>
    </row>
    <row r="87" spans="3:32" x14ac:dyDescent="0.25">
      <c r="C87" s="168"/>
      <c r="D87" s="168"/>
      <c r="E87" s="168"/>
      <c r="F87" s="168"/>
      <c r="G87" s="168"/>
      <c r="H87" s="168"/>
      <c r="I87" s="168"/>
      <c r="J87" s="168"/>
      <c r="K87" s="168"/>
      <c r="L87" s="168"/>
      <c r="M87" s="168"/>
      <c r="N87" s="43"/>
      <c r="O87" s="43"/>
      <c r="P87" s="43"/>
      <c r="Q87" s="43"/>
      <c r="R87" s="43"/>
      <c r="S87" s="43"/>
      <c r="T87" s="43"/>
      <c r="U87" s="43"/>
      <c r="V87" s="43"/>
      <c r="W87" s="43"/>
      <c r="X87" s="43"/>
      <c r="Y87" s="43"/>
      <c r="Z87" s="43"/>
      <c r="AA87" s="43"/>
      <c r="AB87" s="43"/>
      <c r="AC87" s="43"/>
      <c r="AD87" s="43"/>
      <c r="AE87" s="43"/>
      <c r="AF87" s="43"/>
    </row>
    <row r="88" spans="3:32" x14ac:dyDescent="0.25">
      <c r="C88" s="43"/>
      <c r="D88" s="43"/>
      <c r="E88" s="43"/>
      <c r="F88" s="43"/>
      <c r="G88" s="43"/>
      <c r="H88" s="43"/>
      <c r="I88" s="43"/>
      <c r="J88" s="43"/>
      <c r="K88" s="43"/>
      <c r="L88" s="43"/>
      <c r="M88" s="43"/>
      <c r="N88" s="43"/>
      <c r="O88" s="43"/>
      <c r="P88" s="43"/>
      <c r="Q88" s="43"/>
      <c r="R88" s="43"/>
      <c r="S88" s="43"/>
      <c r="T88" s="43"/>
      <c r="U88" s="43"/>
      <c r="V88" s="43"/>
      <c r="W88" s="43"/>
      <c r="X88" s="43"/>
      <c r="Y88" s="43"/>
      <c r="Z88" s="43"/>
      <c r="AA88" s="43"/>
      <c r="AB88" s="43"/>
      <c r="AC88" s="43"/>
      <c r="AD88" s="43"/>
      <c r="AE88" s="43"/>
      <c r="AF88" s="43"/>
    </row>
    <row r="89" spans="3:32" x14ac:dyDescent="0.25">
      <c r="C89" s="43"/>
      <c r="D89" s="43"/>
      <c r="E89" s="43"/>
      <c r="F89" s="43"/>
      <c r="G89" s="43"/>
      <c r="H89" s="43"/>
      <c r="I89" s="43"/>
      <c r="J89" s="43"/>
      <c r="K89" s="43"/>
      <c r="L89" s="43"/>
      <c r="M89" s="43"/>
      <c r="N89" s="43"/>
      <c r="O89" s="43"/>
      <c r="P89" s="43"/>
      <c r="Q89" s="43"/>
      <c r="R89" s="43"/>
      <c r="S89" s="43"/>
      <c r="T89" s="43"/>
      <c r="U89" s="43"/>
      <c r="V89" s="43"/>
      <c r="W89" s="43"/>
      <c r="X89" s="43"/>
      <c r="Y89" s="43"/>
      <c r="Z89" s="43"/>
      <c r="AA89" s="43"/>
      <c r="AB89" s="43"/>
      <c r="AC89" s="43"/>
      <c r="AD89" s="43"/>
      <c r="AE89" s="43"/>
      <c r="AF89" s="43"/>
    </row>
    <row r="90" spans="3:32" x14ac:dyDescent="0.25">
      <c r="C90" s="43"/>
      <c r="D90" s="43"/>
      <c r="E90" s="43"/>
      <c r="F90" s="43"/>
      <c r="G90" s="43"/>
      <c r="H90" s="43"/>
      <c r="I90" s="43"/>
      <c r="J90" s="43"/>
      <c r="K90" s="43"/>
      <c r="L90" s="43"/>
      <c r="M90" s="43"/>
      <c r="N90" s="43"/>
      <c r="O90" s="43"/>
      <c r="P90" s="43"/>
      <c r="Q90" s="43"/>
      <c r="R90" s="43"/>
      <c r="S90" s="43"/>
      <c r="T90" s="43"/>
      <c r="U90" s="43"/>
      <c r="V90" s="43"/>
      <c r="W90" s="43"/>
      <c r="X90" s="43"/>
      <c r="Y90" s="43"/>
      <c r="Z90" s="43"/>
      <c r="AA90" s="43"/>
      <c r="AB90" s="43"/>
      <c r="AC90" s="43"/>
      <c r="AD90" s="43"/>
      <c r="AE90" s="43"/>
      <c r="AF90" s="43"/>
    </row>
    <row r="91" spans="3:32" x14ac:dyDescent="0.25">
      <c r="C91" s="43"/>
      <c r="D91" s="43"/>
      <c r="E91" s="43"/>
      <c r="F91" s="43"/>
      <c r="G91" s="43"/>
      <c r="H91" s="43"/>
      <c r="I91" s="43"/>
      <c r="J91" s="43"/>
      <c r="K91" s="43"/>
      <c r="L91" s="43"/>
      <c r="M91" s="43"/>
      <c r="N91" s="43"/>
      <c r="O91" s="43"/>
      <c r="P91" s="43"/>
      <c r="Q91" s="43"/>
      <c r="R91" s="43"/>
      <c r="S91" s="43"/>
      <c r="T91" s="43"/>
      <c r="U91" s="43"/>
      <c r="V91" s="43"/>
      <c r="W91" s="43"/>
      <c r="X91" s="43"/>
      <c r="Y91" s="43"/>
      <c r="Z91" s="43"/>
      <c r="AA91" s="43"/>
      <c r="AB91" s="43"/>
      <c r="AC91" s="43"/>
      <c r="AD91" s="43"/>
      <c r="AE91" s="43"/>
      <c r="AF91" s="43"/>
    </row>
    <row r="92" spans="3:32" x14ac:dyDescent="0.25">
      <c r="C92" s="43"/>
      <c r="D92" s="43"/>
      <c r="E92" s="43"/>
      <c r="F92" s="43"/>
      <c r="G92" s="43"/>
      <c r="H92" s="43"/>
      <c r="I92" s="43"/>
      <c r="J92" s="43"/>
      <c r="K92" s="43"/>
      <c r="L92" s="43"/>
      <c r="M92" s="43"/>
      <c r="N92" s="43"/>
      <c r="O92" s="43"/>
      <c r="P92" s="43"/>
      <c r="Q92" s="43"/>
      <c r="R92" s="43"/>
      <c r="S92" s="43"/>
      <c r="T92" s="43"/>
      <c r="U92" s="43"/>
      <c r="V92" s="43"/>
      <c r="W92" s="43"/>
      <c r="X92" s="43"/>
      <c r="Y92" s="43"/>
      <c r="Z92" s="43"/>
      <c r="AA92" s="43"/>
      <c r="AB92" s="43"/>
      <c r="AC92" s="43"/>
      <c r="AD92" s="43"/>
      <c r="AE92" s="43"/>
      <c r="AF92" s="43"/>
    </row>
    <row r="93" spans="3:32" x14ac:dyDescent="0.25">
      <c r="C93" s="43"/>
      <c r="D93" s="43"/>
      <c r="E93" s="43"/>
      <c r="F93" s="43"/>
      <c r="G93" s="43"/>
      <c r="H93" s="43"/>
      <c r="I93" s="43"/>
      <c r="J93" s="43"/>
      <c r="K93" s="43"/>
      <c r="L93" s="43"/>
      <c r="M93" s="43"/>
      <c r="N93" s="43"/>
      <c r="O93" s="43"/>
      <c r="P93" s="43"/>
      <c r="Q93" s="43"/>
      <c r="R93" s="43"/>
      <c r="S93" s="43"/>
      <c r="T93" s="43"/>
      <c r="U93" s="43"/>
      <c r="V93" s="43"/>
      <c r="W93" s="43"/>
      <c r="X93" s="43"/>
      <c r="Y93" s="43"/>
      <c r="Z93" s="43"/>
      <c r="AA93" s="43"/>
      <c r="AB93" s="43"/>
      <c r="AC93" s="43"/>
      <c r="AD93" s="43"/>
      <c r="AE93" s="43"/>
      <c r="AF93" s="43"/>
    </row>
    <row r="94" spans="3:32" x14ac:dyDescent="0.25">
      <c r="C94" s="43"/>
      <c r="D94" s="43"/>
      <c r="E94" s="43"/>
      <c r="F94" s="43"/>
      <c r="G94" s="43"/>
      <c r="H94" s="43"/>
      <c r="I94" s="43"/>
      <c r="J94" s="43"/>
      <c r="K94" s="43"/>
      <c r="L94" s="43"/>
      <c r="M94" s="43"/>
      <c r="N94" s="43"/>
      <c r="O94" s="43"/>
      <c r="P94" s="43"/>
      <c r="Q94" s="43"/>
      <c r="R94" s="43"/>
      <c r="S94" s="43"/>
      <c r="T94" s="43"/>
      <c r="U94" s="43"/>
      <c r="V94" s="43"/>
      <c r="W94" s="43"/>
      <c r="X94" s="43"/>
      <c r="Y94" s="43"/>
      <c r="Z94" s="43"/>
      <c r="AA94" s="43"/>
      <c r="AB94" s="43"/>
      <c r="AC94" s="43"/>
      <c r="AD94" s="43"/>
      <c r="AE94" s="43"/>
      <c r="AF94" s="43"/>
    </row>
    <row r="95" spans="3:32" x14ac:dyDescent="0.25">
      <c r="C95" s="43"/>
      <c r="D95" s="43"/>
      <c r="E95" s="43"/>
      <c r="F95" s="43"/>
      <c r="G95" s="43"/>
      <c r="H95" s="43"/>
      <c r="I95" s="43"/>
      <c r="J95" s="43"/>
      <c r="K95" s="43"/>
      <c r="L95" s="43"/>
      <c r="M95" s="43"/>
      <c r="N95" s="43"/>
      <c r="O95" s="43"/>
      <c r="P95" s="43"/>
      <c r="Q95" s="43"/>
      <c r="R95" s="43"/>
      <c r="S95" s="43"/>
      <c r="T95" s="43"/>
      <c r="U95" s="43"/>
      <c r="V95" s="43"/>
      <c r="W95" s="43"/>
      <c r="X95" s="43"/>
      <c r="Y95" s="43"/>
      <c r="Z95" s="43"/>
      <c r="AA95" s="43"/>
      <c r="AB95" s="43"/>
      <c r="AC95" s="43"/>
      <c r="AD95" s="43"/>
      <c r="AE95" s="43"/>
      <c r="AF95" s="43"/>
    </row>
    <row r="96" spans="3:32" x14ac:dyDescent="0.25">
      <c r="C96" s="43"/>
      <c r="D96" s="43"/>
      <c r="E96" s="43"/>
      <c r="F96" s="43"/>
      <c r="G96" s="43"/>
      <c r="H96" s="43"/>
      <c r="I96" s="43"/>
      <c r="J96" s="43"/>
      <c r="K96" s="43"/>
      <c r="L96" s="43"/>
      <c r="M96" s="43"/>
      <c r="N96" s="43"/>
      <c r="O96" s="43"/>
      <c r="P96" s="43"/>
      <c r="Q96" s="43"/>
      <c r="R96" s="43"/>
      <c r="S96" s="43"/>
      <c r="T96" s="43"/>
      <c r="U96" s="43"/>
      <c r="V96" s="43"/>
      <c r="W96" s="43"/>
      <c r="X96" s="43"/>
      <c r="Y96" s="43"/>
      <c r="Z96" s="43"/>
      <c r="AA96" s="43"/>
      <c r="AB96" s="43"/>
      <c r="AC96" s="43"/>
      <c r="AD96" s="43"/>
      <c r="AE96" s="43"/>
      <c r="AF96" s="43"/>
    </row>
    <row r="97" spans="24:29" x14ac:dyDescent="0.25">
      <c r="X97" s="43"/>
      <c r="Y97" s="43"/>
      <c r="Z97" s="43"/>
      <c r="AA97" s="43"/>
      <c r="AB97" s="43"/>
      <c r="AC97" s="43"/>
    </row>
    <row r="98" spans="24:29" x14ac:dyDescent="0.25">
      <c r="X98" s="43"/>
      <c r="Y98" s="43"/>
      <c r="Z98" s="43"/>
      <c r="AA98" s="43"/>
      <c r="AB98" s="43"/>
      <c r="AC98" s="43"/>
    </row>
    <row r="99" spans="24:29" x14ac:dyDescent="0.25">
      <c r="X99" s="43"/>
      <c r="Y99" s="43"/>
      <c r="Z99" s="43"/>
      <c r="AA99" s="43"/>
      <c r="AB99" s="43"/>
      <c r="AC99" s="43"/>
    </row>
    <row r="100" spans="24:29" x14ac:dyDescent="0.25">
      <c r="X100" s="43"/>
      <c r="Y100" s="43"/>
      <c r="Z100" s="43"/>
      <c r="AA100" s="43"/>
      <c r="AB100" s="43"/>
      <c r="AC100" s="43"/>
    </row>
    <row r="101" spans="24:29" x14ac:dyDescent="0.25">
      <c r="X101" s="43"/>
      <c r="Y101" s="43"/>
      <c r="Z101" s="43"/>
      <c r="AA101" s="43"/>
      <c r="AB101" s="43"/>
      <c r="AC101" s="43"/>
    </row>
    <row r="102" spans="24:29" x14ac:dyDescent="0.25">
      <c r="X102" s="43"/>
      <c r="Y102" s="43"/>
      <c r="Z102" s="43"/>
      <c r="AA102" s="43"/>
      <c r="AB102" s="43"/>
      <c r="AC102" s="43"/>
    </row>
    <row r="103" spans="24:29" x14ac:dyDescent="0.25">
      <c r="X103" s="43"/>
      <c r="Y103" s="43"/>
      <c r="Z103" s="43"/>
      <c r="AA103" s="43"/>
      <c r="AB103" s="43"/>
      <c r="AC103" s="43"/>
    </row>
    <row r="104" spans="24:29" x14ac:dyDescent="0.25">
      <c r="X104" s="43"/>
      <c r="Y104" s="43"/>
      <c r="Z104" s="43"/>
      <c r="AA104" s="43"/>
      <c r="AB104" s="43"/>
      <c r="AC104" s="43"/>
    </row>
  </sheetData>
  <mergeCells count="125">
    <mergeCell ref="AI49:AJ55"/>
    <mergeCell ref="AI56:AJ62"/>
    <mergeCell ref="AG42:AH42"/>
    <mergeCell ref="AG43:AH43"/>
    <mergeCell ref="AG44:AH44"/>
    <mergeCell ref="AG39:AH39"/>
    <mergeCell ref="AG40:AH40"/>
    <mergeCell ref="AG41:AH41"/>
    <mergeCell ref="AG47:AH47"/>
    <mergeCell ref="AG48:AH48"/>
    <mergeCell ref="AG49:AH49"/>
    <mergeCell ref="V70:Z70"/>
    <mergeCell ref="AC70:AD70"/>
    <mergeCell ref="AC67:AD67"/>
    <mergeCell ref="AC57:AD57"/>
    <mergeCell ref="AC66:AD66"/>
    <mergeCell ref="AG68:AH68"/>
    <mergeCell ref="AG61:AH61"/>
    <mergeCell ref="AG64:AH64"/>
    <mergeCell ref="AG65:AH65"/>
    <mergeCell ref="AG69:AH69"/>
    <mergeCell ref="AE63:AF69"/>
    <mergeCell ref="AG60:AH60"/>
    <mergeCell ref="AC68:AD68"/>
    <mergeCell ref="AC69:AD69"/>
    <mergeCell ref="AG66:AH66"/>
    <mergeCell ref="AG67:AH67"/>
    <mergeCell ref="AG58:AH58"/>
    <mergeCell ref="AC64:AD64"/>
    <mergeCell ref="AC65:AD65"/>
    <mergeCell ref="AG63:AH63"/>
    <mergeCell ref="AG59:AH59"/>
    <mergeCell ref="AC58:AD58"/>
    <mergeCell ref="AC59:AD59"/>
    <mergeCell ref="AC60:AD60"/>
    <mergeCell ref="AI70:AJ70"/>
    <mergeCell ref="AG50:AH50"/>
    <mergeCell ref="AC47:AD47"/>
    <mergeCell ref="AC48:AD48"/>
    <mergeCell ref="AI42:AJ48"/>
    <mergeCell ref="AI63:AJ69"/>
    <mergeCell ref="AC43:AD43"/>
    <mergeCell ref="AC56:AD56"/>
    <mergeCell ref="AG46:AH46"/>
    <mergeCell ref="AG45:AH45"/>
    <mergeCell ref="AC50:AD50"/>
    <mergeCell ref="AC51:AD51"/>
    <mergeCell ref="AC52:AD52"/>
    <mergeCell ref="AC53:AD53"/>
    <mergeCell ref="AC45:AD45"/>
    <mergeCell ref="AC46:AD46"/>
    <mergeCell ref="AC63:AD63"/>
    <mergeCell ref="AG51:AH51"/>
    <mergeCell ref="AG52:AH52"/>
    <mergeCell ref="AG53:AH53"/>
    <mergeCell ref="AG54:AH54"/>
    <mergeCell ref="AG55:AH55"/>
    <mergeCell ref="AG56:AH56"/>
    <mergeCell ref="AG62:AH62"/>
    <mergeCell ref="AC54:AD54"/>
    <mergeCell ref="AC62:AD62"/>
    <mergeCell ref="AC55:AD55"/>
    <mergeCell ref="AC61:AD61"/>
    <mergeCell ref="AC49:AD49"/>
    <mergeCell ref="AE42:AF48"/>
    <mergeCell ref="AE49:AF55"/>
    <mergeCell ref="AG37:AH37"/>
    <mergeCell ref="AG38:AH38"/>
    <mergeCell ref="AG57:AH57"/>
    <mergeCell ref="AC44:AD44"/>
    <mergeCell ref="F26:G26"/>
    <mergeCell ref="H26:I26"/>
    <mergeCell ref="N26:O26"/>
    <mergeCell ref="P26:Q26"/>
    <mergeCell ref="R26:S26"/>
    <mergeCell ref="AC29:AD29"/>
    <mergeCell ref="AC30:AD30"/>
    <mergeCell ref="AC31:AD31"/>
    <mergeCell ref="AC32:AD32"/>
    <mergeCell ref="J26:K26"/>
    <mergeCell ref="L26:M26"/>
    <mergeCell ref="T26:U26"/>
    <mergeCell ref="V26:W26"/>
    <mergeCell ref="AC33:AD33"/>
    <mergeCell ref="AC34:AD34"/>
    <mergeCell ref="AC35:AD35"/>
    <mergeCell ref="AC36:AD36"/>
    <mergeCell ref="AE35:AF41"/>
    <mergeCell ref="AC40:AD40"/>
    <mergeCell ref="AC42:AD42"/>
    <mergeCell ref="AC24:AJ24"/>
    <mergeCell ref="Y24:AB24"/>
    <mergeCell ref="AI27:AJ27"/>
    <mergeCell ref="AE28:AF34"/>
    <mergeCell ref="AI28:AJ34"/>
    <mergeCell ref="AG28:AH28"/>
    <mergeCell ref="AI35:AJ41"/>
    <mergeCell ref="AG29:AH29"/>
    <mergeCell ref="AG30:AH30"/>
    <mergeCell ref="AG31:AH31"/>
    <mergeCell ref="AG32:AH32"/>
    <mergeCell ref="AG33:AH33"/>
    <mergeCell ref="AG34:AH34"/>
    <mergeCell ref="E1:G1"/>
    <mergeCell ref="AE27:AF27"/>
    <mergeCell ref="AG27:AH27"/>
    <mergeCell ref="AE70:AF70"/>
    <mergeCell ref="AE56:AF62"/>
    <mergeCell ref="AG70:AH70"/>
    <mergeCell ref="AG35:AH35"/>
    <mergeCell ref="AG36:AH36"/>
    <mergeCell ref="AC41:AD41"/>
    <mergeCell ref="N1:P1"/>
    <mergeCell ref="S1:T1"/>
    <mergeCell ref="AC28:AD28"/>
    <mergeCell ref="AC37:AD37"/>
    <mergeCell ref="AC38:AD38"/>
    <mergeCell ref="AC39:AD39"/>
    <mergeCell ref="I24:N24"/>
    <mergeCell ref="R24:V24"/>
    <mergeCell ref="B25:W25"/>
    <mergeCell ref="D26:E26"/>
    <mergeCell ref="AA1:AB1"/>
    <mergeCell ref="X26:Z26"/>
    <mergeCell ref="AC27:AD27"/>
  </mergeCells>
  <dataValidations count="2">
    <dataValidation type="list" allowBlank="1" showInputMessage="1" showErrorMessage="1" sqref="N1:P1">
      <formula1>"Janvier,Février,Mars,Avril,Mai,Juin,Juillet,Août,Septembre,Octobre,Novembre,Décembre"</formula1>
    </dataValidation>
    <dataValidation type="list" allowBlank="1" showInputMessage="1" showErrorMessage="1" sqref="AA1:AB1">
      <formula1>"1 à 14"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63639" r:id="rId4" name="PrtHebdoBtn">
          <controlPr defaultSize="0" disabled="1" autoLine="0" r:id="rId5">
            <anchor moveWithCells="1">
              <from>
                <xdr:col>29</xdr:col>
                <xdr:colOff>209550</xdr:colOff>
                <xdr:row>24</xdr:row>
                <xdr:rowOff>38100</xdr:rowOff>
              </from>
              <to>
                <xdr:col>34</xdr:col>
                <xdr:colOff>190500</xdr:colOff>
                <xdr:row>25</xdr:row>
                <xdr:rowOff>152400</xdr:rowOff>
              </to>
            </anchor>
          </controlPr>
        </control>
      </mc:Choice>
      <mc:Fallback>
        <control shapeId="363639" r:id="rId4" name="PrtHebdoBtn"/>
      </mc:Fallback>
    </mc:AlternateContent>
    <mc:AlternateContent xmlns:mc="http://schemas.openxmlformats.org/markup-compatibility/2006">
      <mc:Choice Requires="x14">
        <control shapeId="363638" r:id="rId6" name="MonthPlus">
          <controlPr defaultSize="0" autoLine="0" r:id="rId7">
            <anchor moveWithCells="1">
              <from>
                <xdr:col>16</xdr:col>
                <xdr:colOff>0</xdr:colOff>
                <xdr:row>0</xdr:row>
                <xdr:rowOff>0</xdr:rowOff>
              </from>
              <to>
                <xdr:col>17</xdr:col>
                <xdr:colOff>0</xdr:colOff>
                <xdr:row>2</xdr:row>
                <xdr:rowOff>38100</xdr:rowOff>
              </to>
            </anchor>
          </controlPr>
        </control>
      </mc:Choice>
      <mc:Fallback>
        <control shapeId="363638" r:id="rId6" name="MonthPlus"/>
      </mc:Fallback>
    </mc:AlternateContent>
    <mc:AlternateContent xmlns:mc="http://schemas.openxmlformats.org/markup-compatibility/2006">
      <mc:Choice Requires="x14">
        <control shapeId="363637" r:id="rId8" name="MonthMinus">
          <controlPr defaultSize="0" autoLine="0" r:id="rId9">
            <anchor moveWithCells="1">
              <from>
                <xdr:col>12</xdr:col>
                <xdr:colOff>0</xdr:colOff>
                <xdr:row>0</xdr:row>
                <xdr:rowOff>0</xdr:rowOff>
              </from>
              <to>
                <xdr:col>13</xdr:col>
                <xdr:colOff>0</xdr:colOff>
                <xdr:row>2</xdr:row>
                <xdr:rowOff>38100</xdr:rowOff>
              </to>
            </anchor>
          </controlPr>
        </control>
      </mc:Choice>
      <mc:Fallback>
        <control shapeId="363637" r:id="rId8" name="MonthMinu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/>
  <dimension ref="D1:AB49"/>
  <sheetViews>
    <sheetView zoomScaleNormal="100" workbookViewId="0">
      <selection activeCell="E2" sqref="E2:H2"/>
    </sheetView>
  </sheetViews>
  <sheetFormatPr baseColWidth="10" defaultRowHeight="15" x14ac:dyDescent="0.25"/>
  <cols>
    <col min="1" max="1" width="4" customWidth="1"/>
    <col min="2" max="2" width="2.7109375" customWidth="1"/>
    <col min="3" max="3" width="3.28515625" customWidth="1"/>
    <col min="8" max="8" width="11.42578125" customWidth="1"/>
    <col min="9" max="9" width="23.7109375" customWidth="1"/>
    <col min="10" max="10" width="4.140625" customWidth="1"/>
    <col min="11" max="12" width="2.140625" customWidth="1"/>
    <col min="13" max="13" width="3.28515625" customWidth="1"/>
    <col min="18" max="18" width="44.140625" hidden="1" customWidth="1"/>
    <col min="19" max="19" width="36" customWidth="1"/>
    <col min="26" max="26" width="11.42578125" customWidth="1"/>
    <col min="27" max="28" width="11.42578125" hidden="1" customWidth="1"/>
  </cols>
  <sheetData>
    <row r="1" spans="4:28" x14ac:dyDescent="0.25">
      <c r="N1" t="s">
        <v>20</v>
      </c>
      <c r="P1" t="s">
        <v>50</v>
      </c>
      <c r="Q1" t="s">
        <v>26</v>
      </c>
      <c r="AA1" t="s">
        <v>315</v>
      </c>
      <c r="AB1" t="s">
        <v>15</v>
      </c>
    </row>
    <row r="2" spans="4:28" ht="17.25" x14ac:dyDescent="0.3">
      <c r="D2" t="s">
        <v>13</v>
      </c>
      <c r="E2" s="485"/>
      <c r="F2" s="485"/>
      <c r="G2" s="485"/>
      <c r="H2" s="485"/>
      <c r="P2" t="s">
        <v>22</v>
      </c>
      <c r="Q2" t="s">
        <v>21</v>
      </c>
      <c r="T2" s="18"/>
      <c r="U2" t="s">
        <v>31</v>
      </c>
      <c r="AA2">
        <v>0.73611111111111116</v>
      </c>
      <c r="AB2" t="s">
        <v>16</v>
      </c>
    </row>
    <row r="3" spans="4:28" x14ac:dyDescent="0.25">
      <c r="P3" t="s">
        <v>25</v>
      </c>
      <c r="Q3" t="s">
        <v>24</v>
      </c>
      <c r="T3" s="19"/>
      <c r="U3" t="s">
        <v>40</v>
      </c>
      <c r="AB3" t="s">
        <v>4</v>
      </c>
    </row>
    <row r="4" spans="4:28" x14ac:dyDescent="0.25">
      <c r="D4" t="s">
        <v>14</v>
      </c>
      <c r="E4" s="477"/>
      <c r="F4" s="477"/>
      <c r="G4" s="477"/>
      <c r="P4" t="s">
        <v>23</v>
      </c>
      <c r="Q4" t="s">
        <v>51</v>
      </c>
      <c r="T4" s="20"/>
      <c r="U4" t="s">
        <v>32</v>
      </c>
      <c r="AB4" t="s">
        <v>254</v>
      </c>
    </row>
    <row r="5" spans="4:28" x14ac:dyDescent="0.25">
      <c r="T5" s="21"/>
      <c r="U5" t="s">
        <v>33</v>
      </c>
      <c r="AB5" t="s">
        <v>255</v>
      </c>
    </row>
    <row r="6" spans="4:28" x14ac:dyDescent="0.25">
      <c r="D6" t="s">
        <v>35</v>
      </c>
      <c r="F6" s="43"/>
      <c r="G6" s="43"/>
      <c r="H6" s="43"/>
      <c r="I6" s="43"/>
      <c r="T6" s="22"/>
      <c r="U6" t="s">
        <v>34</v>
      </c>
      <c r="AB6" t="s">
        <v>256</v>
      </c>
    </row>
    <row r="7" spans="4:28" ht="15.75" thickBot="1" x14ac:dyDescent="0.3">
      <c r="AB7" t="s">
        <v>257</v>
      </c>
    </row>
    <row r="8" spans="4:28" ht="15.75" thickBot="1" x14ac:dyDescent="0.3">
      <c r="O8" s="12" t="s">
        <v>11</v>
      </c>
      <c r="P8" s="13" t="s">
        <v>2</v>
      </c>
      <c r="Q8" s="14" t="s">
        <v>3</v>
      </c>
      <c r="R8" s="15" t="s">
        <v>12</v>
      </c>
      <c r="S8" s="155" t="s">
        <v>120</v>
      </c>
    </row>
    <row r="9" spans="4:28" ht="16.5" thickTop="1" thickBot="1" x14ac:dyDescent="0.3">
      <c r="E9" s="9" t="s">
        <v>11</v>
      </c>
      <c r="F9" s="10" t="s">
        <v>2</v>
      </c>
      <c r="G9" s="11" t="s">
        <v>3</v>
      </c>
      <c r="H9" s="481" t="s">
        <v>12</v>
      </c>
      <c r="I9" s="482"/>
      <c r="O9" s="352"/>
      <c r="P9" s="353"/>
      <c r="Q9" s="354"/>
      <c r="R9" s="355"/>
      <c r="S9" s="356"/>
    </row>
    <row r="10" spans="4:28" ht="15.75" thickBot="1" x14ac:dyDescent="0.3">
      <c r="D10" s="23"/>
      <c r="E10" s="246"/>
      <c r="F10" s="247"/>
      <c r="G10" s="248"/>
      <c r="H10" s="483"/>
      <c r="I10" s="484"/>
      <c r="O10" s="627"/>
      <c r="P10" s="628"/>
      <c r="Q10" s="629"/>
      <c r="R10" s="630"/>
      <c r="S10" s="631"/>
    </row>
    <row r="11" spans="4:28" x14ac:dyDescent="0.25">
      <c r="O11" s="627"/>
      <c r="P11" s="628"/>
      <c r="Q11" s="629"/>
      <c r="R11" s="630"/>
      <c r="S11" s="631"/>
    </row>
    <row r="12" spans="4:28" x14ac:dyDescent="0.25">
      <c r="O12" s="627"/>
      <c r="P12" s="628"/>
      <c r="Q12" s="629"/>
      <c r="R12" s="630"/>
      <c r="S12" s="631"/>
    </row>
    <row r="13" spans="4:28" x14ac:dyDescent="0.25">
      <c r="O13" s="627"/>
      <c r="P13" s="628"/>
      <c r="Q13" s="629"/>
      <c r="R13" s="630"/>
      <c r="S13" s="631"/>
    </row>
    <row r="14" spans="4:28" x14ac:dyDescent="0.25">
      <c r="O14" s="627"/>
      <c r="P14" s="628"/>
      <c r="Q14" s="629"/>
      <c r="R14" s="630"/>
      <c r="S14" s="631"/>
    </row>
    <row r="15" spans="4:28" x14ac:dyDescent="0.25">
      <c r="O15" s="627"/>
      <c r="P15" s="628"/>
      <c r="Q15" s="629"/>
      <c r="R15" s="630"/>
      <c r="S15" s="631"/>
    </row>
    <row r="16" spans="4:28" ht="15.75" thickBot="1" x14ac:dyDescent="0.3">
      <c r="O16" s="627"/>
      <c r="P16" s="628"/>
      <c r="Q16" s="629"/>
      <c r="R16" s="630"/>
      <c r="S16" s="631"/>
    </row>
    <row r="17" spans="4:19" ht="15.75" thickBot="1" x14ac:dyDescent="0.3">
      <c r="D17" s="478" t="s">
        <v>17</v>
      </c>
      <c r="E17" s="479"/>
      <c r="F17" s="479"/>
      <c r="G17" s="480"/>
      <c r="O17" s="627"/>
      <c r="P17" s="628"/>
      <c r="Q17" s="629"/>
      <c r="R17" s="630"/>
      <c r="S17" s="631"/>
    </row>
    <row r="18" spans="4:19" x14ac:dyDescent="0.25">
      <c r="D18" s="5"/>
      <c r="G18" s="6"/>
      <c r="O18" s="627"/>
      <c r="P18" s="628"/>
      <c r="Q18" s="629"/>
      <c r="R18" s="630"/>
      <c r="S18" s="631"/>
    </row>
    <row r="19" spans="4:19" x14ac:dyDescent="0.25">
      <c r="D19" s="5" t="s">
        <v>18</v>
      </c>
      <c r="E19" s="1"/>
      <c r="G19" s="6"/>
      <c r="O19" s="627"/>
      <c r="P19" s="628"/>
      <c r="Q19" s="629"/>
      <c r="R19" s="630"/>
      <c r="S19" s="631"/>
    </row>
    <row r="20" spans="4:19" ht="15.75" thickBot="1" x14ac:dyDescent="0.3">
      <c r="D20" s="16" t="s">
        <v>19</v>
      </c>
      <c r="E20" s="17"/>
      <c r="F20" s="7"/>
      <c r="G20" s="8"/>
      <c r="O20" s="627"/>
      <c r="P20" s="628"/>
      <c r="Q20" s="629"/>
      <c r="R20" s="630"/>
      <c r="S20" s="631"/>
    </row>
    <row r="21" spans="4:19" x14ac:dyDescent="0.25">
      <c r="O21" s="627"/>
      <c r="P21" s="628"/>
      <c r="Q21" s="629"/>
      <c r="R21" s="630"/>
      <c r="S21" s="631"/>
    </row>
    <row r="22" spans="4:19" x14ac:dyDescent="0.25">
      <c r="E22" s="40"/>
      <c r="O22" s="627"/>
      <c r="P22" s="628"/>
      <c r="Q22" s="629"/>
      <c r="R22" s="630"/>
      <c r="S22" s="631"/>
    </row>
    <row r="23" spans="4:19" x14ac:dyDescent="0.25">
      <c r="O23" s="627"/>
      <c r="P23" s="628"/>
      <c r="Q23" s="629"/>
      <c r="R23" s="630"/>
      <c r="S23" s="631"/>
    </row>
    <row r="24" spans="4:19" x14ac:dyDescent="0.25">
      <c r="O24" s="627"/>
      <c r="P24" s="628"/>
      <c r="Q24" s="629"/>
      <c r="R24" s="630"/>
      <c r="S24" s="631"/>
    </row>
    <row r="25" spans="4:19" x14ac:dyDescent="0.25">
      <c r="O25" s="627"/>
      <c r="P25" s="628"/>
      <c r="Q25" s="629"/>
      <c r="R25" s="630"/>
      <c r="S25" s="631"/>
    </row>
    <row r="26" spans="4:19" x14ac:dyDescent="0.25">
      <c r="O26" s="627"/>
      <c r="P26" s="628"/>
      <c r="Q26" s="629"/>
      <c r="R26" s="630"/>
      <c r="S26" s="631"/>
    </row>
    <row r="27" spans="4:19" x14ac:dyDescent="0.25">
      <c r="O27" s="627"/>
      <c r="P27" s="628"/>
      <c r="Q27" s="629"/>
      <c r="R27" s="630"/>
      <c r="S27" s="631"/>
    </row>
    <row r="28" spans="4:19" x14ac:dyDescent="0.25">
      <c r="O28" s="627"/>
      <c r="P28" s="628"/>
      <c r="Q28" s="629"/>
      <c r="R28" s="630"/>
      <c r="S28" s="631"/>
    </row>
    <row r="29" spans="4:19" x14ac:dyDescent="0.25">
      <c r="O29" s="627"/>
      <c r="P29" s="628"/>
      <c r="Q29" s="629"/>
      <c r="R29" s="630"/>
      <c r="S29" s="631"/>
    </row>
    <row r="30" spans="4:19" x14ac:dyDescent="0.25">
      <c r="O30" s="627"/>
      <c r="P30" s="628"/>
      <c r="Q30" s="629"/>
      <c r="R30" s="630"/>
      <c r="S30" s="631"/>
    </row>
    <row r="31" spans="4:19" x14ac:dyDescent="0.25">
      <c r="O31" s="627"/>
      <c r="P31" s="628"/>
      <c r="Q31" s="629"/>
      <c r="R31" s="630"/>
      <c r="S31" s="631"/>
    </row>
    <row r="32" spans="4:19" x14ac:dyDescent="0.25">
      <c r="O32" s="627"/>
      <c r="P32" s="628"/>
      <c r="Q32" s="629"/>
      <c r="R32" s="630"/>
      <c r="S32" s="631"/>
    </row>
    <row r="33" spans="15:19" x14ac:dyDescent="0.25">
      <c r="O33" s="627"/>
      <c r="P33" s="630"/>
      <c r="Q33" s="629"/>
      <c r="R33" s="630"/>
      <c r="S33" s="631"/>
    </row>
    <row r="34" spans="15:19" x14ac:dyDescent="0.25">
      <c r="O34" s="627"/>
      <c r="P34" s="630"/>
      <c r="Q34" s="629"/>
      <c r="R34" s="630"/>
      <c r="S34" s="631"/>
    </row>
    <row r="35" spans="15:19" x14ac:dyDescent="0.25">
      <c r="O35" s="627"/>
      <c r="P35" s="630"/>
      <c r="Q35" s="629"/>
      <c r="R35" s="630"/>
      <c r="S35" s="631"/>
    </row>
    <row r="36" spans="15:19" x14ac:dyDescent="0.25">
      <c r="O36" s="627"/>
      <c r="P36" s="630"/>
      <c r="Q36" s="629"/>
      <c r="R36" s="630"/>
      <c r="S36" s="631"/>
    </row>
    <row r="37" spans="15:19" x14ac:dyDescent="0.25">
      <c r="O37" s="627"/>
      <c r="P37" s="630"/>
      <c r="Q37" s="629"/>
      <c r="R37" s="630"/>
      <c r="S37" s="631"/>
    </row>
    <row r="38" spans="15:19" x14ac:dyDescent="0.25">
      <c r="O38" s="627"/>
      <c r="P38" s="630"/>
      <c r="Q38" s="629"/>
      <c r="R38" s="630"/>
      <c r="S38" s="631"/>
    </row>
    <row r="39" spans="15:19" x14ac:dyDescent="0.25">
      <c r="O39" s="627"/>
      <c r="P39" s="630"/>
      <c r="Q39" s="629"/>
      <c r="R39" s="630"/>
      <c r="S39" s="631"/>
    </row>
    <row r="40" spans="15:19" x14ac:dyDescent="0.25">
      <c r="O40" s="627"/>
      <c r="P40" s="630"/>
      <c r="Q40" s="629"/>
      <c r="R40" s="630"/>
      <c r="S40" s="631"/>
    </row>
    <row r="41" spans="15:19" x14ac:dyDescent="0.25">
      <c r="O41" s="627"/>
      <c r="P41" s="630"/>
      <c r="Q41" s="629"/>
      <c r="R41" s="630"/>
      <c r="S41" s="631"/>
    </row>
    <row r="42" spans="15:19" x14ac:dyDescent="0.25">
      <c r="O42" s="627"/>
      <c r="P42" s="630"/>
      <c r="Q42" s="629"/>
      <c r="R42" s="630"/>
      <c r="S42" s="631"/>
    </row>
    <row r="43" spans="15:19" x14ac:dyDescent="0.25">
      <c r="O43" s="627"/>
      <c r="P43" s="630"/>
      <c r="Q43" s="629"/>
      <c r="R43" s="630"/>
      <c r="S43" s="631"/>
    </row>
    <row r="44" spans="15:19" x14ac:dyDescent="0.25">
      <c r="O44" s="627"/>
      <c r="P44" s="630"/>
      <c r="Q44" s="629"/>
      <c r="R44" s="630"/>
      <c r="S44" s="631"/>
    </row>
    <row r="45" spans="15:19" x14ac:dyDescent="0.25">
      <c r="O45" s="627"/>
      <c r="P45" s="630"/>
      <c r="Q45" s="629"/>
      <c r="R45" s="630"/>
      <c r="S45" s="631"/>
    </row>
    <row r="46" spans="15:19" x14ac:dyDescent="0.25">
      <c r="O46" s="627"/>
      <c r="P46" s="630"/>
      <c r="Q46" s="629"/>
      <c r="R46" s="630"/>
      <c r="S46" s="631"/>
    </row>
    <row r="47" spans="15:19" x14ac:dyDescent="0.25">
      <c r="O47" s="627"/>
      <c r="P47" s="630"/>
      <c r="Q47" s="629"/>
      <c r="R47" s="630"/>
      <c r="S47" s="631"/>
    </row>
    <row r="48" spans="15:19" x14ac:dyDescent="0.25">
      <c r="O48" s="627"/>
      <c r="P48" s="630"/>
      <c r="Q48" s="629"/>
      <c r="R48" s="630"/>
      <c r="S48" s="631"/>
    </row>
    <row r="49" spans="15:19" ht="15.75" thickBot="1" x14ac:dyDescent="0.3">
      <c r="O49" s="632"/>
      <c r="P49" s="633"/>
      <c r="Q49" s="634"/>
      <c r="R49" s="633"/>
      <c r="S49" s="635"/>
    </row>
  </sheetData>
  <mergeCells count="5">
    <mergeCell ref="E4:G4"/>
    <mergeCell ref="D17:G17"/>
    <mergeCell ref="H9:I9"/>
    <mergeCell ref="H10:I10"/>
    <mergeCell ref="E2:H2"/>
  </mergeCells>
  <dataValidations count="1">
    <dataValidation type="list" allowBlank="1" showInputMessage="1" showErrorMessage="1" sqref="E19">
      <formula1>$AB$1:$AB$7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71" r:id="rId4" name="DatePickerBtn">
          <controlPr defaultSize="0" disabled="1" autoLine="0" r:id="rId5">
            <anchor moveWithCells="1">
              <from>
                <xdr:col>7</xdr:col>
                <xdr:colOff>95250</xdr:colOff>
                <xdr:row>2</xdr:row>
                <xdr:rowOff>76200</xdr:rowOff>
              </from>
              <to>
                <xdr:col>7</xdr:col>
                <xdr:colOff>476250</xdr:colOff>
                <xdr:row>4</xdr:row>
                <xdr:rowOff>76200</xdr:rowOff>
              </to>
            </anchor>
          </controlPr>
        </control>
      </mc:Choice>
      <mc:Fallback>
        <control shapeId="10271" r:id="rId4" name="DatePickerBtn"/>
      </mc:Fallback>
    </mc:AlternateContent>
    <mc:AlternateContent xmlns:mc="http://schemas.openxmlformats.org/markup-compatibility/2006">
      <mc:Choice Requires="x14">
        <control shapeId="10270" r:id="rId6" name="PrecisChk">
          <controlPr defaultSize="0" autoLine="0" r:id="rId7">
            <anchor moveWithCells="1">
              <from>
                <xdr:col>18</xdr:col>
                <xdr:colOff>314325</xdr:colOff>
                <xdr:row>5</xdr:row>
                <xdr:rowOff>104775</xdr:rowOff>
              </from>
              <to>
                <xdr:col>18</xdr:col>
                <xdr:colOff>1781175</xdr:colOff>
                <xdr:row>6</xdr:row>
                <xdr:rowOff>133350</xdr:rowOff>
              </to>
            </anchor>
          </controlPr>
        </control>
      </mc:Choice>
      <mc:Fallback>
        <control shapeId="10270" r:id="rId6" name="PrecisChk"/>
      </mc:Fallback>
    </mc:AlternateContent>
    <mc:AlternateContent xmlns:mc="http://schemas.openxmlformats.org/markup-compatibility/2006">
      <mc:Choice Requires="x14">
        <control shapeId="10269" r:id="rId8" name="NewPtBtn">
          <controlPr defaultSize="0" disabled="1" autoLine="0" r:id="rId9">
            <anchor moveWithCells="1">
              <from>
                <xdr:col>5</xdr:col>
                <xdr:colOff>276225</xdr:colOff>
                <xdr:row>18</xdr:row>
                <xdr:rowOff>57150</xdr:rowOff>
              </from>
              <to>
                <xdr:col>6</xdr:col>
                <xdr:colOff>581025</xdr:colOff>
                <xdr:row>19</xdr:row>
                <xdr:rowOff>133350</xdr:rowOff>
              </to>
            </anchor>
          </controlPr>
        </control>
      </mc:Choice>
      <mc:Fallback>
        <control shapeId="10269" r:id="rId8" name="NewPtBtn"/>
      </mc:Fallback>
    </mc:AlternateContent>
    <mc:AlternateContent xmlns:mc="http://schemas.openxmlformats.org/markup-compatibility/2006">
      <mc:Choice Requires="x14">
        <control shapeId="10266" r:id="rId10" name="DL_Pointages">
          <controlPr defaultSize="0" autoLine="0" r:id="rId11">
            <anchor moveWithCells="1">
              <from>
                <xdr:col>4</xdr:col>
                <xdr:colOff>381000</xdr:colOff>
                <xdr:row>23</xdr:row>
                <xdr:rowOff>85725</xdr:rowOff>
              </from>
              <to>
                <xdr:col>7</xdr:col>
                <xdr:colOff>352425</xdr:colOff>
                <xdr:row>24</xdr:row>
                <xdr:rowOff>180975</xdr:rowOff>
              </to>
            </anchor>
          </controlPr>
        </control>
      </mc:Choice>
      <mc:Fallback>
        <control shapeId="10266" r:id="rId10" name="DL_Pointages"/>
      </mc:Fallback>
    </mc:AlternateContent>
    <mc:AlternateContent xmlns:mc="http://schemas.openxmlformats.org/markup-compatibility/2006">
      <mc:Choice Requires="x14">
        <control shapeId="10265" r:id="rId12" name="InfoCorrectionBtn">
          <controlPr defaultSize="0" autoLine="0" r:id="rId13">
            <anchor moveWithCells="1">
              <from>
                <xdr:col>4</xdr:col>
                <xdr:colOff>123825</xdr:colOff>
                <xdr:row>26</xdr:row>
                <xdr:rowOff>19050</xdr:rowOff>
              </from>
              <to>
                <xdr:col>7</xdr:col>
                <xdr:colOff>628650</xdr:colOff>
                <xdr:row>27</xdr:row>
                <xdr:rowOff>104775</xdr:rowOff>
              </to>
            </anchor>
          </controlPr>
        </control>
      </mc:Choice>
      <mc:Fallback>
        <control shapeId="10265" r:id="rId12" name="InfoCorrectionBtn"/>
      </mc:Fallback>
    </mc:AlternateContent>
    <mc:AlternateContent xmlns:mc="http://schemas.openxmlformats.org/markup-compatibility/2006">
      <mc:Choice Requires="x14">
        <control shapeId="10264" r:id="rId14" name="DayPlusBtn">
          <controlPr defaultSize="0" autoLine="0" r:id="rId15">
            <anchor moveWithCells="1">
              <from>
                <xdr:col>6</xdr:col>
                <xdr:colOff>371475</xdr:colOff>
                <xdr:row>2</xdr:row>
                <xdr:rowOff>152400</xdr:rowOff>
              </from>
              <to>
                <xdr:col>7</xdr:col>
                <xdr:colOff>9525</xdr:colOff>
                <xdr:row>4</xdr:row>
                <xdr:rowOff>19050</xdr:rowOff>
              </to>
            </anchor>
          </controlPr>
        </control>
      </mc:Choice>
      <mc:Fallback>
        <control shapeId="10264" r:id="rId14" name="DayPlusBtn"/>
      </mc:Fallback>
    </mc:AlternateContent>
    <mc:AlternateContent xmlns:mc="http://schemas.openxmlformats.org/markup-compatibility/2006">
      <mc:Choice Requires="x14">
        <control shapeId="10263" r:id="rId16" name="DayMinusBtn">
          <controlPr defaultSize="0" autoLine="0" r:id="rId17">
            <anchor moveWithCells="1">
              <from>
                <xdr:col>3</xdr:col>
                <xdr:colOff>733425</xdr:colOff>
                <xdr:row>2</xdr:row>
                <xdr:rowOff>152400</xdr:rowOff>
              </from>
              <to>
                <xdr:col>4</xdr:col>
                <xdr:colOff>371475</xdr:colOff>
                <xdr:row>4</xdr:row>
                <xdr:rowOff>19050</xdr:rowOff>
              </to>
            </anchor>
          </controlPr>
        </control>
      </mc:Choice>
      <mc:Fallback>
        <control shapeId="10263" r:id="rId16" name="DayMinusBtn"/>
      </mc:Fallback>
    </mc:AlternateContent>
    <mc:AlternateContent xmlns:mc="http://schemas.openxmlformats.org/markup-compatibility/2006">
      <mc:Choice Requires="x14">
        <control shapeId="10262" r:id="rId18" name="CorrRejBtn">
          <controlPr defaultSize="0" disabled="1" autoLine="0" r:id="rId19">
            <anchor moveWithCells="1">
              <from>
                <xdr:col>7</xdr:col>
                <xdr:colOff>228600</xdr:colOff>
                <xdr:row>13</xdr:row>
                <xdr:rowOff>152400</xdr:rowOff>
              </from>
              <to>
                <xdr:col>8</xdr:col>
                <xdr:colOff>1114425</xdr:colOff>
                <xdr:row>15</xdr:row>
                <xdr:rowOff>57150</xdr:rowOff>
              </to>
            </anchor>
          </controlPr>
        </control>
      </mc:Choice>
      <mc:Fallback>
        <control shapeId="10262" r:id="rId18" name="CorrRejBtn"/>
      </mc:Fallback>
    </mc:AlternateContent>
    <mc:AlternateContent xmlns:mc="http://schemas.openxmlformats.org/markup-compatibility/2006">
      <mc:Choice Requires="x14">
        <control shapeId="10261" r:id="rId20" name="CorrBtn">
          <controlPr defaultSize="0" disabled="1" autoLine="0" r:id="rId21">
            <anchor moveWithCells="1">
              <from>
                <xdr:col>7</xdr:col>
                <xdr:colOff>228600</xdr:colOff>
                <xdr:row>11</xdr:row>
                <xdr:rowOff>180975</xdr:rowOff>
              </from>
              <to>
                <xdr:col>8</xdr:col>
                <xdr:colOff>1114425</xdr:colOff>
                <xdr:row>13</xdr:row>
                <xdr:rowOff>66675</xdr:rowOff>
              </to>
            </anchor>
          </controlPr>
        </control>
      </mc:Choice>
      <mc:Fallback>
        <control shapeId="10261" r:id="rId20" name="CorrBtn"/>
      </mc:Fallback>
    </mc:AlternateContent>
    <mc:AlternateContent xmlns:mc="http://schemas.openxmlformats.org/markup-compatibility/2006">
      <mc:Choice Requires="x14">
        <control shapeId="10260" r:id="rId22" name="DelBtn">
          <controlPr defaultSize="0" disabled="1" autoLine="0" r:id="rId23">
            <anchor moveWithCells="1">
              <from>
                <xdr:col>5</xdr:col>
                <xdr:colOff>114300</xdr:colOff>
                <xdr:row>11</xdr:row>
                <xdr:rowOff>180975</xdr:rowOff>
              </from>
              <to>
                <xdr:col>7</xdr:col>
                <xdr:colOff>0</xdr:colOff>
                <xdr:row>13</xdr:row>
                <xdr:rowOff>66675</xdr:rowOff>
              </to>
            </anchor>
          </controlPr>
        </control>
      </mc:Choice>
      <mc:Fallback>
        <control shapeId="10260" r:id="rId22" name="DelBtn"/>
      </mc:Fallback>
    </mc:AlternateContent>
    <mc:AlternateContent xmlns:mc="http://schemas.openxmlformats.org/markup-compatibility/2006">
      <mc:Choice Requires="x14">
        <control shapeId="10259" r:id="rId24" name="DisableBtn">
          <controlPr defaultSize="0" disabled="1" autoLine="0" r:id="rId25">
            <anchor moveWithCells="1">
              <from>
                <xdr:col>3</xdr:col>
                <xdr:colOff>0</xdr:colOff>
                <xdr:row>11</xdr:row>
                <xdr:rowOff>180975</xdr:rowOff>
              </from>
              <to>
                <xdr:col>4</xdr:col>
                <xdr:colOff>647700</xdr:colOff>
                <xdr:row>13</xdr:row>
                <xdr:rowOff>66675</xdr:rowOff>
              </to>
            </anchor>
          </controlPr>
        </control>
      </mc:Choice>
      <mc:Fallback>
        <control shapeId="10259" r:id="rId24" name="DisableBtn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Gestion!$A$2:$A$5</xm:f>
          </x14:formula1>
          <xm:sqref>H2</xm:sqref>
        </x14:dataValidation>
        <x14:dataValidation type="list" allowBlank="1" showInputMessage="1" showErrorMessage="1">
          <x14:formula1>
            <xm:f>Gestion!$A$2:$A$15</xm:f>
          </x14:formula1>
          <xm:sqref>E2:G2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/>
  <dimension ref="A1:U55"/>
  <sheetViews>
    <sheetView workbookViewId="0">
      <selection activeCell="F6" sqref="F6"/>
    </sheetView>
  </sheetViews>
  <sheetFormatPr baseColWidth="10" defaultRowHeight="15" x14ac:dyDescent="0.25"/>
  <cols>
    <col min="1" max="1" width="19.28515625" customWidth="1"/>
    <col min="2" max="2" width="14.28515625" customWidth="1"/>
    <col min="3" max="3" width="18.140625" customWidth="1"/>
    <col min="4" max="4" width="14" customWidth="1"/>
    <col min="7" max="7" width="14.42578125" customWidth="1"/>
    <col min="19" max="19" width="15.85546875" customWidth="1"/>
    <col min="20" max="20" width="23.42578125" customWidth="1"/>
  </cols>
  <sheetData>
    <row r="1" spans="1:20" ht="15.75" thickBot="1" x14ac:dyDescent="0.3">
      <c r="A1" s="148" t="s">
        <v>0</v>
      </c>
      <c r="B1" s="146" t="s">
        <v>1</v>
      </c>
      <c r="C1" s="149" t="s">
        <v>47</v>
      </c>
      <c r="D1" s="150" t="s">
        <v>29</v>
      </c>
      <c r="G1" t="s">
        <v>30</v>
      </c>
      <c r="J1" t="s">
        <v>316</v>
      </c>
    </row>
    <row r="2" spans="1:20" ht="19.5" customHeight="1" thickTop="1" thickBot="1" x14ac:dyDescent="0.3">
      <c r="A2" s="133"/>
      <c r="B2" s="144"/>
      <c r="C2" s="151"/>
      <c r="D2" s="135"/>
      <c r="L2" s="486" t="s">
        <v>45</v>
      </c>
      <c r="M2" s="487"/>
      <c r="N2" s="487"/>
      <c r="O2" s="487"/>
      <c r="P2" s="487"/>
      <c r="Q2" s="488"/>
      <c r="S2" s="493" t="s">
        <v>258</v>
      </c>
      <c r="T2" s="494"/>
    </row>
    <row r="3" spans="1:20" ht="15.75" thickBot="1" x14ac:dyDescent="0.3">
      <c r="A3" s="134"/>
      <c r="B3" s="145"/>
      <c r="C3" s="152"/>
      <c r="D3" s="136"/>
      <c r="L3" s="489"/>
      <c r="M3" s="490"/>
      <c r="N3" s="490"/>
      <c r="O3" s="490"/>
      <c r="P3" s="490"/>
      <c r="Q3" s="491"/>
      <c r="S3" s="5" t="s">
        <v>259</v>
      </c>
      <c r="T3" s="254"/>
    </row>
    <row r="4" spans="1:20" x14ac:dyDescent="0.25">
      <c r="A4" s="134"/>
      <c r="B4" s="145"/>
      <c r="C4" s="152"/>
      <c r="D4" s="136"/>
      <c r="L4" s="5"/>
      <c r="M4" s="30"/>
      <c r="N4" s="30"/>
      <c r="O4" s="30"/>
      <c r="P4" s="30"/>
      <c r="Q4" s="6"/>
      <c r="S4" s="5" t="s">
        <v>260</v>
      </c>
      <c r="T4" s="254" t="s">
        <v>339</v>
      </c>
    </row>
    <row r="5" spans="1:20" x14ac:dyDescent="0.25">
      <c r="A5" s="134"/>
      <c r="B5" s="145"/>
      <c r="C5" s="152"/>
      <c r="D5" s="136"/>
      <c r="L5" s="5"/>
      <c r="M5" s="30"/>
      <c r="N5" s="30"/>
      <c r="O5" s="30"/>
      <c r="P5" s="30"/>
      <c r="Q5" s="6"/>
      <c r="S5" s="5" t="s">
        <v>261</v>
      </c>
      <c r="T5" s="254">
        <v>8</v>
      </c>
    </row>
    <row r="6" spans="1:20" x14ac:dyDescent="0.25">
      <c r="A6" s="132"/>
      <c r="B6" s="146"/>
      <c r="C6" s="146"/>
      <c r="D6" s="143"/>
      <c r="L6" s="5"/>
      <c r="M6" s="30"/>
      <c r="N6" s="30"/>
      <c r="O6" s="30"/>
      <c r="P6" s="30"/>
      <c r="Q6" s="6"/>
      <c r="S6" s="5" t="s">
        <v>262</v>
      </c>
      <c r="T6" s="254">
        <v>1</v>
      </c>
    </row>
    <row r="7" spans="1:20" x14ac:dyDescent="0.25">
      <c r="A7" s="134"/>
      <c r="B7" s="145"/>
      <c r="C7" s="152"/>
      <c r="D7" s="136"/>
      <c r="L7" s="5"/>
      <c r="M7" s="30"/>
      <c r="N7" s="30"/>
      <c r="O7" s="30"/>
      <c r="P7" s="30"/>
      <c r="Q7" s="6"/>
      <c r="S7" s="5" t="s">
        <v>298</v>
      </c>
      <c r="T7" s="254" t="b">
        <v>1</v>
      </c>
    </row>
    <row r="8" spans="1:20" x14ac:dyDescent="0.25">
      <c r="A8" s="134"/>
      <c r="B8" s="145"/>
      <c r="C8" s="152"/>
      <c r="D8" s="136"/>
      <c r="L8" s="5"/>
      <c r="M8" s="30"/>
      <c r="N8" s="30"/>
      <c r="O8" s="30"/>
      <c r="P8" s="30"/>
      <c r="Q8" s="6"/>
      <c r="S8" s="5"/>
      <c r="T8" s="254"/>
    </row>
    <row r="9" spans="1:20" x14ac:dyDescent="0.25">
      <c r="A9" s="134"/>
      <c r="B9" s="145"/>
      <c r="C9" s="152"/>
      <c r="D9" s="136"/>
      <c r="L9" s="5"/>
      <c r="M9" s="30"/>
      <c r="N9" s="30"/>
      <c r="O9" s="30"/>
      <c r="P9" s="30"/>
      <c r="Q9" s="6"/>
      <c r="S9" s="5"/>
      <c r="T9" s="254"/>
    </row>
    <row r="10" spans="1:20" x14ac:dyDescent="0.25">
      <c r="A10" s="134"/>
      <c r="B10" s="145"/>
      <c r="C10" s="152"/>
      <c r="D10" s="136"/>
      <c r="L10" s="5"/>
      <c r="M10" s="30"/>
      <c r="N10" s="30"/>
      <c r="O10" s="30"/>
      <c r="P10" s="30"/>
      <c r="Q10" s="6"/>
      <c r="S10" s="5"/>
      <c r="T10" s="254"/>
    </row>
    <row r="11" spans="1:20" ht="15.75" thickBot="1" x14ac:dyDescent="0.3">
      <c r="A11" s="134"/>
      <c r="B11" s="145"/>
      <c r="C11" s="152"/>
      <c r="D11" s="136"/>
      <c r="L11" s="5"/>
      <c r="M11" s="30"/>
      <c r="N11" s="30"/>
      <c r="O11" s="30"/>
      <c r="P11" s="30"/>
      <c r="Q11" s="6"/>
      <c r="S11" s="5"/>
      <c r="T11" s="254"/>
    </row>
    <row r="12" spans="1:20" x14ac:dyDescent="0.25">
      <c r="A12" s="134"/>
      <c r="B12" s="145"/>
      <c r="C12" s="152"/>
      <c r="D12" s="136"/>
      <c r="L12" s="27"/>
      <c r="M12" s="28"/>
      <c r="N12" s="28"/>
      <c r="O12" s="28"/>
      <c r="P12" s="28"/>
      <c r="Q12" s="29"/>
      <c r="S12" s="5"/>
      <c r="T12" s="254"/>
    </row>
    <row r="13" spans="1:20" x14ac:dyDescent="0.25">
      <c r="A13" s="288"/>
      <c r="B13" s="145"/>
      <c r="C13" s="153"/>
      <c r="D13" s="136"/>
      <c r="L13" s="5"/>
      <c r="M13" s="30"/>
      <c r="N13" s="492" t="s">
        <v>46</v>
      </c>
      <c r="O13" s="492"/>
      <c r="P13" s="30"/>
      <c r="Q13" s="6"/>
      <c r="S13" s="5"/>
      <c r="T13" s="254"/>
    </row>
    <row r="14" spans="1:20" x14ac:dyDescent="0.25">
      <c r="A14" s="134"/>
      <c r="B14" s="145"/>
      <c r="C14" s="153"/>
      <c r="D14" s="136"/>
      <c r="L14" s="31"/>
      <c r="M14" s="30"/>
      <c r="N14" s="30"/>
      <c r="O14" s="30"/>
      <c r="P14" s="30"/>
      <c r="Q14" s="6"/>
      <c r="S14" s="5"/>
      <c r="T14" s="254"/>
    </row>
    <row r="15" spans="1:20" x14ac:dyDescent="0.25">
      <c r="A15" s="288"/>
      <c r="B15" s="337"/>
      <c r="C15" s="338"/>
      <c r="D15" s="339"/>
      <c r="L15" s="31"/>
      <c r="M15" s="30"/>
      <c r="N15" s="30"/>
      <c r="O15" s="30"/>
      <c r="P15" s="30"/>
      <c r="Q15" s="6"/>
      <c r="S15" s="5"/>
      <c r="T15" s="254"/>
    </row>
    <row r="16" spans="1:20" x14ac:dyDescent="0.25">
      <c r="A16" s="134"/>
      <c r="B16" s="145"/>
      <c r="C16" s="153"/>
      <c r="D16" s="136"/>
      <c r="L16" s="31" t="s">
        <v>107</v>
      </c>
      <c r="M16" s="32"/>
      <c r="N16" s="30"/>
      <c r="O16" s="30"/>
      <c r="P16" s="30"/>
      <c r="Q16" s="6"/>
      <c r="S16" s="5"/>
      <c r="T16" s="254"/>
    </row>
    <row r="17" spans="1:21" x14ac:dyDescent="0.25">
      <c r="A17" s="134"/>
      <c r="B17" s="145"/>
      <c r="C17" s="153"/>
      <c r="D17" s="136"/>
      <c r="L17" s="31"/>
      <c r="M17" s="30"/>
      <c r="N17" s="30"/>
      <c r="O17" s="30"/>
      <c r="P17" s="30"/>
      <c r="Q17" s="6"/>
      <c r="S17" s="5"/>
      <c r="T17" s="254"/>
    </row>
    <row r="18" spans="1:21" x14ac:dyDescent="0.25">
      <c r="A18" s="134"/>
      <c r="B18" s="145"/>
      <c r="C18" s="153"/>
      <c r="D18" s="136"/>
      <c r="L18" s="31" t="s">
        <v>137</v>
      </c>
      <c r="M18" s="30"/>
      <c r="N18" s="30"/>
      <c r="O18" s="30"/>
      <c r="P18" s="30"/>
      <c r="Q18" s="6"/>
      <c r="S18" s="5"/>
      <c r="T18" s="254"/>
    </row>
    <row r="19" spans="1:21" x14ac:dyDescent="0.25">
      <c r="A19" s="134"/>
      <c r="B19" s="145"/>
      <c r="C19" s="153"/>
      <c r="D19" s="136"/>
      <c r="L19" s="31"/>
      <c r="M19" s="30"/>
      <c r="N19" s="30"/>
      <c r="O19" s="30"/>
      <c r="P19" s="30"/>
      <c r="Q19" s="6"/>
      <c r="S19" s="5"/>
      <c r="T19" s="254"/>
    </row>
    <row r="20" spans="1:21" x14ac:dyDescent="0.25">
      <c r="A20" s="134"/>
      <c r="B20" s="145"/>
      <c r="C20" s="153"/>
      <c r="D20" s="136"/>
      <c r="L20" s="31"/>
      <c r="M20" s="30"/>
      <c r="N20" s="30"/>
      <c r="O20" s="30"/>
      <c r="P20" s="30"/>
      <c r="Q20" s="6"/>
      <c r="S20" s="5"/>
      <c r="T20" s="254"/>
    </row>
    <row r="21" spans="1:21" x14ac:dyDescent="0.25">
      <c r="A21" s="134"/>
      <c r="B21" s="145"/>
      <c r="C21" s="153"/>
      <c r="D21" s="136"/>
      <c r="L21" s="31"/>
      <c r="M21" s="30"/>
      <c r="N21" s="30"/>
      <c r="O21" s="30"/>
      <c r="P21" s="30"/>
      <c r="Q21" s="6"/>
      <c r="S21" s="5"/>
      <c r="T21" s="254"/>
    </row>
    <row r="22" spans="1:21" x14ac:dyDescent="0.25">
      <c r="A22" s="134"/>
      <c r="B22" s="145"/>
      <c r="C22" s="153"/>
      <c r="D22" s="136"/>
      <c r="L22" s="31"/>
      <c r="M22" s="30"/>
      <c r="N22" s="30"/>
      <c r="O22" s="30"/>
      <c r="P22" s="30"/>
      <c r="Q22" s="6"/>
      <c r="S22" s="5"/>
      <c r="T22" s="254"/>
    </row>
    <row r="23" spans="1:21" x14ac:dyDescent="0.25">
      <c r="A23" s="134"/>
      <c r="B23" s="145"/>
      <c r="C23" s="153"/>
      <c r="D23" s="136"/>
      <c r="L23" s="5"/>
      <c r="M23" s="30"/>
      <c r="N23" s="30"/>
      <c r="O23" s="30"/>
      <c r="P23" s="30"/>
      <c r="Q23" s="6"/>
      <c r="S23" s="5"/>
      <c r="T23" s="254"/>
    </row>
    <row r="24" spans="1:21" x14ac:dyDescent="0.25">
      <c r="A24" s="134"/>
      <c r="B24" s="145"/>
      <c r="C24" s="153"/>
      <c r="D24" s="136"/>
      <c r="L24" s="5"/>
      <c r="M24" s="30"/>
      <c r="N24" s="30"/>
      <c r="O24" s="30"/>
      <c r="P24" s="30"/>
      <c r="Q24" s="6"/>
      <c r="S24" s="5"/>
      <c r="T24" s="254"/>
      <c r="U24" s="41"/>
    </row>
    <row r="25" spans="1:21" x14ac:dyDescent="0.25">
      <c r="A25" s="134"/>
      <c r="B25" s="145"/>
      <c r="C25" s="153"/>
      <c r="D25" s="136"/>
      <c r="L25" s="31"/>
      <c r="M25" s="30"/>
      <c r="N25" s="30"/>
      <c r="O25" s="30"/>
      <c r="P25" s="30"/>
      <c r="Q25" s="6"/>
      <c r="S25" s="5"/>
      <c r="T25" s="254"/>
    </row>
    <row r="26" spans="1:21" x14ac:dyDescent="0.25">
      <c r="A26" s="134"/>
      <c r="B26" s="145"/>
      <c r="C26" s="153"/>
      <c r="D26" s="136"/>
      <c r="L26" s="5"/>
      <c r="M26" s="30"/>
      <c r="N26" s="30"/>
      <c r="O26" s="30"/>
      <c r="P26" s="30"/>
      <c r="Q26" s="6"/>
      <c r="S26" s="5"/>
      <c r="T26" s="254"/>
    </row>
    <row r="27" spans="1:21" x14ac:dyDescent="0.25">
      <c r="A27" s="134"/>
      <c r="B27" s="145"/>
      <c r="C27" s="153"/>
      <c r="D27" s="136"/>
      <c r="L27" s="5"/>
      <c r="M27" s="30"/>
      <c r="N27" s="30"/>
      <c r="O27" s="30"/>
      <c r="P27" s="30"/>
      <c r="Q27" s="6"/>
      <c r="S27" s="5"/>
      <c r="T27" s="254"/>
    </row>
    <row r="28" spans="1:21" x14ac:dyDescent="0.25">
      <c r="A28" s="134"/>
      <c r="B28" s="145"/>
      <c r="C28" s="153"/>
      <c r="D28" s="136"/>
      <c r="L28" s="5"/>
      <c r="M28" s="30"/>
      <c r="N28" s="30"/>
      <c r="O28" s="30"/>
      <c r="P28" s="30"/>
      <c r="Q28" s="6"/>
      <c r="S28" s="5"/>
      <c r="T28" s="254"/>
    </row>
    <row r="29" spans="1:21" x14ac:dyDescent="0.25">
      <c r="A29" s="134"/>
      <c r="B29" s="145"/>
      <c r="C29" s="153"/>
      <c r="D29" s="136"/>
      <c r="L29" s="5"/>
      <c r="M29" s="30"/>
      <c r="N29" s="30"/>
      <c r="O29" s="30"/>
      <c r="P29" s="30"/>
      <c r="Q29" s="6"/>
      <c r="S29" s="5"/>
      <c r="T29" s="254"/>
    </row>
    <row r="30" spans="1:21" x14ac:dyDescent="0.25">
      <c r="A30" s="137"/>
      <c r="B30" s="147"/>
      <c r="C30" s="154"/>
      <c r="D30" s="138"/>
      <c r="L30" s="5"/>
      <c r="M30" s="30"/>
      <c r="N30" s="30"/>
      <c r="O30" s="30"/>
      <c r="P30" s="30"/>
      <c r="Q30" s="6"/>
      <c r="S30" s="5"/>
      <c r="T30" s="254"/>
    </row>
    <row r="31" spans="1:21" x14ac:dyDescent="0.25">
      <c r="L31" s="5"/>
      <c r="M31" s="30"/>
      <c r="N31" s="30"/>
      <c r="O31" s="30"/>
      <c r="P31" s="30"/>
      <c r="Q31" s="6"/>
      <c r="S31" s="5"/>
      <c r="T31" s="254"/>
    </row>
    <row r="32" spans="1:21" x14ac:dyDescent="0.25">
      <c r="L32" s="5"/>
      <c r="M32" s="30"/>
      <c r="N32" s="30"/>
      <c r="O32" s="30"/>
      <c r="P32" s="30"/>
      <c r="Q32" s="6"/>
      <c r="S32" s="5"/>
      <c r="T32" s="254"/>
    </row>
    <row r="33" spans="1:20" x14ac:dyDescent="0.25">
      <c r="L33" s="5"/>
      <c r="M33" s="30"/>
      <c r="N33" s="30"/>
      <c r="O33" s="30"/>
      <c r="P33" s="30"/>
      <c r="Q33" s="6"/>
      <c r="S33" s="5"/>
      <c r="T33" s="254"/>
    </row>
    <row r="34" spans="1:20" x14ac:dyDescent="0.25">
      <c r="L34" s="5"/>
      <c r="M34" s="30"/>
      <c r="N34" s="30"/>
      <c r="O34" s="30"/>
      <c r="P34" s="30"/>
      <c r="Q34" s="6"/>
      <c r="S34" s="5"/>
      <c r="T34" s="254"/>
    </row>
    <row r="35" spans="1:20" x14ac:dyDescent="0.25">
      <c r="L35" s="5"/>
      <c r="M35" s="30"/>
      <c r="N35" s="30"/>
      <c r="O35" s="30"/>
      <c r="P35" s="30"/>
      <c r="Q35" s="6"/>
      <c r="S35" s="5"/>
      <c r="T35" s="254"/>
    </row>
    <row r="36" spans="1:20" ht="15.75" thickBot="1" x14ac:dyDescent="0.3">
      <c r="L36" s="16"/>
      <c r="M36" s="7"/>
      <c r="N36" s="7"/>
      <c r="O36" s="7"/>
      <c r="P36" s="7"/>
      <c r="Q36" s="8"/>
      <c r="S36" s="16"/>
      <c r="T36" s="255"/>
    </row>
    <row r="37" spans="1:20" x14ac:dyDescent="0.25">
      <c r="A37" t="s">
        <v>44</v>
      </c>
    </row>
    <row r="39" spans="1:20" ht="15.75" x14ac:dyDescent="0.25">
      <c r="B39" t="s">
        <v>28</v>
      </c>
      <c r="C39" s="441"/>
      <c r="D39" s="441"/>
      <c r="E39" s="3" t="s">
        <v>27</v>
      </c>
    </row>
    <row r="41" spans="1:20" s="24" customFormat="1" ht="15.75" x14ac:dyDescent="0.25">
      <c r="B41" s="24" t="s">
        <v>36</v>
      </c>
      <c r="C41" s="651"/>
      <c r="E41" s="25" t="s">
        <v>37</v>
      </c>
    </row>
    <row r="42" spans="1:20" s="24" customFormat="1" ht="15.75" x14ac:dyDescent="0.25">
      <c r="B42" s="24" t="s">
        <v>38</v>
      </c>
      <c r="C42" s="652"/>
      <c r="D42" s="26"/>
      <c r="E42" s="25" t="s">
        <v>39</v>
      </c>
    </row>
    <row r="43" spans="1:20" s="24" customFormat="1" x14ac:dyDescent="0.25"/>
    <row r="44" spans="1:20" ht="15" customHeight="1" x14ac:dyDescent="0.25">
      <c r="B44" s="2" t="s">
        <v>5</v>
      </c>
      <c r="C44" s="651"/>
      <c r="E44" s="4" t="s">
        <v>9</v>
      </c>
    </row>
    <row r="45" spans="1:20" x14ac:dyDescent="0.25">
      <c r="B45" s="2" t="s">
        <v>6</v>
      </c>
      <c r="C45" s="652"/>
      <c r="E45" s="4" t="s">
        <v>10</v>
      </c>
    </row>
    <row r="46" spans="1:20" x14ac:dyDescent="0.25">
      <c r="B46" s="2" t="s">
        <v>7</v>
      </c>
      <c r="C46" s="652"/>
    </row>
    <row r="47" spans="1:20" x14ac:dyDescent="0.25">
      <c r="B47" s="2" t="s">
        <v>8</v>
      </c>
      <c r="C47" s="652"/>
    </row>
    <row r="49" spans="2:4" x14ac:dyDescent="0.25">
      <c r="B49" s="2" t="s">
        <v>41</v>
      </c>
      <c r="C49" t="s">
        <v>42</v>
      </c>
      <c r="D49" s="24"/>
    </row>
    <row r="50" spans="2:4" x14ac:dyDescent="0.25">
      <c r="C50" t="s">
        <v>43</v>
      </c>
      <c r="D50" s="24"/>
    </row>
    <row r="55" spans="2:4" x14ac:dyDescent="0.25">
      <c r="C55" s="24"/>
      <c r="D55" s="24"/>
    </row>
  </sheetData>
  <mergeCells count="4">
    <mergeCell ref="C39:D39"/>
    <mergeCell ref="L2:Q3"/>
    <mergeCell ref="N13:O13"/>
    <mergeCell ref="S2:T2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86" r:id="rId4" name="UpdtCfg">
          <controlPr defaultSize="0" autoLine="0" r:id="rId5">
            <anchor moveWithCells="1">
              <from>
                <xdr:col>1</xdr:col>
                <xdr:colOff>0</xdr:colOff>
                <xdr:row>52</xdr:row>
                <xdr:rowOff>38100</xdr:rowOff>
              </from>
              <to>
                <xdr:col>3</xdr:col>
                <xdr:colOff>123825</xdr:colOff>
                <xdr:row>53</xdr:row>
                <xdr:rowOff>161925</xdr:rowOff>
              </to>
            </anchor>
          </controlPr>
        </control>
      </mc:Choice>
      <mc:Fallback>
        <control shapeId="3086" r:id="rId4" name="UpdtCfg"/>
      </mc:Fallback>
    </mc:AlternateContent>
    <mc:AlternateContent xmlns:mc="http://schemas.openxmlformats.org/markup-compatibility/2006">
      <mc:Choice Requires="x14">
        <control shapeId="3085" r:id="rId6" name="ExportBtn">
          <controlPr defaultSize="0" autoLine="0" r:id="rId7">
            <anchor moveWithCells="1">
              <from>
                <xdr:col>5</xdr:col>
                <xdr:colOff>342900</xdr:colOff>
                <xdr:row>23</xdr:row>
                <xdr:rowOff>171450</xdr:rowOff>
              </from>
              <to>
                <xdr:col>8</xdr:col>
                <xdr:colOff>352425</xdr:colOff>
                <xdr:row>25</xdr:row>
                <xdr:rowOff>152400</xdr:rowOff>
              </to>
            </anchor>
          </controlPr>
        </control>
      </mc:Choice>
      <mc:Fallback>
        <control shapeId="3085" r:id="rId6" name="ExportBtn"/>
      </mc:Fallback>
    </mc:AlternateContent>
    <mc:AlternateContent xmlns:mc="http://schemas.openxmlformats.org/markup-compatibility/2006">
      <mc:Choice Requires="x14">
        <control shapeId="3084" r:id="rId8" name="Get_list">
          <controlPr defaultSize="0" autoLine="0" r:id="rId9">
            <anchor moveWithCells="1">
              <from>
                <xdr:col>12</xdr:col>
                <xdr:colOff>161925</xdr:colOff>
                <xdr:row>6</xdr:row>
                <xdr:rowOff>9525</xdr:rowOff>
              </from>
              <to>
                <xdr:col>15</xdr:col>
                <xdr:colOff>228600</xdr:colOff>
                <xdr:row>7</xdr:row>
                <xdr:rowOff>171450</xdr:rowOff>
              </to>
            </anchor>
          </controlPr>
        </control>
      </mc:Choice>
      <mc:Fallback>
        <control shapeId="3084" r:id="rId8" name="Get_list"/>
      </mc:Fallback>
    </mc:AlternateContent>
    <mc:AlternateContent xmlns:mc="http://schemas.openxmlformats.org/markup-compatibility/2006">
      <mc:Choice Requires="x14">
        <control shapeId="3083" r:id="rId10" name="ImportBtn">
          <controlPr defaultSize="0" autoLine="0" r:id="rId11">
            <anchor moveWithCells="1">
              <from>
                <xdr:col>11</xdr:col>
                <xdr:colOff>619125</xdr:colOff>
                <xdr:row>3</xdr:row>
                <xdr:rowOff>123825</xdr:rowOff>
              </from>
              <to>
                <xdr:col>15</xdr:col>
                <xdr:colOff>504825</xdr:colOff>
                <xdr:row>5</xdr:row>
                <xdr:rowOff>85725</xdr:rowOff>
              </to>
            </anchor>
          </controlPr>
        </control>
      </mc:Choice>
      <mc:Fallback>
        <control shapeId="3083" r:id="rId10" name="ImportBtn"/>
      </mc:Fallback>
    </mc:AlternateContent>
    <mc:AlternateContent xmlns:mc="http://schemas.openxmlformats.org/markup-compatibility/2006">
      <mc:Choice Requires="x14">
        <control shapeId="3082" r:id="rId12" name="ReadCfg">
          <controlPr defaultSize="0" autoLine="0" r:id="rId13">
            <anchor moveWithCells="1">
              <from>
                <xdr:col>12</xdr:col>
                <xdr:colOff>209550</xdr:colOff>
                <xdr:row>8</xdr:row>
                <xdr:rowOff>76200</xdr:rowOff>
              </from>
              <to>
                <xdr:col>15</xdr:col>
                <xdr:colOff>180975</xdr:colOff>
                <xdr:row>10</xdr:row>
                <xdr:rowOff>0</xdr:rowOff>
              </to>
            </anchor>
          </controlPr>
        </control>
      </mc:Choice>
      <mc:Fallback>
        <control shapeId="3082" r:id="rId12" name="ReadCfg"/>
      </mc:Fallback>
    </mc:AlternateContent>
    <mc:AlternateContent xmlns:mc="http://schemas.openxmlformats.org/markup-compatibility/2006">
      <mc:Choice Requires="x14">
        <control shapeId="3081" r:id="rId14" name="Upt_list">
          <controlPr defaultSize="0" autoLine="0" r:id="rId15">
            <anchor moveWithCells="1">
              <from>
                <xdr:col>5</xdr:col>
                <xdr:colOff>428625</xdr:colOff>
                <xdr:row>30</xdr:row>
                <xdr:rowOff>0</xdr:rowOff>
              </from>
              <to>
                <xdr:col>8</xdr:col>
                <xdr:colOff>295275</xdr:colOff>
                <xdr:row>31</xdr:row>
                <xdr:rowOff>161925</xdr:rowOff>
              </to>
            </anchor>
          </controlPr>
        </control>
      </mc:Choice>
      <mc:Fallback>
        <control shapeId="3081" r:id="rId14" name="Upt_list"/>
      </mc:Fallback>
    </mc:AlternateContent>
  </controls>
  <tableParts count="1">
    <tablePart r:id="rId16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2"/>
  <dimension ref="B1:Y46"/>
  <sheetViews>
    <sheetView workbookViewId="0">
      <selection activeCell="E2" sqref="E2:N3"/>
    </sheetView>
  </sheetViews>
  <sheetFormatPr baseColWidth="10" defaultRowHeight="15" x14ac:dyDescent="0.25"/>
  <cols>
    <col min="1" max="1" width="11.42578125" style="350"/>
    <col min="2" max="2" width="11.42578125" style="377"/>
    <col min="3" max="3" width="11.42578125" style="382"/>
    <col min="4" max="13" width="6.7109375" style="372" customWidth="1"/>
    <col min="14" max="25" width="6.7109375" style="350" customWidth="1"/>
    <col min="26" max="16384" width="11.42578125" style="350"/>
  </cols>
  <sheetData>
    <row r="1" spans="2:25" ht="15.75" thickBot="1" x14ac:dyDescent="0.3"/>
    <row r="2" spans="2:25" x14ac:dyDescent="0.25">
      <c r="E2" s="648" t="s">
        <v>342</v>
      </c>
      <c r="F2" s="649"/>
      <c r="G2" s="649"/>
      <c r="H2" s="649"/>
      <c r="I2" s="649"/>
      <c r="J2" s="649"/>
      <c r="K2" s="649"/>
      <c r="L2" s="649"/>
      <c r="M2" s="649"/>
      <c r="N2" s="650"/>
      <c r="P2" s="648" t="s">
        <v>343</v>
      </c>
      <c r="Q2" s="649"/>
      <c r="R2" s="649"/>
      <c r="S2" s="649"/>
      <c r="T2" s="649"/>
      <c r="U2" s="649"/>
      <c r="V2" s="649"/>
      <c r="W2" s="649"/>
      <c r="X2" s="649"/>
      <c r="Y2" s="650"/>
    </row>
    <row r="3" spans="2:25" ht="15.75" thickBot="1" x14ac:dyDescent="0.3">
      <c r="E3" s="654"/>
      <c r="F3" s="647"/>
      <c r="G3" s="647"/>
      <c r="H3" s="647"/>
      <c r="I3" s="647"/>
      <c r="J3" s="647"/>
      <c r="K3" s="647"/>
      <c r="L3" s="647"/>
      <c r="M3" s="647"/>
      <c r="N3" s="655"/>
      <c r="O3" s="383"/>
      <c r="P3" s="654"/>
      <c r="Q3" s="647"/>
      <c r="R3" s="647"/>
      <c r="S3" s="647"/>
      <c r="T3" s="647"/>
      <c r="U3" s="647"/>
      <c r="V3" s="647"/>
      <c r="W3" s="647"/>
      <c r="X3" s="647"/>
      <c r="Y3" s="655"/>
    </row>
    <row r="4" spans="2:25" x14ac:dyDescent="0.25">
      <c r="B4" s="656" t="s">
        <v>79</v>
      </c>
      <c r="C4" s="660">
        <v>46020</v>
      </c>
      <c r="D4" s="401"/>
      <c r="E4" s="661"/>
      <c r="F4" s="657"/>
      <c r="G4" s="657"/>
      <c r="H4" s="657"/>
      <c r="I4" s="657"/>
      <c r="J4" s="657"/>
      <c r="K4" s="657"/>
      <c r="L4" s="657"/>
      <c r="M4" s="657"/>
      <c r="N4" s="662"/>
      <c r="O4" s="410"/>
      <c r="P4" s="663"/>
      <c r="Q4" s="658"/>
      <c r="R4" s="658"/>
      <c r="S4" s="658"/>
      <c r="T4" s="658"/>
      <c r="U4" s="658"/>
      <c r="V4" s="658"/>
      <c r="W4" s="658"/>
      <c r="X4" s="658"/>
      <c r="Y4" s="659"/>
    </row>
    <row r="5" spans="2:25" x14ac:dyDescent="0.25">
      <c r="B5" s="378" t="s">
        <v>80</v>
      </c>
      <c r="C5" s="384">
        <v>46021</v>
      </c>
      <c r="D5" s="401"/>
      <c r="E5" s="397"/>
      <c r="F5" s="373"/>
      <c r="G5" s="373"/>
      <c r="H5" s="373"/>
      <c r="I5" s="373"/>
      <c r="J5" s="373"/>
      <c r="K5" s="373"/>
      <c r="L5" s="373"/>
      <c r="M5" s="373"/>
      <c r="N5" s="402"/>
      <c r="O5" s="410"/>
      <c r="P5" s="406"/>
      <c r="Q5" s="389"/>
      <c r="R5" s="389"/>
      <c r="S5" s="389"/>
      <c r="T5" s="389"/>
      <c r="U5" s="389"/>
      <c r="V5" s="389"/>
      <c r="W5" s="389"/>
      <c r="X5" s="389"/>
      <c r="Y5" s="392"/>
    </row>
    <row r="6" spans="2:25" x14ac:dyDescent="0.25">
      <c r="B6" s="378" t="s">
        <v>81</v>
      </c>
      <c r="C6" s="384">
        <v>46022</v>
      </c>
      <c r="D6" s="401"/>
      <c r="E6" s="397"/>
      <c r="F6" s="373"/>
      <c r="G6" s="373"/>
      <c r="H6" s="373"/>
      <c r="I6" s="373"/>
      <c r="J6" s="373"/>
      <c r="K6" s="373"/>
      <c r="L6" s="373"/>
      <c r="M6" s="373"/>
      <c r="N6" s="402"/>
      <c r="O6" s="410"/>
      <c r="P6" s="406"/>
      <c r="Q6" s="389"/>
      <c r="R6" s="389"/>
      <c r="S6" s="389"/>
      <c r="T6" s="389"/>
      <c r="U6" s="389"/>
      <c r="V6" s="389"/>
      <c r="W6" s="389"/>
      <c r="X6" s="389"/>
      <c r="Y6" s="392"/>
    </row>
    <row r="7" spans="2:25" x14ac:dyDescent="0.25">
      <c r="B7" s="378" t="s">
        <v>82</v>
      </c>
      <c r="C7" s="384">
        <v>46023</v>
      </c>
      <c r="D7" s="401"/>
      <c r="E7" s="397"/>
      <c r="F7" s="373"/>
      <c r="G7" s="373"/>
      <c r="H7" s="373"/>
      <c r="I7" s="373"/>
      <c r="J7" s="373"/>
      <c r="K7" s="373"/>
      <c r="L7" s="373"/>
      <c r="M7" s="373"/>
      <c r="N7" s="402"/>
      <c r="O7" s="410"/>
      <c r="P7" s="406"/>
      <c r="Q7" s="389"/>
      <c r="R7" s="389"/>
      <c r="S7" s="389"/>
      <c r="T7" s="389"/>
      <c r="U7" s="389"/>
      <c r="V7" s="389"/>
      <c r="W7" s="389"/>
      <c r="X7" s="389"/>
      <c r="Y7" s="392"/>
    </row>
    <row r="8" spans="2:25" x14ac:dyDescent="0.25">
      <c r="B8" s="378" t="s">
        <v>83</v>
      </c>
      <c r="C8" s="384">
        <v>46024</v>
      </c>
      <c r="D8" s="401"/>
      <c r="E8" s="397"/>
      <c r="F8" s="373"/>
      <c r="G8" s="373"/>
      <c r="H8" s="373"/>
      <c r="I8" s="373"/>
      <c r="J8" s="373"/>
      <c r="K8" s="373"/>
      <c r="L8" s="373"/>
      <c r="M8" s="373"/>
      <c r="N8" s="402"/>
      <c r="O8" s="410"/>
      <c r="P8" s="406"/>
      <c r="Q8" s="389"/>
      <c r="R8" s="389"/>
      <c r="S8" s="389"/>
      <c r="T8" s="389"/>
      <c r="U8" s="389"/>
      <c r="V8" s="389"/>
      <c r="W8" s="389"/>
      <c r="X8" s="389"/>
      <c r="Y8" s="392"/>
    </row>
    <row r="9" spans="2:25" x14ac:dyDescent="0.25">
      <c r="B9" s="378" t="s">
        <v>84</v>
      </c>
      <c r="C9" s="384">
        <v>46025</v>
      </c>
      <c r="D9" s="401"/>
      <c r="E9" s="397"/>
      <c r="F9" s="373"/>
      <c r="G9" s="373"/>
      <c r="H9" s="373"/>
      <c r="I9" s="373"/>
      <c r="J9" s="373"/>
      <c r="K9" s="373"/>
      <c r="L9" s="373"/>
      <c r="M9" s="373"/>
      <c r="N9" s="402"/>
      <c r="O9" s="410"/>
      <c r="P9" s="406"/>
      <c r="Q9" s="389"/>
      <c r="R9" s="389"/>
      <c r="S9" s="389"/>
      <c r="T9" s="389"/>
      <c r="U9" s="389"/>
      <c r="V9" s="389"/>
      <c r="W9" s="389"/>
      <c r="X9" s="389"/>
      <c r="Y9" s="392"/>
    </row>
    <row r="10" spans="2:25" x14ac:dyDescent="0.25">
      <c r="B10" s="379" t="s">
        <v>85</v>
      </c>
      <c r="C10" s="385">
        <v>46026</v>
      </c>
      <c r="D10" s="401"/>
      <c r="E10" s="398"/>
      <c r="F10" s="374"/>
      <c r="G10" s="374"/>
      <c r="H10" s="374"/>
      <c r="I10" s="374"/>
      <c r="J10" s="374"/>
      <c r="K10" s="374"/>
      <c r="L10" s="374"/>
      <c r="M10" s="374"/>
      <c r="N10" s="403"/>
      <c r="O10" s="410"/>
      <c r="P10" s="407"/>
      <c r="Q10" s="390"/>
      <c r="R10" s="390"/>
      <c r="S10" s="390"/>
      <c r="T10" s="390"/>
      <c r="U10" s="390"/>
      <c r="V10" s="390"/>
      <c r="W10" s="390"/>
      <c r="X10" s="390"/>
      <c r="Y10" s="393"/>
    </row>
    <row r="11" spans="2:25" x14ac:dyDescent="0.25">
      <c r="B11" s="614" t="s">
        <v>79</v>
      </c>
      <c r="C11" s="618">
        <v>46027</v>
      </c>
      <c r="D11" s="401"/>
      <c r="E11" s="621"/>
      <c r="F11" s="610"/>
      <c r="G11" s="610"/>
      <c r="H11" s="610"/>
      <c r="I11" s="610"/>
      <c r="J11" s="610"/>
      <c r="K11" s="610"/>
      <c r="L11" s="610"/>
      <c r="M11" s="610"/>
      <c r="N11" s="623"/>
      <c r="O11" s="410"/>
      <c r="P11" s="625"/>
      <c r="Q11" s="611"/>
      <c r="R11" s="611"/>
      <c r="S11" s="611"/>
      <c r="T11" s="611"/>
      <c r="U11" s="611"/>
      <c r="V11" s="611"/>
      <c r="W11" s="611"/>
      <c r="X11" s="611"/>
      <c r="Y11" s="616"/>
    </row>
    <row r="12" spans="2:25" x14ac:dyDescent="0.25">
      <c r="B12" s="378" t="s">
        <v>80</v>
      </c>
      <c r="C12" s="384">
        <v>46028</v>
      </c>
      <c r="D12" s="401"/>
      <c r="E12" s="397"/>
      <c r="F12" s="373"/>
      <c r="G12" s="373"/>
      <c r="H12" s="373"/>
      <c r="I12" s="373"/>
      <c r="J12" s="373"/>
      <c r="K12" s="373"/>
      <c r="L12" s="373"/>
      <c r="M12" s="373"/>
      <c r="N12" s="402"/>
      <c r="O12" s="410"/>
      <c r="P12" s="406"/>
      <c r="Q12" s="389"/>
      <c r="R12" s="389"/>
      <c r="S12" s="389"/>
      <c r="T12" s="389"/>
      <c r="U12" s="389"/>
      <c r="V12" s="389"/>
      <c r="W12" s="389"/>
      <c r="X12" s="389"/>
      <c r="Y12" s="392"/>
    </row>
    <row r="13" spans="2:25" x14ac:dyDescent="0.25">
      <c r="B13" s="378" t="s">
        <v>81</v>
      </c>
      <c r="C13" s="384">
        <v>46029</v>
      </c>
      <c r="D13" s="401"/>
      <c r="E13" s="397"/>
      <c r="F13" s="373"/>
      <c r="G13" s="373"/>
      <c r="H13" s="373"/>
      <c r="I13" s="373"/>
      <c r="J13" s="373"/>
      <c r="K13" s="373"/>
      <c r="L13" s="373"/>
      <c r="M13" s="373"/>
      <c r="N13" s="402"/>
      <c r="O13" s="410"/>
      <c r="P13" s="406"/>
      <c r="Q13" s="389"/>
      <c r="R13" s="389"/>
      <c r="S13" s="389"/>
      <c r="T13" s="389"/>
      <c r="U13" s="389"/>
      <c r="V13" s="389"/>
      <c r="W13" s="389"/>
      <c r="X13" s="389"/>
      <c r="Y13" s="392"/>
    </row>
    <row r="14" spans="2:25" x14ac:dyDescent="0.25">
      <c r="B14" s="378" t="s">
        <v>82</v>
      </c>
      <c r="C14" s="384">
        <v>46030</v>
      </c>
      <c r="D14" s="401"/>
      <c r="E14" s="397"/>
      <c r="F14" s="373"/>
      <c r="G14" s="373"/>
      <c r="H14" s="373"/>
      <c r="I14" s="373"/>
      <c r="J14" s="373"/>
      <c r="K14" s="373"/>
      <c r="L14" s="373"/>
      <c r="M14" s="373"/>
      <c r="N14" s="402"/>
      <c r="O14" s="410"/>
      <c r="P14" s="406"/>
      <c r="Q14" s="389"/>
      <c r="R14" s="389"/>
      <c r="S14" s="389"/>
      <c r="T14" s="389"/>
      <c r="U14" s="389"/>
      <c r="V14" s="389"/>
      <c r="W14" s="389"/>
      <c r="X14" s="389"/>
      <c r="Y14" s="392"/>
    </row>
    <row r="15" spans="2:25" x14ac:dyDescent="0.25">
      <c r="B15" s="378" t="s">
        <v>83</v>
      </c>
      <c r="C15" s="384">
        <v>46031</v>
      </c>
      <c r="D15" s="401"/>
      <c r="E15" s="397"/>
      <c r="F15" s="373"/>
      <c r="G15" s="373"/>
      <c r="H15" s="373"/>
      <c r="I15" s="373"/>
      <c r="J15" s="373"/>
      <c r="K15" s="373"/>
      <c r="L15" s="373"/>
      <c r="M15" s="373"/>
      <c r="N15" s="402"/>
      <c r="O15" s="410"/>
      <c r="P15" s="406"/>
      <c r="Q15" s="389"/>
      <c r="R15" s="389"/>
      <c r="S15" s="389"/>
      <c r="T15" s="389"/>
      <c r="U15" s="389"/>
      <c r="V15" s="389"/>
      <c r="W15" s="389"/>
      <c r="X15" s="389"/>
      <c r="Y15" s="392"/>
    </row>
    <row r="16" spans="2:25" x14ac:dyDescent="0.25">
      <c r="B16" s="378" t="s">
        <v>84</v>
      </c>
      <c r="C16" s="384">
        <v>46032</v>
      </c>
      <c r="D16" s="401"/>
      <c r="E16" s="397"/>
      <c r="F16" s="373"/>
      <c r="G16" s="373"/>
      <c r="H16" s="373"/>
      <c r="I16" s="373"/>
      <c r="J16" s="373"/>
      <c r="K16" s="373"/>
      <c r="L16" s="373"/>
      <c r="M16" s="373"/>
      <c r="N16" s="402"/>
      <c r="O16" s="410"/>
      <c r="P16" s="406"/>
      <c r="Q16" s="389"/>
      <c r="R16" s="389"/>
      <c r="S16" s="389"/>
      <c r="T16" s="389"/>
      <c r="U16" s="389"/>
      <c r="V16" s="389"/>
      <c r="W16" s="389"/>
      <c r="X16" s="389"/>
      <c r="Y16" s="392"/>
    </row>
    <row r="17" spans="2:25" x14ac:dyDescent="0.25">
      <c r="B17" s="615" t="s">
        <v>85</v>
      </c>
      <c r="C17" s="619">
        <v>46033</v>
      </c>
      <c r="D17" s="401"/>
      <c r="E17" s="622"/>
      <c r="F17" s="612"/>
      <c r="G17" s="612"/>
      <c r="H17" s="612"/>
      <c r="I17" s="612"/>
      <c r="J17" s="612"/>
      <c r="K17" s="612"/>
      <c r="L17" s="612"/>
      <c r="M17" s="612"/>
      <c r="N17" s="624"/>
      <c r="O17" s="410"/>
      <c r="P17" s="626"/>
      <c r="Q17" s="613"/>
      <c r="R17" s="613"/>
      <c r="S17" s="613"/>
      <c r="T17" s="613"/>
      <c r="U17" s="613"/>
      <c r="V17" s="613"/>
      <c r="W17" s="613"/>
      <c r="X17" s="613"/>
      <c r="Y17" s="617"/>
    </row>
    <row r="18" spans="2:25" x14ac:dyDescent="0.25">
      <c r="B18" s="380" t="s">
        <v>79</v>
      </c>
      <c r="C18" s="386">
        <v>46034</v>
      </c>
      <c r="D18" s="401"/>
      <c r="E18" s="399"/>
      <c r="F18" s="375"/>
      <c r="G18" s="375"/>
      <c r="H18" s="375"/>
      <c r="I18" s="375"/>
      <c r="J18" s="375"/>
      <c r="K18" s="375"/>
      <c r="L18" s="375"/>
      <c r="M18" s="375"/>
      <c r="N18" s="404"/>
      <c r="O18" s="410"/>
      <c r="P18" s="408"/>
      <c r="Q18" s="391"/>
      <c r="R18" s="391"/>
      <c r="S18" s="391"/>
      <c r="T18" s="391"/>
      <c r="U18" s="391"/>
      <c r="V18" s="391"/>
      <c r="W18" s="391"/>
      <c r="X18" s="391"/>
      <c r="Y18" s="394"/>
    </row>
    <row r="19" spans="2:25" x14ac:dyDescent="0.25">
      <c r="B19" s="378" t="s">
        <v>80</v>
      </c>
      <c r="C19" s="384">
        <v>46035</v>
      </c>
      <c r="D19" s="401"/>
      <c r="E19" s="397"/>
      <c r="F19" s="373"/>
      <c r="G19" s="373"/>
      <c r="H19" s="373"/>
      <c r="I19" s="373"/>
      <c r="J19" s="373"/>
      <c r="K19" s="373"/>
      <c r="L19" s="373"/>
      <c r="M19" s="373"/>
      <c r="N19" s="402"/>
      <c r="O19" s="410"/>
      <c r="P19" s="406"/>
      <c r="Q19" s="389"/>
      <c r="R19" s="389"/>
      <c r="S19" s="389"/>
      <c r="T19" s="389"/>
      <c r="U19" s="389"/>
      <c r="V19" s="389"/>
      <c r="W19" s="389"/>
      <c r="X19" s="389"/>
      <c r="Y19" s="392"/>
    </row>
    <row r="20" spans="2:25" x14ac:dyDescent="0.25">
      <c r="B20" s="378" t="s">
        <v>81</v>
      </c>
      <c r="C20" s="384">
        <v>46036</v>
      </c>
      <c r="D20" s="401"/>
      <c r="E20" s="397"/>
      <c r="F20" s="373"/>
      <c r="G20" s="373"/>
      <c r="H20" s="373"/>
      <c r="I20" s="373"/>
      <c r="J20" s="373"/>
      <c r="K20" s="373"/>
      <c r="L20" s="373"/>
      <c r="M20" s="373"/>
      <c r="N20" s="402"/>
      <c r="O20" s="410"/>
      <c r="P20" s="406"/>
      <c r="Q20" s="389"/>
      <c r="R20" s="389"/>
      <c r="S20" s="389"/>
      <c r="T20" s="389"/>
      <c r="U20" s="389"/>
      <c r="V20" s="389"/>
      <c r="W20" s="389"/>
      <c r="X20" s="389"/>
      <c r="Y20" s="392"/>
    </row>
    <row r="21" spans="2:25" x14ac:dyDescent="0.25">
      <c r="B21" s="378" t="s">
        <v>82</v>
      </c>
      <c r="C21" s="384">
        <v>46037</v>
      </c>
      <c r="D21" s="401"/>
      <c r="E21" s="397"/>
      <c r="F21" s="373"/>
      <c r="G21" s="373"/>
      <c r="H21" s="373"/>
      <c r="I21" s="373"/>
      <c r="J21" s="373"/>
      <c r="K21" s="373"/>
      <c r="L21" s="373"/>
      <c r="M21" s="373"/>
      <c r="N21" s="402"/>
      <c r="O21" s="410"/>
      <c r="P21" s="406"/>
      <c r="Q21" s="389"/>
      <c r="R21" s="389"/>
      <c r="S21" s="389"/>
      <c r="T21" s="389"/>
      <c r="U21" s="389"/>
      <c r="V21" s="389"/>
      <c r="W21" s="389"/>
      <c r="X21" s="389"/>
      <c r="Y21" s="392"/>
    </row>
    <row r="22" spans="2:25" x14ac:dyDescent="0.25">
      <c r="B22" s="378" t="s">
        <v>83</v>
      </c>
      <c r="C22" s="384">
        <v>46038</v>
      </c>
      <c r="D22" s="401"/>
      <c r="E22" s="397"/>
      <c r="F22" s="373"/>
      <c r="G22" s="373"/>
      <c r="H22" s="373"/>
      <c r="I22" s="373"/>
      <c r="J22" s="373"/>
      <c r="K22" s="373"/>
      <c r="L22" s="373"/>
      <c r="M22" s="373"/>
      <c r="N22" s="402"/>
      <c r="O22" s="410"/>
      <c r="P22" s="406"/>
      <c r="Q22" s="389"/>
      <c r="R22" s="389"/>
      <c r="S22" s="389"/>
      <c r="T22" s="389"/>
      <c r="U22" s="389"/>
      <c r="V22" s="389"/>
      <c r="W22" s="389"/>
      <c r="X22" s="389"/>
      <c r="Y22" s="392"/>
    </row>
    <row r="23" spans="2:25" x14ac:dyDescent="0.25">
      <c r="B23" s="378" t="s">
        <v>84</v>
      </c>
      <c r="C23" s="384">
        <v>46039</v>
      </c>
      <c r="D23" s="401"/>
      <c r="E23" s="397"/>
      <c r="F23" s="373"/>
      <c r="G23" s="373"/>
      <c r="H23" s="373"/>
      <c r="I23" s="373"/>
      <c r="J23" s="373"/>
      <c r="K23" s="373"/>
      <c r="L23" s="373"/>
      <c r="M23" s="373"/>
      <c r="N23" s="402"/>
      <c r="O23" s="410"/>
      <c r="P23" s="406"/>
      <c r="Q23" s="389"/>
      <c r="R23" s="389"/>
      <c r="S23" s="389"/>
      <c r="T23" s="389"/>
      <c r="U23" s="389"/>
      <c r="V23" s="389"/>
      <c r="W23" s="389"/>
      <c r="X23" s="389"/>
      <c r="Y23" s="392"/>
    </row>
    <row r="24" spans="2:25" x14ac:dyDescent="0.25">
      <c r="B24" s="379" t="s">
        <v>85</v>
      </c>
      <c r="C24" s="385">
        <v>46040</v>
      </c>
      <c r="D24" s="401"/>
      <c r="E24" s="398"/>
      <c r="F24" s="374"/>
      <c r="G24" s="374"/>
      <c r="H24" s="374"/>
      <c r="I24" s="374"/>
      <c r="J24" s="374"/>
      <c r="K24" s="374"/>
      <c r="L24" s="374"/>
      <c r="M24" s="374"/>
      <c r="N24" s="403"/>
      <c r="O24" s="410"/>
      <c r="P24" s="407"/>
      <c r="Q24" s="390"/>
      <c r="R24" s="390"/>
      <c r="S24" s="390"/>
      <c r="T24" s="390"/>
      <c r="U24" s="390"/>
      <c r="V24" s="390"/>
      <c r="W24" s="390"/>
      <c r="X24" s="390"/>
      <c r="Y24" s="393"/>
    </row>
    <row r="25" spans="2:25" x14ac:dyDescent="0.25">
      <c r="B25" s="614" t="s">
        <v>79</v>
      </c>
      <c r="C25" s="618">
        <v>46041</v>
      </c>
      <c r="D25" s="401"/>
      <c r="E25" s="621"/>
      <c r="F25" s="610"/>
      <c r="G25" s="610"/>
      <c r="H25" s="610"/>
      <c r="I25" s="610"/>
      <c r="J25" s="610"/>
      <c r="K25" s="610"/>
      <c r="L25" s="610"/>
      <c r="M25" s="610"/>
      <c r="N25" s="623"/>
      <c r="O25" s="410"/>
      <c r="P25" s="625"/>
      <c r="Q25" s="611"/>
      <c r="R25" s="611"/>
      <c r="S25" s="611"/>
      <c r="T25" s="611"/>
      <c r="U25" s="611"/>
      <c r="V25" s="611"/>
      <c r="W25" s="611"/>
      <c r="X25" s="611"/>
      <c r="Y25" s="616"/>
    </row>
    <row r="26" spans="2:25" x14ac:dyDescent="0.25">
      <c r="B26" s="378" t="s">
        <v>80</v>
      </c>
      <c r="C26" s="384">
        <v>46042</v>
      </c>
      <c r="D26" s="401"/>
      <c r="E26" s="397"/>
      <c r="F26" s="373"/>
      <c r="G26" s="373"/>
      <c r="H26" s="373"/>
      <c r="I26" s="373"/>
      <c r="J26" s="373"/>
      <c r="K26" s="373"/>
      <c r="L26" s="373"/>
      <c r="M26" s="373"/>
      <c r="N26" s="402"/>
      <c r="O26" s="410"/>
      <c r="P26" s="406"/>
      <c r="Q26" s="389"/>
      <c r="R26" s="389"/>
      <c r="S26" s="389"/>
      <c r="T26" s="389"/>
      <c r="U26" s="389"/>
      <c r="V26" s="389"/>
      <c r="W26" s="389"/>
      <c r="X26" s="389"/>
      <c r="Y26" s="392"/>
    </row>
    <row r="27" spans="2:25" x14ac:dyDescent="0.25">
      <c r="B27" s="378" t="s">
        <v>81</v>
      </c>
      <c r="C27" s="384">
        <v>46043</v>
      </c>
      <c r="D27" s="401"/>
      <c r="E27" s="397"/>
      <c r="F27" s="373"/>
      <c r="G27" s="373"/>
      <c r="H27" s="373"/>
      <c r="I27" s="373"/>
      <c r="J27" s="373"/>
      <c r="K27" s="373"/>
      <c r="L27" s="373"/>
      <c r="M27" s="373"/>
      <c r="N27" s="402"/>
      <c r="O27" s="410"/>
      <c r="P27" s="406"/>
      <c r="Q27" s="389"/>
      <c r="R27" s="389"/>
      <c r="S27" s="389"/>
      <c r="T27" s="389"/>
      <c r="U27" s="389"/>
      <c r="V27" s="389"/>
      <c r="W27" s="389"/>
      <c r="X27" s="389"/>
      <c r="Y27" s="392"/>
    </row>
    <row r="28" spans="2:25" x14ac:dyDescent="0.25">
      <c r="B28" s="378" t="s">
        <v>82</v>
      </c>
      <c r="C28" s="384">
        <v>46044</v>
      </c>
      <c r="D28" s="401"/>
      <c r="E28" s="397"/>
      <c r="F28" s="373"/>
      <c r="G28" s="373"/>
      <c r="H28" s="373"/>
      <c r="I28" s="373"/>
      <c r="J28" s="373"/>
      <c r="K28" s="373"/>
      <c r="L28" s="373"/>
      <c r="M28" s="373"/>
      <c r="N28" s="402"/>
      <c r="O28" s="410"/>
      <c r="P28" s="406"/>
      <c r="Q28" s="389"/>
      <c r="R28" s="389"/>
      <c r="S28" s="389"/>
      <c r="T28" s="389"/>
      <c r="U28" s="389"/>
      <c r="V28" s="389"/>
      <c r="W28" s="389"/>
      <c r="X28" s="389"/>
      <c r="Y28" s="392"/>
    </row>
    <row r="29" spans="2:25" x14ac:dyDescent="0.25">
      <c r="B29" s="378" t="s">
        <v>83</v>
      </c>
      <c r="C29" s="384">
        <v>46045</v>
      </c>
      <c r="D29" s="401"/>
      <c r="E29" s="397"/>
      <c r="F29" s="373"/>
      <c r="G29" s="373"/>
      <c r="H29" s="373"/>
      <c r="I29" s="373"/>
      <c r="J29" s="373"/>
      <c r="K29" s="373"/>
      <c r="L29" s="373"/>
      <c r="M29" s="373"/>
      <c r="N29" s="402"/>
      <c r="O29" s="410"/>
      <c r="P29" s="406"/>
      <c r="Q29" s="389"/>
      <c r="R29" s="389"/>
      <c r="S29" s="389"/>
      <c r="T29" s="389"/>
      <c r="U29" s="389"/>
      <c r="V29" s="389"/>
      <c r="W29" s="389"/>
      <c r="X29" s="389"/>
      <c r="Y29" s="392"/>
    </row>
    <row r="30" spans="2:25" x14ac:dyDescent="0.25">
      <c r="B30" s="378" t="s">
        <v>84</v>
      </c>
      <c r="C30" s="384">
        <v>46046</v>
      </c>
      <c r="D30" s="401"/>
      <c r="E30" s="397"/>
      <c r="F30" s="373"/>
      <c r="G30" s="373"/>
      <c r="H30" s="373"/>
      <c r="I30" s="373"/>
      <c r="J30" s="373"/>
      <c r="K30" s="373"/>
      <c r="L30" s="373"/>
      <c r="M30" s="373"/>
      <c r="N30" s="402"/>
      <c r="O30" s="410"/>
      <c r="P30" s="406"/>
      <c r="Q30" s="389"/>
      <c r="R30" s="389"/>
      <c r="S30" s="389"/>
      <c r="T30" s="389"/>
      <c r="U30" s="389"/>
      <c r="V30" s="389"/>
      <c r="W30" s="389"/>
      <c r="X30" s="389"/>
      <c r="Y30" s="392"/>
    </row>
    <row r="31" spans="2:25" x14ac:dyDescent="0.25">
      <c r="B31" s="615" t="s">
        <v>85</v>
      </c>
      <c r="C31" s="619">
        <v>46047</v>
      </c>
      <c r="D31" s="401"/>
      <c r="E31" s="622"/>
      <c r="F31" s="612"/>
      <c r="G31" s="612"/>
      <c r="H31" s="612"/>
      <c r="I31" s="612"/>
      <c r="J31" s="612"/>
      <c r="K31" s="612"/>
      <c r="L31" s="612"/>
      <c r="M31" s="612"/>
      <c r="N31" s="624"/>
      <c r="O31" s="410"/>
      <c r="P31" s="626"/>
      <c r="Q31" s="613"/>
      <c r="R31" s="613"/>
      <c r="S31" s="613"/>
      <c r="T31" s="613"/>
      <c r="U31" s="613"/>
      <c r="V31" s="613"/>
      <c r="W31" s="613"/>
      <c r="X31" s="613"/>
      <c r="Y31" s="617"/>
    </row>
    <row r="32" spans="2:25" x14ac:dyDescent="0.25">
      <c r="B32" s="380"/>
      <c r="C32" s="386"/>
      <c r="D32" s="401"/>
      <c r="E32" s="399"/>
      <c r="F32" s="375"/>
      <c r="G32" s="375"/>
      <c r="H32" s="375"/>
      <c r="I32" s="375"/>
      <c r="J32" s="375"/>
      <c r="K32" s="375"/>
      <c r="L32" s="375"/>
      <c r="M32" s="375"/>
      <c r="N32" s="404"/>
      <c r="O32" s="410"/>
      <c r="P32" s="408"/>
      <c r="Q32" s="391"/>
      <c r="R32" s="391"/>
      <c r="S32" s="391"/>
      <c r="T32" s="391"/>
      <c r="U32" s="391"/>
      <c r="V32" s="391"/>
      <c r="W32" s="391"/>
      <c r="X32" s="391"/>
      <c r="Y32" s="394"/>
    </row>
    <row r="33" spans="2:25" x14ac:dyDescent="0.25">
      <c r="B33" s="378"/>
      <c r="C33" s="384"/>
      <c r="D33" s="401"/>
      <c r="E33" s="397"/>
      <c r="F33" s="373"/>
      <c r="G33" s="373"/>
      <c r="H33" s="373"/>
      <c r="I33" s="373"/>
      <c r="J33" s="373"/>
      <c r="K33" s="373"/>
      <c r="L33" s="373"/>
      <c r="M33" s="373"/>
      <c r="N33" s="402"/>
      <c r="O33" s="410"/>
      <c r="P33" s="406"/>
      <c r="Q33" s="389"/>
      <c r="R33" s="389"/>
      <c r="S33" s="389"/>
      <c r="T33" s="389"/>
      <c r="U33" s="389"/>
      <c r="V33" s="389"/>
      <c r="W33" s="389"/>
      <c r="X33" s="389"/>
      <c r="Y33" s="392"/>
    </row>
    <row r="34" spans="2:25" x14ac:dyDescent="0.25">
      <c r="B34" s="378"/>
      <c r="C34" s="384"/>
      <c r="D34" s="401"/>
      <c r="E34" s="397"/>
      <c r="F34" s="373"/>
      <c r="G34" s="373"/>
      <c r="H34" s="373"/>
      <c r="I34" s="373"/>
      <c r="J34" s="373"/>
      <c r="K34" s="373"/>
      <c r="L34" s="373"/>
      <c r="M34" s="373"/>
      <c r="N34" s="402"/>
      <c r="O34" s="410"/>
      <c r="P34" s="406"/>
      <c r="Q34" s="389"/>
      <c r="R34" s="389"/>
      <c r="S34" s="389"/>
      <c r="T34" s="389"/>
      <c r="U34" s="389"/>
      <c r="V34" s="389"/>
      <c r="W34" s="389"/>
      <c r="X34" s="389"/>
      <c r="Y34" s="392"/>
    </row>
    <row r="35" spans="2:25" x14ac:dyDescent="0.25">
      <c r="B35" s="378"/>
      <c r="C35" s="384"/>
      <c r="D35" s="401"/>
      <c r="E35" s="397"/>
      <c r="F35" s="373"/>
      <c r="G35" s="373"/>
      <c r="H35" s="373"/>
      <c r="I35" s="373"/>
      <c r="J35" s="373"/>
      <c r="K35" s="373"/>
      <c r="L35" s="373"/>
      <c r="M35" s="373"/>
      <c r="N35" s="402"/>
      <c r="O35" s="410"/>
      <c r="P35" s="406"/>
      <c r="Q35" s="389"/>
      <c r="R35" s="389"/>
      <c r="S35" s="389"/>
      <c r="T35" s="389"/>
      <c r="U35" s="389"/>
      <c r="V35" s="389"/>
      <c r="W35" s="389"/>
      <c r="X35" s="389"/>
      <c r="Y35" s="392"/>
    </row>
    <row r="36" spans="2:25" x14ac:dyDescent="0.25">
      <c r="B36" s="378"/>
      <c r="C36" s="384"/>
      <c r="D36" s="401"/>
      <c r="E36" s="397"/>
      <c r="F36" s="373"/>
      <c r="G36" s="373"/>
      <c r="H36" s="373"/>
      <c r="I36" s="373"/>
      <c r="J36" s="373"/>
      <c r="K36" s="373"/>
      <c r="L36" s="373"/>
      <c r="M36" s="373"/>
      <c r="N36" s="402"/>
      <c r="O36" s="410"/>
      <c r="P36" s="406"/>
      <c r="Q36" s="389"/>
      <c r="R36" s="389"/>
      <c r="S36" s="389"/>
      <c r="T36" s="389"/>
      <c r="U36" s="389"/>
      <c r="V36" s="389"/>
      <c r="W36" s="389"/>
      <c r="X36" s="389"/>
      <c r="Y36" s="392"/>
    </row>
    <row r="37" spans="2:25" x14ac:dyDescent="0.25">
      <c r="B37" s="378"/>
      <c r="C37" s="384"/>
      <c r="D37" s="401"/>
      <c r="E37" s="397"/>
      <c r="F37" s="373"/>
      <c r="G37" s="373"/>
      <c r="H37" s="373"/>
      <c r="I37" s="373"/>
      <c r="J37" s="373"/>
      <c r="K37" s="373"/>
      <c r="L37" s="373"/>
      <c r="M37" s="373"/>
      <c r="N37" s="402"/>
      <c r="O37" s="410"/>
      <c r="P37" s="406"/>
      <c r="Q37" s="389"/>
      <c r="R37" s="389"/>
      <c r="S37" s="389"/>
      <c r="T37" s="389"/>
      <c r="U37" s="389"/>
      <c r="V37" s="389"/>
      <c r="W37" s="389"/>
      <c r="X37" s="389"/>
      <c r="Y37" s="392"/>
    </row>
    <row r="38" spans="2:25" x14ac:dyDescent="0.25">
      <c r="B38" s="379"/>
      <c r="C38" s="385"/>
      <c r="D38" s="401"/>
      <c r="E38" s="398"/>
      <c r="F38" s="374"/>
      <c r="G38" s="374"/>
      <c r="H38" s="374"/>
      <c r="I38" s="374"/>
      <c r="J38" s="374"/>
      <c r="K38" s="374"/>
      <c r="L38" s="374"/>
      <c r="M38" s="374"/>
      <c r="N38" s="403"/>
      <c r="O38" s="410"/>
      <c r="P38" s="407"/>
      <c r="Q38" s="390"/>
      <c r="R38" s="390"/>
      <c r="S38" s="390"/>
      <c r="T38" s="390"/>
      <c r="U38" s="390"/>
      <c r="V38" s="390"/>
      <c r="W38" s="390"/>
      <c r="X38" s="390"/>
      <c r="Y38" s="393"/>
    </row>
    <row r="39" spans="2:25" x14ac:dyDescent="0.25">
      <c r="B39" s="614"/>
      <c r="C39" s="620"/>
      <c r="D39" s="401"/>
      <c r="E39" s="621"/>
      <c r="F39" s="610"/>
      <c r="G39" s="610"/>
      <c r="H39" s="610"/>
      <c r="I39" s="610"/>
      <c r="J39" s="610"/>
      <c r="K39" s="610"/>
      <c r="L39" s="610"/>
      <c r="M39" s="610"/>
      <c r="N39" s="623"/>
      <c r="O39" s="410"/>
      <c r="P39" s="625"/>
      <c r="Q39" s="611"/>
      <c r="R39" s="611"/>
      <c r="S39" s="611"/>
      <c r="T39" s="611"/>
      <c r="U39" s="611"/>
      <c r="V39" s="611"/>
      <c r="W39" s="611"/>
      <c r="X39" s="611"/>
      <c r="Y39" s="616"/>
    </row>
    <row r="40" spans="2:25" x14ac:dyDescent="0.25">
      <c r="B40" s="378"/>
      <c r="C40" s="387"/>
      <c r="D40" s="401"/>
      <c r="E40" s="397"/>
      <c r="F40" s="373"/>
      <c r="G40" s="373"/>
      <c r="H40" s="373"/>
      <c r="I40" s="373"/>
      <c r="J40" s="373"/>
      <c r="K40" s="373"/>
      <c r="L40" s="373"/>
      <c r="M40" s="373"/>
      <c r="N40" s="402"/>
      <c r="O40" s="410"/>
      <c r="P40" s="406"/>
      <c r="Q40" s="389"/>
      <c r="R40" s="389"/>
      <c r="S40" s="389"/>
      <c r="T40" s="389"/>
      <c r="U40" s="389"/>
      <c r="V40" s="389"/>
      <c r="W40" s="389"/>
      <c r="X40" s="389"/>
      <c r="Y40" s="392"/>
    </row>
    <row r="41" spans="2:25" x14ac:dyDescent="0.25">
      <c r="B41" s="378"/>
      <c r="C41" s="387"/>
      <c r="D41" s="401"/>
      <c r="E41" s="397"/>
      <c r="F41" s="373"/>
      <c r="G41" s="373"/>
      <c r="H41" s="373"/>
      <c r="I41" s="373"/>
      <c r="J41" s="373"/>
      <c r="K41" s="373"/>
      <c r="L41" s="373"/>
      <c r="M41" s="373"/>
      <c r="N41" s="402"/>
      <c r="O41" s="410"/>
      <c r="P41" s="406"/>
      <c r="Q41" s="389"/>
      <c r="R41" s="389"/>
      <c r="S41" s="389"/>
      <c r="T41" s="389"/>
      <c r="U41" s="389"/>
      <c r="V41" s="389"/>
      <c r="W41" s="389"/>
      <c r="X41" s="389"/>
      <c r="Y41" s="392"/>
    </row>
    <row r="42" spans="2:25" x14ac:dyDescent="0.25">
      <c r="B42" s="378"/>
      <c r="C42" s="387"/>
      <c r="D42" s="401"/>
      <c r="E42" s="397"/>
      <c r="F42" s="373"/>
      <c r="G42" s="373"/>
      <c r="H42" s="373"/>
      <c r="I42" s="373"/>
      <c r="J42" s="373"/>
      <c r="K42" s="373"/>
      <c r="L42" s="373"/>
      <c r="M42" s="373"/>
      <c r="N42" s="402"/>
      <c r="O42" s="410"/>
      <c r="P42" s="406"/>
      <c r="Q42" s="389"/>
      <c r="R42" s="389"/>
      <c r="S42" s="389"/>
      <c r="T42" s="389"/>
      <c r="U42" s="389"/>
      <c r="V42" s="389"/>
      <c r="W42" s="389"/>
      <c r="X42" s="389"/>
      <c r="Y42" s="392"/>
    </row>
    <row r="43" spans="2:25" x14ac:dyDescent="0.25">
      <c r="B43" s="378"/>
      <c r="C43" s="387"/>
      <c r="D43" s="401"/>
      <c r="E43" s="397"/>
      <c r="F43" s="373"/>
      <c r="G43" s="373"/>
      <c r="H43" s="373"/>
      <c r="I43" s="373"/>
      <c r="J43" s="373"/>
      <c r="K43" s="373"/>
      <c r="L43" s="373"/>
      <c r="M43" s="373"/>
      <c r="N43" s="402"/>
      <c r="O43" s="410"/>
      <c r="P43" s="406"/>
      <c r="Q43" s="389"/>
      <c r="R43" s="389"/>
      <c r="S43" s="389"/>
      <c r="T43" s="389"/>
      <c r="U43" s="389"/>
      <c r="V43" s="389"/>
      <c r="W43" s="389"/>
      <c r="X43" s="389"/>
      <c r="Y43" s="392"/>
    </row>
    <row r="44" spans="2:25" x14ac:dyDescent="0.25">
      <c r="B44" s="378"/>
      <c r="C44" s="387"/>
      <c r="D44" s="401"/>
      <c r="E44" s="397"/>
      <c r="F44" s="373"/>
      <c r="G44" s="373"/>
      <c r="H44" s="373"/>
      <c r="I44" s="373"/>
      <c r="J44" s="373"/>
      <c r="K44" s="373"/>
      <c r="L44" s="373"/>
      <c r="M44" s="373"/>
      <c r="N44" s="402"/>
      <c r="O44" s="410"/>
      <c r="P44" s="406"/>
      <c r="Q44" s="389"/>
      <c r="R44" s="389"/>
      <c r="S44" s="389"/>
      <c r="T44" s="389"/>
      <c r="U44" s="389"/>
      <c r="V44" s="389"/>
      <c r="W44" s="389"/>
      <c r="X44" s="389"/>
      <c r="Y44" s="392"/>
    </row>
    <row r="45" spans="2:25" ht="15.75" thickBot="1" x14ac:dyDescent="0.3">
      <c r="B45" s="381"/>
      <c r="C45" s="388"/>
      <c r="D45" s="401"/>
      <c r="E45" s="400"/>
      <c r="F45" s="376"/>
      <c r="G45" s="376"/>
      <c r="H45" s="376"/>
      <c r="I45" s="376"/>
      <c r="J45" s="376"/>
      <c r="K45" s="376"/>
      <c r="L45" s="376"/>
      <c r="M45" s="376"/>
      <c r="N45" s="405"/>
      <c r="O45" s="410"/>
      <c r="P45" s="409"/>
      <c r="Q45" s="395"/>
      <c r="R45" s="395"/>
      <c r="S45" s="395"/>
      <c r="T45" s="395"/>
      <c r="U45" s="395"/>
      <c r="V45" s="395"/>
      <c r="W45" s="395"/>
      <c r="X45" s="395"/>
      <c r="Y45" s="396"/>
    </row>
    <row r="46" spans="2:25" x14ac:dyDescent="0.25">
      <c r="O46" s="383"/>
    </row>
  </sheetData>
  <mergeCells count="2">
    <mergeCell ref="E2:N3"/>
    <mergeCell ref="P2:Y3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BM52"/>
  <sheetViews>
    <sheetView showZeros="0" topLeftCell="T1" workbookViewId="0">
      <selection activeCell="H56" sqref="H56"/>
    </sheetView>
  </sheetViews>
  <sheetFormatPr baseColWidth="10" defaultRowHeight="15" x14ac:dyDescent="0.25"/>
  <cols>
    <col min="1" max="64" width="6.7109375" style="24" customWidth="1"/>
    <col min="65" max="16384" width="11.42578125" style="24"/>
  </cols>
  <sheetData>
    <row r="1" spans="1:65" ht="15.75" thickBot="1" x14ac:dyDescent="0.3">
      <c r="A1" s="44"/>
      <c r="B1" s="44"/>
      <c r="C1" s="44"/>
      <c r="D1" s="44"/>
      <c r="E1" s="44"/>
      <c r="F1" s="44"/>
      <c r="G1" s="44"/>
      <c r="H1" s="44"/>
      <c r="I1" s="44"/>
      <c r="J1" s="44"/>
      <c r="K1" s="44"/>
      <c r="L1" s="44"/>
      <c r="M1" s="44"/>
      <c r="N1" s="44"/>
      <c r="O1" s="44"/>
      <c r="P1" s="44"/>
      <c r="Q1" s="44"/>
      <c r="R1" s="44"/>
      <c r="S1" s="44"/>
      <c r="T1" s="44"/>
      <c r="U1" s="45">
        <v>0</v>
      </c>
      <c r="V1" s="45">
        <v>0</v>
      </c>
      <c r="W1" s="44"/>
      <c r="X1" s="44"/>
      <c r="Y1" s="44"/>
      <c r="Z1" s="44"/>
      <c r="AA1" s="44"/>
      <c r="AB1" s="44"/>
      <c r="AC1" s="44"/>
      <c r="AD1" s="44"/>
      <c r="AE1" s="44"/>
      <c r="AF1" s="44"/>
      <c r="AG1" s="44"/>
      <c r="AH1" s="44"/>
      <c r="AI1" s="44"/>
      <c r="AJ1" s="44"/>
      <c r="AK1" s="44"/>
      <c r="AL1" s="44"/>
      <c r="AM1" s="44"/>
      <c r="AN1" s="44"/>
      <c r="AO1" s="44"/>
      <c r="AP1" s="44"/>
      <c r="AQ1" s="44"/>
      <c r="AR1" s="44"/>
      <c r="AS1" s="44"/>
      <c r="AT1" s="44"/>
      <c r="AU1" s="44"/>
      <c r="AV1" s="44"/>
      <c r="AW1" s="44"/>
      <c r="AX1" s="44"/>
      <c r="AY1" s="44"/>
      <c r="AZ1" s="44"/>
      <c r="BA1" s="44"/>
      <c r="BB1" s="44"/>
      <c r="BC1" s="44"/>
      <c r="BD1" s="44"/>
      <c r="BE1" s="44"/>
      <c r="BF1" s="44"/>
      <c r="BG1" s="44"/>
      <c r="BH1" s="44"/>
      <c r="BI1" s="44"/>
      <c r="BJ1" s="44"/>
      <c r="BK1" s="44"/>
      <c r="BL1" s="44"/>
    </row>
    <row r="2" spans="1:65" ht="15.75" thickBot="1" x14ac:dyDescent="0.3">
      <c r="A2" s="502"/>
      <c r="B2" s="503"/>
      <c r="C2" s="503"/>
      <c r="D2" s="503"/>
      <c r="E2" s="503"/>
      <c r="F2" s="503"/>
      <c r="G2" s="503"/>
      <c r="H2" s="504" t="s">
        <v>52</v>
      </c>
      <c r="I2" s="504"/>
      <c r="J2" s="504"/>
      <c r="K2" s="504"/>
      <c r="L2" s="504"/>
      <c r="M2" s="504"/>
      <c r="N2" s="504"/>
      <c r="O2" s="504"/>
      <c r="P2" s="504"/>
      <c r="Q2" s="504"/>
      <c r="R2" s="504"/>
      <c r="S2" s="504"/>
      <c r="T2" s="505"/>
      <c r="U2" s="506">
        <v>0</v>
      </c>
      <c r="V2" s="507"/>
      <c r="W2" s="507"/>
      <c r="X2" s="507"/>
      <c r="Y2" s="507"/>
      <c r="Z2" s="507"/>
      <c r="AA2" s="507"/>
      <c r="AB2" s="507"/>
      <c r="AC2" s="507"/>
      <c r="AD2" s="507"/>
      <c r="AE2" s="507"/>
      <c r="AF2" s="507"/>
      <c r="AG2" s="507"/>
      <c r="AH2" s="507"/>
      <c r="AI2" s="507"/>
      <c r="AJ2" s="507"/>
      <c r="AK2" s="507"/>
      <c r="AL2" s="507"/>
      <c r="AM2" s="507"/>
      <c r="AN2" s="507"/>
      <c r="AO2" s="495" t="s">
        <v>53</v>
      </c>
      <c r="AP2" s="496"/>
      <c r="AQ2" s="496"/>
      <c r="AR2" s="496"/>
      <c r="AS2" s="496"/>
      <c r="AT2" s="496"/>
      <c r="AU2" s="496"/>
      <c r="AV2" s="496"/>
      <c r="AW2" s="496"/>
      <c r="AX2" s="496"/>
      <c r="AY2" s="496"/>
      <c r="AZ2" s="496"/>
      <c r="BA2" s="497"/>
      <c r="BB2" s="498"/>
      <c r="BC2" s="499"/>
      <c r="BD2" s="499"/>
      <c r="BE2" s="499"/>
      <c r="BF2" s="499"/>
      <c r="BG2" s="499"/>
      <c r="BH2" s="499"/>
      <c r="BI2" s="499"/>
      <c r="BJ2" s="499"/>
      <c r="BK2" s="499"/>
      <c r="BL2" s="500"/>
    </row>
    <row r="3" spans="1:65" ht="15.75" thickBot="1" x14ac:dyDescent="0.3">
      <c r="A3" s="440">
        <v>1</v>
      </c>
      <c r="B3" s="440"/>
      <c r="C3" s="440">
        <v>2</v>
      </c>
      <c r="D3" s="440"/>
      <c r="E3" s="440">
        <v>3</v>
      </c>
      <c r="F3" s="440"/>
      <c r="G3" s="440">
        <v>4</v>
      </c>
      <c r="H3" s="440"/>
      <c r="I3" s="456">
        <v>5</v>
      </c>
      <c r="J3" s="455"/>
      <c r="K3" s="456">
        <v>6</v>
      </c>
      <c r="L3" s="455"/>
      <c r="M3" s="456">
        <v>7</v>
      </c>
      <c r="N3" s="455"/>
      <c r="O3" s="456">
        <v>8</v>
      </c>
      <c r="P3" s="455"/>
      <c r="Q3" s="456">
        <v>9</v>
      </c>
      <c r="R3" s="455"/>
      <c r="S3" s="456">
        <v>10</v>
      </c>
      <c r="T3" s="458"/>
      <c r="U3" s="501">
        <v>1</v>
      </c>
      <c r="V3" s="455"/>
      <c r="W3" s="456">
        <v>2</v>
      </c>
      <c r="X3" s="455"/>
      <c r="Y3" s="456">
        <v>3</v>
      </c>
      <c r="Z3" s="455"/>
      <c r="AA3" s="456">
        <v>4</v>
      </c>
      <c r="AB3" s="455"/>
      <c r="AC3" s="456">
        <v>5</v>
      </c>
      <c r="AD3" s="455"/>
      <c r="AE3" s="456">
        <v>6</v>
      </c>
      <c r="AF3" s="455"/>
      <c r="AG3" s="456">
        <v>7</v>
      </c>
      <c r="AH3" s="455"/>
      <c r="AI3" s="456">
        <v>8</v>
      </c>
      <c r="AJ3" s="455"/>
      <c r="AK3" s="456">
        <v>9</v>
      </c>
      <c r="AL3" s="455"/>
      <c r="AM3" s="456">
        <v>10</v>
      </c>
      <c r="AN3" s="458"/>
      <c r="AO3" s="511" t="s">
        <v>54</v>
      </c>
      <c r="AP3" s="512"/>
      <c r="AQ3" s="512"/>
      <c r="AR3" s="513"/>
      <c r="AS3" s="511" t="s">
        <v>55</v>
      </c>
      <c r="AT3" s="512"/>
      <c r="AU3" s="512"/>
      <c r="AV3" s="512"/>
      <c r="AW3" s="512"/>
      <c r="AX3" s="512"/>
      <c r="AY3" s="501" t="s">
        <v>56</v>
      </c>
      <c r="AZ3" s="454"/>
      <c r="BA3" s="458"/>
      <c r="BB3" s="508" t="s">
        <v>99</v>
      </c>
      <c r="BC3" s="509"/>
      <c r="BD3" s="509"/>
      <c r="BE3" s="509"/>
      <c r="BF3" s="509"/>
      <c r="BG3" s="509"/>
      <c r="BH3" s="509"/>
      <c r="BI3" s="509"/>
      <c r="BJ3" s="509"/>
      <c r="BK3" s="509"/>
      <c r="BL3" s="510"/>
    </row>
    <row r="4" spans="1:65" ht="12.75" customHeight="1" x14ac:dyDescent="0.25">
      <c r="A4" s="46" t="s">
        <v>57</v>
      </c>
      <c r="B4" s="46" t="s">
        <v>58</v>
      </c>
      <c r="C4" s="46" t="s">
        <v>57</v>
      </c>
      <c r="D4" s="46" t="s">
        <v>58</v>
      </c>
      <c r="E4" s="46" t="s">
        <v>57</v>
      </c>
      <c r="F4" s="46" t="s">
        <v>58</v>
      </c>
      <c r="G4" s="46" t="s">
        <v>57</v>
      </c>
      <c r="H4" s="46" t="s">
        <v>58</v>
      </c>
      <c r="I4" s="46" t="s">
        <v>57</v>
      </c>
      <c r="J4" s="46" t="s">
        <v>58</v>
      </c>
      <c r="K4" s="46" t="s">
        <v>57</v>
      </c>
      <c r="L4" s="46" t="s">
        <v>58</v>
      </c>
      <c r="M4" s="46" t="s">
        <v>57</v>
      </c>
      <c r="N4" s="46" t="s">
        <v>58</v>
      </c>
      <c r="O4" s="46" t="s">
        <v>57</v>
      </c>
      <c r="P4" s="46" t="s">
        <v>58</v>
      </c>
      <c r="Q4" s="46" t="s">
        <v>57</v>
      </c>
      <c r="R4" s="46" t="s">
        <v>58</v>
      </c>
      <c r="S4" s="46" t="s">
        <v>57</v>
      </c>
      <c r="T4" s="47" t="s">
        <v>58</v>
      </c>
      <c r="U4" s="46" t="s">
        <v>57</v>
      </c>
      <c r="V4" s="46" t="s">
        <v>58</v>
      </c>
      <c r="W4" s="46" t="s">
        <v>57</v>
      </c>
      <c r="X4" s="46" t="s">
        <v>58</v>
      </c>
      <c r="Y4" s="46" t="s">
        <v>57</v>
      </c>
      <c r="Z4" s="46" t="s">
        <v>58</v>
      </c>
      <c r="AA4" s="46" t="s">
        <v>57</v>
      </c>
      <c r="AB4" s="46" t="s">
        <v>58</v>
      </c>
      <c r="AC4" s="46" t="s">
        <v>57</v>
      </c>
      <c r="AD4" s="46" t="s">
        <v>58</v>
      </c>
      <c r="AE4" s="46" t="s">
        <v>57</v>
      </c>
      <c r="AF4" s="46" t="s">
        <v>58</v>
      </c>
      <c r="AG4" s="46" t="s">
        <v>57</v>
      </c>
      <c r="AH4" s="46" t="s">
        <v>58</v>
      </c>
      <c r="AI4" s="46" t="s">
        <v>57</v>
      </c>
      <c r="AJ4" s="46" t="s">
        <v>58</v>
      </c>
      <c r="AK4" s="46" t="s">
        <v>57</v>
      </c>
      <c r="AL4" s="46" t="s">
        <v>58</v>
      </c>
      <c r="AM4" s="46" t="s">
        <v>57</v>
      </c>
      <c r="AN4" s="47" t="s">
        <v>58</v>
      </c>
      <c r="AO4" s="48" t="s">
        <v>59</v>
      </c>
      <c r="AP4" s="49" t="s">
        <v>60</v>
      </c>
      <c r="AQ4" s="49" t="s">
        <v>61</v>
      </c>
      <c r="AR4" s="50" t="s">
        <v>62</v>
      </c>
      <c r="AS4" s="51" t="s">
        <v>57</v>
      </c>
      <c r="AT4" s="52" t="s">
        <v>4</v>
      </c>
      <c r="AU4" s="52" t="s">
        <v>63</v>
      </c>
      <c r="AV4" s="52" t="s">
        <v>4</v>
      </c>
      <c r="AW4" s="52" t="s">
        <v>64</v>
      </c>
      <c r="AX4" s="52" t="s">
        <v>58</v>
      </c>
      <c r="AY4" s="51" t="s">
        <v>65</v>
      </c>
      <c r="AZ4" s="52" t="s">
        <v>66</v>
      </c>
      <c r="BA4" s="53" t="s">
        <v>67</v>
      </c>
      <c r="BB4" s="42">
        <v>1</v>
      </c>
      <c r="BC4" s="42">
        <v>2</v>
      </c>
      <c r="BD4" s="42">
        <v>3</v>
      </c>
      <c r="BE4" s="42">
        <v>4</v>
      </c>
      <c r="BF4" s="42">
        <v>5</v>
      </c>
      <c r="BG4" s="42">
        <v>6</v>
      </c>
      <c r="BH4" s="42">
        <v>7</v>
      </c>
      <c r="BI4" s="42">
        <v>8</v>
      </c>
      <c r="BJ4" s="42">
        <v>9</v>
      </c>
      <c r="BK4" s="42">
        <v>10</v>
      </c>
      <c r="BL4" s="54" t="s">
        <v>68</v>
      </c>
      <c r="BM4" s="55" t="s">
        <v>69</v>
      </c>
    </row>
    <row r="5" spans="1:65" x14ac:dyDescent="0.25">
      <c r="A5" s="56">
        <v>0</v>
      </c>
      <c r="B5" s="57">
        <v>0</v>
      </c>
      <c r="C5" s="56">
        <v>0</v>
      </c>
      <c r="D5" s="57">
        <v>0</v>
      </c>
      <c r="E5" s="56">
        <v>0</v>
      </c>
      <c r="F5" s="57">
        <v>0</v>
      </c>
      <c r="G5" s="56">
        <v>0</v>
      </c>
      <c r="H5" s="57">
        <v>0</v>
      </c>
      <c r="I5" s="56">
        <v>0</v>
      </c>
      <c r="J5" s="57">
        <v>0</v>
      </c>
      <c r="K5" s="56">
        <v>0</v>
      </c>
      <c r="L5" s="57">
        <v>0</v>
      </c>
      <c r="M5" s="56">
        <v>0</v>
      </c>
      <c r="N5" s="57">
        <v>0</v>
      </c>
      <c r="O5" s="56">
        <v>0</v>
      </c>
      <c r="P5" s="57">
        <v>0</v>
      </c>
      <c r="Q5" s="56">
        <v>0</v>
      </c>
      <c r="R5" s="57">
        <v>0</v>
      </c>
      <c r="S5" s="56">
        <v>0</v>
      </c>
      <c r="T5" s="57">
        <v>0</v>
      </c>
      <c r="U5" s="58">
        <v>0</v>
      </c>
      <c r="V5" s="57">
        <v>0</v>
      </c>
      <c r="W5" s="56">
        <v>0</v>
      </c>
      <c r="X5" s="57">
        <v>0</v>
      </c>
      <c r="Y5" s="56">
        <v>0</v>
      </c>
      <c r="Z5" s="57">
        <v>0</v>
      </c>
      <c r="AA5" s="56">
        <v>0</v>
      </c>
      <c r="AB5" s="57">
        <v>0</v>
      </c>
      <c r="AC5" s="56">
        <v>0</v>
      </c>
      <c r="AD5" s="57">
        <v>0</v>
      </c>
      <c r="AE5" s="56">
        <v>0</v>
      </c>
      <c r="AF5" s="57">
        <v>0</v>
      </c>
      <c r="AG5" s="56">
        <v>0</v>
      </c>
      <c r="AH5" s="57">
        <v>0</v>
      </c>
      <c r="AI5" s="56">
        <v>0</v>
      </c>
      <c r="AJ5" s="57">
        <v>0</v>
      </c>
      <c r="AK5" s="56">
        <v>0</v>
      </c>
      <c r="AL5" s="57">
        <v>0</v>
      </c>
      <c r="AM5" s="59">
        <v>0</v>
      </c>
      <c r="AN5" s="60">
        <v>0</v>
      </c>
      <c r="AO5" s="61">
        <f t="shared" ref="AO5:AO49" si="0">IF(AND(V5*24&gt;=11,V5*24&lt;=13.5),IF((W5-V5)*24&gt;=1,1,IF(AND(V5*24&gt;=18.5,V5*24&lt;=22),6,0)),0)</f>
        <v>0</v>
      </c>
      <c r="AP5" s="62">
        <f t="shared" ref="AP5:AP49" si="1">IF(AND(X5*24&gt;=11,X5*24&lt;=13.5),IF((Y5-X5)*24&gt;=1,1,IF(AND(X5*24&gt;=18.5,X5*24&lt;=22),6,0)),0)</f>
        <v>0</v>
      </c>
      <c r="AQ5" s="62">
        <f t="shared" ref="AQ5:AQ49" si="2">IF(AND(Z5*24&gt;=11,Z5*24&lt;=13.5),IF((AA5-Z5)*24&gt;=1,1,IF(AND(Z5*24&gt;=18.5,Z5*24&lt;=22),6,0)),IF(BM5&lt;&gt;"",IF(BM6&lt;&gt;"",IF(AND(AV5*24=24,AS6*24=0,BM5+1=BM6),26,0),0),0))</f>
        <v>0</v>
      </c>
      <c r="AR5" s="63">
        <f t="shared" ref="AR5:AR49" si="3">IF(AND(AB5*24&gt;=11,AB5*24&lt;=13.5),IF((AM5-AB5)*24&gt;=1,1,IF(AND(AB5*24&gt;=18.5,AB5*24&lt;=22),6,0)),IF(BM5&lt;&gt;"",IF(BM6&lt;&gt;"",IF(AND(AX5*24=24,AS6*24=0,BM5+1=BM6),26,0),0),0))</f>
        <v>0</v>
      </c>
      <c r="AS5" s="64">
        <f t="shared" ref="AS5:AS49" si="4">IF(U5*24&gt;11,0,U5)</f>
        <v>0</v>
      </c>
      <c r="AT5" s="65">
        <f t="shared" ref="AT5:AT49" si="5">IF(AS5&gt;0,IF(AND(W5&gt;0,(W5*24)-(V5*24)&gt;=11),V5,IF(OR(AND(W5&gt;0,V5*24&lt;14.5,W5*24&gt;=11),W5=0),V5,IF(AND(W5&gt;0,W5*24&gt;=11,X5*24&lt;=15),V5,IF(AND(Y5*24&gt;=10,(Y5*24)-(X5*24)&gt;=1),X5,IF(AND(Y5&gt;0,Y5*24&gt;=11,Z5*24&gt;14.5),X5,IF(AND(Z5&gt;0,Z5*24&lt;=15),Z5,AA5)))))),0)</f>
        <v>0</v>
      </c>
      <c r="AU5" s="65">
        <f t="shared" ref="AU5:AU49" si="6">IF(U5&gt;0,IF(AS5&gt;0,IF(AND(AN5&gt;0,AN5=AT5),0,IF(AND(AB5&gt;0,AB5=AT5),AM5,IF(AND(Z5&gt;0,Z5=AT5),AA5,IF(AND(X5&gt;0,X5=AT5),Y5,W5)))),U5),0)</f>
        <v>0</v>
      </c>
      <c r="AV5" s="65">
        <f t="shared" ref="AV5:AV49" si="7">IF(AU5&gt;0,IF(AND(AM5&gt;0,AM5=AU5),AN5,IF(AND(AA5&gt;0,OR(AA5*24&lt;=18.5,AN5*24&gt;18.5,AND(AB5&lt;=18.5,AN5=0))),AB5,IF(AND(Y5&gt;0,OR(Y5*24&lt;=18.5,AB5*24&gt;18.5,AND(Z5&lt;=18.5,AB5=0))),Z5,IF(AND(W5&gt;0,OR(W5=AU5,AND(X5*24&lt;=18.5,Z5=0))),X5,V5)))),0)</f>
        <v>0</v>
      </c>
      <c r="AW5" s="65">
        <f t="shared" ref="AW5:AW49" si="8">IF(U5&gt;0,IF(OR(AS5&gt;0,AU5&gt;0),IF(AND(AN5&gt;0,OR(AN5=AT5,AN5=AV5)),0,IF(AND(AB5&gt;0,OR(AB5=AT5,AB5=AV5)),AM5,IF(AND(Z5&gt;0,OR(Z5=AT5,Z5=AV5)),AA5,IF(AND(X5&gt;0,OR(X5=AT5,X5=AV5)),Y5,W5)))),U5),0)</f>
        <v>0</v>
      </c>
      <c r="AX5" s="65">
        <f t="shared" ref="AX5:AX49" si="9">IF(AW5&gt;0,IF(AND(AN5&gt;0, AN5*24&gt;18.5),AN5,IF(AND(AB5&gt;0,AB5*24&gt;18.5),AB5,IF(AND(Z5&gt;0,Z5*24&gt;18.5),Z5,IF(AND(X5&gt;0,X5*24&gt;18.5),X5,V5)))),0)</f>
        <v>0</v>
      </c>
      <c r="AY5" s="61">
        <f t="shared" ref="AY5:AY49" si="10">IF(AND(AS5&gt;0,AS5*24&lt;5),1,0)+IF(SUM(AO5:AR5)&gt;=26,0,IF(OR(AND(AV5*24&lt;18.5,AW5*24&gt;18.5,AX5*24&gt;=21,AX5*24&lt;24,ROUND((AW5-AV5)*24,3)&lt;=11),AND(AT5*24&lt;11,AU5*24&gt;18.5,AV5*24&gt;=21,AV5*24&lt;24,ROUND((AU5-AT5)*24,3)&lt;=11)),1,IF(AND(OR(AND(AT5*24&gt;=21,AS5*24&gt;18.5),AND(AV5*24&gt;=21,AU5*24&gt;18.5),AND(AX5*24&gt;=21,AW5*24&gt;18.5),AND(AS5*24&gt;18.5,AT5*24&gt;=21),AND(AT5*24&lt;11,AU5*24&gt;18.5,AV5*24&gt;=21,AV5*24&lt;24),AND(AV5*24&lt;18.5,AW5*24&gt;18.5,AX5*24&gt;=21,AX5*24&lt;24)),OR(AND(AW5&gt;0,ROUND((AW5-AV5)*24,3)&lt;=11),AND(AU5&gt;0,ROUND((AU5-AT5)*24,3)&lt;=11))),1,IF(AND(OR(AND(AV5*24&gt;=21,AU5*24&gt;18.5),AND(OR(AT5*24&lt;18.5,AT5=0),AU5*24&gt;18.5,AV5*24&gt;=21,AV5*24&lt;24)),IF(AT5&gt;0,AND(AU5&gt;0,ROUND((AU5-AT5)*24,3)&lt;=11),TRUE)),1,0))))</f>
        <v>0</v>
      </c>
      <c r="AZ5" s="66">
        <f t="shared" ref="AZ5:AZ49" si="11">IF(AT5&gt;0,IF(AND(AU5&gt;0,ROUND((AU5*24)-(AT5*24),3)&gt;=1,AT5*24&gt;13.5,AT5*24&lt;=14),1,0),0)+IF(AV5&gt;0,IF(AND(AW5&gt;0,ROUND((AW5*24)-(AV5*24),3)&gt;=1,AV5*24&gt;21.5,AV5*24&lt;=22),1,0),0)</f>
        <v>0</v>
      </c>
      <c r="BA5" s="63">
        <f t="shared" ref="BA5:BA49" si="12">IF(AND(AS5&gt;0,AT5&gt;0,AU5&gt;0),IF(AND(AU5*24&gt;11,AT5*24&lt;=14,ROUND((AU5*24)-(AT5*24),3)&gt;=1),0,IF(AND(SUM(AO5:AR5)&gt;0,SUM(AO5:AR5)&lt;6),0,1)),IF(OR(AND(AS5&gt;0,AT5*24&lt;=14.5),AS5*AT5=0),0,IF(AND(SUM(AO5:AR5)&gt;0,SUM(AO5:AR5)&lt;6),0,1)))+IF(AND(AU5&gt;0,AV5&gt;0,AW5=0),IF(AND(AU5*24&lt;=18.5,AV5*24&gt;=22),1,0),IF(AND(AV5&gt;0,AW5&gt;0,AX5&gt;0),IF(OR(AW5*24&gt;18.5,AX5*24&lt;22,ROUND(AW5*24,3)-18.5&gt;=1,ROUND(AX5*24,3)-22&gt;=1),0,IF(AND(SUM(AO5:AR5)&gt;4,SUM(AO5:AR5)&lt;26),0,1)),IF(OR(AND(AV5&gt;0,AW5*24&lt;=22),AV5*AW5=0),0,IF(AND(SUM(AO5:AR5)&gt;4,SUM(AO5:AR5)&lt;26),0,1))))</f>
        <v>0</v>
      </c>
      <c r="BB5" s="67">
        <f>V5 - U5</f>
        <v>0</v>
      </c>
      <c r="BC5" s="68">
        <f>X5 - W5</f>
        <v>0</v>
      </c>
      <c r="BD5" s="68">
        <f>Z5 - Y5</f>
        <v>0</v>
      </c>
      <c r="BE5" s="68">
        <f>AB5 - AA5</f>
        <v>0</v>
      </c>
      <c r="BF5" s="68">
        <f>AD5 - AC5</f>
        <v>0</v>
      </c>
      <c r="BG5" s="68">
        <f>AF5 - AE5</f>
        <v>0</v>
      </c>
      <c r="BH5" s="68">
        <f>AH5 - AG5</f>
        <v>0</v>
      </c>
      <c r="BI5" s="68">
        <f>AJ5 - AI5</f>
        <v>0</v>
      </c>
      <c r="BJ5" s="68">
        <f>AL5 - AK5</f>
        <v>0</v>
      </c>
      <c r="BK5" s="69">
        <f>AN5 - AM5</f>
        <v>0</v>
      </c>
      <c r="BL5" s="70">
        <f>ROUNDUP(SUM(BB5:BK5) * 288, 0) / 288</f>
        <v>0</v>
      </c>
      <c r="BM5" s="71">
        <v>0</v>
      </c>
    </row>
    <row r="6" spans="1:65" x14ac:dyDescent="0.25">
      <c r="A6" s="72">
        <v>0</v>
      </c>
      <c r="B6" s="73">
        <v>0</v>
      </c>
      <c r="C6" s="72">
        <v>0</v>
      </c>
      <c r="D6" s="73">
        <v>0</v>
      </c>
      <c r="E6" s="72">
        <v>0</v>
      </c>
      <c r="F6" s="73">
        <v>0</v>
      </c>
      <c r="G6" s="72">
        <v>0</v>
      </c>
      <c r="H6" s="73">
        <v>0</v>
      </c>
      <c r="I6" s="72">
        <v>0</v>
      </c>
      <c r="J6" s="73">
        <v>0</v>
      </c>
      <c r="K6" s="72">
        <v>0</v>
      </c>
      <c r="L6" s="73">
        <v>0</v>
      </c>
      <c r="M6" s="72">
        <v>0</v>
      </c>
      <c r="N6" s="73">
        <v>0</v>
      </c>
      <c r="O6" s="72">
        <v>0</v>
      </c>
      <c r="P6" s="73">
        <v>0</v>
      </c>
      <c r="Q6" s="72">
        <v>0</v>
      </c>
      <c r="R6" s="73">
        <v>0</v>
      </c>
      <c r="S6" s="72">
        <v>0</v>
      </c>
      <c r="T6" s="73">
        <v>0</v>
      </c>
      <c r="U6" s="74">
        <v>0</v>
      </c>
      <c r="V6" s="73">
        <v>0</v>
      </c>
      <c r="W6" s="72">
        <v>0</v>
      </c>
      <c r="X6" s="73">
        <v>0</v>
      </c>
      <c r="Y6" s="72">
        <v>0</v>
      </c>
      <c r="Z6" s="73">
        <v>0</v>
      </c>
      <c r="AA6" s="72">
        <v>0</v>
      </c>
      <c r="AB6" s="73">
        <v>0</v>
      </c>
      <c r="AC6" s="75">
        <v>0</v>
      </c>
      <c r="AD6" s="73">
        <v>0</v>
      </c>
      <c r="AE6" s="75">
        <v>0</v>
      </c>
      <c r="AF6" s="73">
        <v>0</v>
      </c>
      <c r="AG6" s="75">
        <v>0</v>
      </c>
      <c r="AH6" s="73">
        <v>0</v>
      </c>
      <c r="AI6" s="75">
        <v>0</v>
      </c>
      <c r="AJ6" s="73">
        <v>0</v>
      </c>
      <c r="AK6" s="75">
        <v>0</v>
      </c>
      <c r="AL6" s="73">
        <v>0</v>
      </c>
      <c r="AM6" s="72">
        <v>0</v>
      </c>
      <c r="AN6" s="76">
        <v>0</v>
      </c>
      <c r="AO6" s="77">
        <f t="shared" si="0"/>
        <v>0</v>
      </c>
      <c r="AP6" s="78">
        <f t="shared" si="1"/>
        <v>0</v>
      </c>
      <c r="AQ6" s="78">
        <f t="shared" si="2"/>
        <v>0</v>
      </c>
      <c r="AR6" s="79">
        <f t="shared" si="3"/>
        <v>0</v>
      </c>
      <c r="AS6" s="80">
        <f t="shared" si="4"/>
        <v>0</v>
      </c>
      <c r="AT6" s="81">
        <f t="shared" si="5"/>
        <v>0</v>
      </c>
      <c r="AU6" s="81">
        <f t="shared" si="6"/>
        <v>0</v>
      </c>
      <c r="AV6" s="81">
        <f t="shared" si="7"/>
        <v>0</v>
      </c>
      <c r="AW6" s="81">
        <f t="shared" si="8"/>
        <v>0</v>
      </c>
      <c r="AX6" s="81">
        <f t="shared" si="9"/>
        <v>0</v>
      </c>
      <c r="AY6" s="77">
        <f t="shared" si="10"/>
        <v>0</v>
      </c>
      <c r="AZ6" s="82">
        <f t="shared" si="11"/>
        <v>0</v>
      </c>
      <c r="BA6" s="79">
        <f t="shared" si="12"/>
        <v>0</v>
      </c>
      <c r="BB6" s="80">
        <f>V6 - U6</f>
        <v>0</v>
      </c>
      <c r="BC6" s="83">
        <f>X6 - W6</f>
        <v>0</v>
      </c>
      <c r="BD6" s="83">
        <f>Z6 - Y6</f>
        <v>0</v>
      </c>
      <c r="BE6" s="83">
        <f>AB6 - AA6</f>
        <v>0</v>
      </c>
      <c r="BF6" s="83">
        <f>AD6 - AC6</f>
        <v>0</v>
      </c>
      <c r="BG6" s="83">
        <f>AF6 - AE6</f>
        <v>0</v>
      </c>
      <c r="BH6" s="83">
        <f>AH6 - AG6</f>
        <v>0</v>
      </c>
      <c r="BI6" s="83">
        <f>AJ6 - AI6</f>
        <v>0</v>
      </c>
      <c r="BJ6" s="83">
        <f>AL6 - AK6</f>
        <v>0</v>
      </c>
      <c r="BK6" s="83">
        <f>AN6 - AM6</f>
        <v>0</v>
      </c>
      <c r="BL6" s="84">
        <f>ROUNDUP(SUM(BB6:BK6) * 288, 0) / 288</f>
        <v>0</v>
      </c>
      <c r="BM6" s="71">
        <v>0</v>
      </c>
    </row>
    <row r="7" spans="1:65" x14ac:dyDescent="0.25">
      <c r="A7" s="72">
        <v>0</v>
      </c>
      <c r="B7" s="73">
        <v>0</v>
      </c>
      <c r="C7" s="72">
        <v>0</v>
      </c>
      <c r="D7" s="73">
        <v>0</v>
      </c>
      <c r="E7" s="72">
        <v>0</v>
      </c>
      <c r="F7" s="73">
        <v>0</v>
      </c>
      <c r="G7" s="72">
        <v>0</v>
      </c>
      <c r="H7" s="73">
        <v>0</v>
      </c>
      <c r="I7" s="72">
        <v>0</v>
      </c>
      <c r="J7" s="73">
        <v>0</v>
      </c>
      <c r="K7" s="72">
        <v>0</v>
      </c>
      <c r="L7" s="73">
        <v>0</v>
      </c>
      <c r="M7" s="72">
        <v>0</v>
      </c>
      <c r="N7" s="73">
        <v>0</v>
      </c>
      <c r="O7" s="72">
        <v>0</v>
      </c>
      <c r="P7" s="73">
        <v>0</v>
      </c>
      <c r="Q7" s="72">
        <v>0</v>
      </c>
      <c r="R7" s="73">
        <v>0</v>
      </c>
      <c r="S7" s="72">
        <v>0</v>
      </c>
      <c r="T7" s="73">
        <v>0</v>
      </c>
      <c r="U7" s="74">
        <v>0</v>
      </c>
      <c r="V7" s="73">
        <v>0</v>
      </c>
      <c r="W7" s="72">
        <v>0</v>
      </c>
      <c r="X7" s="73">
        <v>0</v>
      </c>
      <c r="Y7" s="72">
        <v>0</v>
      </c>
      <c r="Z7" s="73">
        <v>0</v>
      </c>
      <c r="AA7" s="72">
        <v>0</v>
      </c>
      <c r="AB7" s="73">
        <v>0</v>
      </c>
      <c r="AC7" s="75">
        <v>0</v>
      </c>
      <c r="AD7" s="73">
        <v>0</v>
      </c>
      <c r="AE7" s="75">
        <v>0</v>
      </c>
      <c r="AF7" s="73">
        <v>0</v>
      </c>
      <c r="AG7" s="75">
        <v>0</v>
      </c>
      <c r="AH7" s="73">
        <v>0</v>
      </c>
      <c r="AI7" s="75">
        <v>0</v>
      </c>
      <c r="AJ7" s="73">
        <v>0</v>
      </c>
      <c r="AK7" s="75">
        <v>0</v>
      </c>
      <c r="AL7" s="73">
        <v>0</v>
      </c>
      <c r="AM7" s="72">
        <v>0</v>
      </c>
      <c r="AN7" s="76">
        <v>0</v>
      </c>
      <c r="AO7" s="77">
        <f t="shared" si="0"/>
        <v>0</v>
      </c>
      <c r="AP7" s="78">
        <f t="shared" si="1"/>
        <v>0</v>
      </c>
      <c r="AQ7" s="78">
        <f t="shared" si="2"/>
        <v>0</v>
      </c>
      <c r="AR7" s="79">
        <f t="shared" si="3"/>
        <v>0</v>
      </c>
      <c r="AS7" s="80">
        <f t="shared" si="4"/>
        <v>0</v>
      </c>
      <c r="AT7" s="81">
        <f t="shared" si="5"/>
        <v>0</v>
      </c>
      <c r="AU7" s="81">
        <f t="shared" si="6"/>
        <v>0</v>
      </c>
      <c r="AV7" s="81">
        <f t="shared" si="7"/>
        <v>0</v>
      </c>
      <c r="AW7" s="81">
        <f t="shared" si="8"/>
        <v>0</v>
      </c>
      <c r="AX7" s="81">
        <f t="shared" si="9"/>
        <v>0</v>
      </c>
      <c r="AY7" s="77">
        <f t="shared" si="10"/>
        <v>0</v>
      </c>
      <c r="AZ7" s="82">
        <f t="shared" si="11"/>
        <v>0</v>
      </c>
      <c r="BA7" s="79">
        <f t="shared" si="12"/>
        <v>0</v>
      </c>
      <c r="BB7" s="80">
        <f>V7 - U7</f>
        <v>0</v>
      </c>
      <c r="BC7" s="83">
        <f>X7 - W7</f>
        <v>0</v>
      </c>
      <c r="BD7" s="83">
        <f>Z7 - Y7</f>
        <v>0</v>
      </c>
      <c r="BE7" s="83">
        <f>AB7 - AA7</f>
        <v>0</v>
      </c>
      <c r="BF7" s="83">
        <f>AD7 - AC7</f>
        <v>0</v>
      </c>
      <c r="BG7" s="83">
        <f>AF7 - AE7</f>
        <v>0</v>
      </c>
      <c r="BH7" s="83">
        <f>AH7 - AG7</f>
        <v>0</v>
      </c>
      <c r="BI7" s="83">
        <f>AJ7 - AI7</f>
        <v>0</v>
      </c>
      <c r="BJ7" s="83">
        <f>AL7 - AK7</f>
        <v>0</v>
      </c>
      <c r="BK7" s="83">
        <f>AN7 - AM7</f>
        <v>0</v>
      </c>
      <c r="BL7" s="84">
        <f>ROUNDUP(SUM(BB7:BK7) * 288, 0) / 288</f>
        <v>0</v>
      </c>
      <c r="BM7" s="71">
        <v>0</v>
      </c>
    </row>
    <row r="8" spans="1:65" x14ac:dyDescent="0.25">
      <c r="A8" s="72">
        <v>0</v>
      </c>
      <c r="B8" s="73">
        <v>0</v>
      </c>
      <c r="C8" s="72">
        <v>0</v>
      </c>
      <c r="D8" s="73">
        <v>0</v>
      </c>
      <c r="E8" s="72">
        <v>0</v>
      </c>
      <c r="F8" s="73">
        <v>0</v>
      </c>
      <c r="G8" s="72">
        <v>0</v>
      </c>
      <c r="H8" s="73">
        <v>0</v>
      </c>
      <c r="I8" s="72">
        <v>0</v>
      </c>
      <c r="J8" s="73">
        <v>0</v>
      </c>
      <c r="K8" s="72">
        <v>0</v>
      </c>
      <c r="L8" s="73">
        <v>0</v>
      </c>
      <c r="M8" s="72">
        <v>0</v>
      </c>
      <c r="N8" s="73">
        <v>0</v>
      </c>
      <c r="O8" s="72">
        <v>0</v>
      </c>
      <c r="P8" s="73">
        <v>0</v>
      </c>
      <c r="Q8" s="72">
        <v>0</v>
      </c>
      <c r="R8" s="73">
        <v>0</v>
      </c>
      <c r="S8" s="72">
        <v>0</v>
      </c>
      <c r="T8" s="73">
        <v>0</v>
      </c>
      <c r="U8" s="74">
        <v>0</v>
      </c>
      <c r="V8" s="73">
        <v>0</v>
      </c>
      <c r="W8" s="72">
        <v>0</v>
      </c>
      <c r="X8" s="73">
        <v>0</v>
      </c>
      <c r="Y8" s="72">
        <v>0</v>
      </c>
      <c r="Z8" s="73">
        <v>0</v>
      </c>
      <c r="AA8" s="72">
        <v>0</v>
      </c>
      <c r="AB8" s="73">
        <v>0</v>
      </c>
      <c r="AC8" s="75">
        <v>0</v>
      </c>
      <c r="AD8" s="73">
        <v>0</v>
      </c>
      <c r="AE8" s="75">
        <v>0</v>
      </c>
      <c r="AF8" s="73">
        <v>0</v>
      </c>
      <c r="AG8" s="75">
        <v>0</v>
      </c>
      <c r="AH8" s="73">
        <v>0</v>
      </c>
      <c r="AI8" s="75">
        <v>0</v>
      </c>
      <c r="AJ8" s="73">
        <v>0</v>
      </c>
      <c r="AK8" s="75">
        <v>0</v>
      </c>
      <c r="AL8" s="73">
        <v>0</v>
      </c>
      <c r="AM8" s="72">
        <v>0</v>
      </c>
      <c r="AN8" s="76">
        <v>0</v>
      </c>
      <c r="AO8" s="77">
        <f t="shared" si="0"/>
        <v>0</v>
      </c>
      <c r="AP8" s="78">
        <f t="shared" si="1"/>
        <v>0</v>
      </c>
      <c r="AQ8" s="78">
        <f t="shared" si="2"/>
        <v>0</v>
      </c>
      <c r="AR8" s="79">
        <f t="shared" si="3"/>
        <v>0</v>
      </c>
      <c r="AS8" s="80">
        <f t="shared" si="4"/>
        <v>0</v>
      </c>
      <c r="AT8" s="81">
        <f t="shared" si="5"/>
        <v>0</v>
      </c>
      <c r="AU8" s="81">
        <f t="shared" si="6"/>
        <v>0</v>
      </c>
      <c r="AV8" s="81">
        <f t="shared" si="7"/>
        <v>0</v>
      </c>
      <c r="AW8" s="81">
        <f t="shared" si="8"/>
        <v>0</v>
      </c>
      <c r="AX8" s="81">
        <f t="shared" si="9"/>
        <v>0</v>
      </c>
      <c r="AY8" s="77">
        <f t="shared" si="10"/>
        <v>0</v>
      </c>
      <c r="AZ8" s="82">
        <f t="shared" si="11"/>
        <v>0</v>
      </c>
      <c r="BA8" s="79">
        <f t="shared" si="12"/>
        <v>0</v>
      </c>
      <c r="BB8" s="80">
        <f>V8 - U8</f>
        <v>0</v>
      </c>
      <c r="BC8" s="83">
        <f>X8 - W8</f>
        <v>0</v>
      </c>
      <c r="BD8" s="83">
        <f>Z8 - Y8</f>
        <v>0</v>
      </c>
      <c r="BE8" s="83">
        <f>AB8 - AA8</f>
        <v>0</v>
      </c>
      <c r="BF8" s="83">
        <f>AD8 - AC8</f>
        <v>0</v>
      </c>
      <c r="BG8" s="83">
        <f>AF8 - AE8</f>
        <v>0</v>
      </c>
      <c r="BH8" s="83">
        <f>AH8 - AG8</f>
        <v>0</v>
      </c>
      <c r="BI8" s="83">
        <f>AJ8 - AI8</f>
        <v>0</v>
      </c>
      <c r="BJ8" s="83">
        <f>AL8 - AK8</f>
        <v>0</v>
      </c>
      <c r="BK8" s="83">
        <f>AN8 - AM8</f>
        <v>0</v>
      </c>
      <c r="BL8" s="84">
        <f>ROUNDUP(SUM(BB8:BK8) * 288, 0) / 288</f>
        <v>0</v>
      </c>
      <c r="BM8" s="71">
        <v>0</v>
      </c>
    </row>
    <row r="9" spans="1:65" x14ac:dyDescent="0.25">
      <c r="A9" s="72">
        <v>0.41666666666666669</v>
      </c>
      <c r="B9" s="73">
        <v>0.52916666666666667</v>
      </c>
      <c r="C9" s="72">
        <v>0</v>
      </c>
      <c r="D9" s="73">
        <v>0</v>
      </c>
      <c r="E9" s="72">
        <v>0</v>
      </c>
      <c r="F9" s="73">
        <v>0</v>
      </c>
      <c r="G9" s="72">
        <v>0</v>
      </c>
      <c r="H9" s="73">
        <v>0</v>
      </c>
      <c r="I9" s="72">
        <v>0</v>
      </c>
      <c r="J9" s="73">
        <v>0</v>
      </c>
      <c r="K9" s="72">
        <v>0</v>
      </c>
      <c r="L9" s="73">
        <v>0</v>
      </c>
      <c r="M9" s="72">
        <v>0</v>
      </c>
      <c r="N9" s="73">
        <v>0</v>
      </c>
      <c r="O9" s="72">
        <v>0</v>
      </c>
      <c r="P9" s="73">
        <v>0</v>
      </c>
      <c r="Q9" s="72">
        <v>0</v>
      </c>
      <c r="R9" s="73">
        <v>0</v>
      </c>
      <c r="S9" s="72">
        <v>0</v>
      </c>
      <c r="T9" s="73">
        <v>0</v>
      </c>
      <c r="U9" s="74">
        <v>0.41666666666666669</v>
      </c>
      <c r="V9" s="73">
        <v>0.52916666666666667</v>
      </c>
      <c r="W9" s="72"/>
      <c r="X9" s="73"/>
      <c r="Y9" s="72"/>
      <c r="Z9" s="73"/>
      <c r="AA9" s="72"/>
      <c r="AB9" s="73"/>
      <c r="AC9" s="75"/>
      <c r="AD9" s="73"/>
      <c r="AE9" s="75"/>
      <c r="AF9" s="73"/>
      <c r="AG9" s="75"/>
      <c r="AH9" s="73"/>
      <c r="AI9" s="75"/>
      <c r="AJ9" s="73"/>
      <c r="AK9" s="75"/>
      <c r="AL9" s="73"/>
      <c r="AM9" s="72"/>
      <c r="AN9" s="76"/>
      <c r="AO9" s="77">
        <f t="shared" si="0"/>
        <v>0</v>
      </c>
      <c r="AP9" s="78">
        <f t="shared" si="1"/>
        <v>0</v>
      </c>
      <c r="AQ9" s="78">
        <f t="shared" si="2"/>
        <v>0</v>
      </c>
      <c r="AR9" s="79">
        <f t="shared" si="3"/>
        <v>0</v>
      </c>
      <c r="AS9" s="80">
        <f t="shared" si="4"/>
        <v>0.41666666666666669</v>
      </c>
      <c r="AT9" s="81">
        <f t="shared" si="5"/>
        <v>0.52916666666666667</v>
      </c>
      <c r="AU9" s="81">
        <f t="shared" si="6"/>
        <v>0</v>
      </c>
      <c r="AV9" s="81">
        <f t="shared" si="7"/>
        <v>0</v>
      </c>
      <c r="AW9" s="81">
        <f t="shared" si="8"/>
        <v>0</v>
      </c>
      <c r="AX9" s="81">
        <f t="shared" si="9"/>
        <v>0</v>
      </c>
      <c r="AY9" s="77">
        <f t="shared" si="10"/>
        <v>0</v>
      </c>
      <c r="AZ9" s="82">
        <f t="shared" si="11"/>
        <v>0</v>
      </c>
      <c r="BA9" s="79">
        <f t="shared" si="12"/>
        <v>0</v>
      </c>
      <c r="BB9" s="80">
        <f>V9 - U9</f>
        <v>0.11249999999999999</v>
      </c>
      <c r="BC9" s="83">
        <f>X9 - W9</f>
        <v>0</v>
      </c>
      <c r="BD9" s="83">
        <f>Z9 - Y9</f>
        <v>0</v>
      </c>
      <c r="BE9" s="83">
        <f>AB9 - AA9</f>
        <v>0</v>
      </c>
      <c r="BF9" s="83">
        <f>AD9 - AC9</f>
        <v>0</v>
      </c>
      <c r="BG9" s="83">
        <f>AF9 - AE9</f>
        <v>0</v>
      </c>
      <c r="BH9" s="83">
        <f>AH9 - AG9</f>
        <v>0</v>
      </c>
      <c r="BI9" s="83">
        <f>AJ9 - AI9</f>
        <v>0</v>
      </c>
      <c r="BJ9" s="83">
        <f>AL9 - AK9</f>
        <v>0</v>
      </c>
      <c r="BK9" s="83">
        <f>AN9 - AM9</f>
        <v>0</v>
      </c>
      <c r="BL9" s="84">
        <f>ROUNDUP(SUM(BB9:BK9) * 288, 0) / 288</f>
        <v>0.11458333333333333</v>
      </c>
      <c r="BM9" s="71">
        <v>46024</v>
      </c>
    </row>
    <row r="10" spans="1:65" x14ac:dyDescent="0.25">
      <c r="A10" s="72">
        <v>0</v>
      </c>
      <c r="B10" s="73">
        <v>0</v>
      </c>
      <c r="C10" s="72">
        <v>0</v>
      </c>
      <c r="D10" s="73">
        <v>0</v>
      </c>
      <c r="E10" s="72">
        <v>0</v>
      </c>
      <c r="F10" s="73">
        <v>0</v>
      </c>
      <c r="G10" s="72">
        <v>0</v>
      </c>
      <c r="H10" s="73">
        <v>0</v>
      </c>
      <c r="I10" s="72">
        <v>0</v>
      </c>
      <c r="J10" s="73">
        <v>0</v>
      </c>
      <c r="K10" s="72">
        <v>0</v>
      </c>
      <c r="L10" s="73">
        <v>0</v>
      </c>
      <c r="M10" s="72">
        <v>0</v>
      </c>
      <c r="N10" s="73">
        <v>0</v>
      </c>
      <c r="O10" s="72">
        <v>0</v>
      </c>
      <c r="P10" s="73">
        <v>0</v>
      </c>
      <c r="Q10" s="72">
        <v>0</v>
      </c>
      <c r="R10" s="73">
        <v>0</v>
      </c>
      <c r="S10" s="72">
        <v>0</v>
      </c>
      <c r="T10" s="73">
        <v>0</v>
      </c>
      <c r="U10" s="74">
        <v>0</v>
      </c>
      <c r="V10" s="73">
        <v>0</v>
      </c>
      <c r="W10" s="72">
        <v>0</v>
      </c>
      <c r="X10" s="73">
        <v>0</v>
      </c>
      <c r="Y10" s="72">
        <v>0</v>
      </c>
      <c r="Z10" s="73">
        <v>0</v>
      </c>
      <c r="AA10" s="72">
        <v>0</v>
      </c>
      <c r="AB10" s="73">
        <v>0</v>
      </c>
      <c r="AC10" s="75">
        <v>0</v>
      </c>
      <c r="AD10" s="73">
        <v>0</v>
      </c>
      <c r="AE10" s="75">
        <v>0</v>
      </c>
      <c r="AF10" s="73">
        <v>0</v>
      </c>
      <c r="AG10" s="75">
        <v>0</v>
      </c>
      <c r="AH10" s="73">
        <v>0</v>
      </c>
      <c r="AI10" s="75">
        <v>0</v>
      </c>
      <c r="AJ10" s="73">
        <v>0</v>
      </c>
      <c r="AK10" s="75">
        <v>0</v>
      </c>
      <c r="AL10" s="73">
        <v>0</v>
      </c>
      <c r="AM10" s="72">
        <v>0</v>
      </c>
      <c r="AN10" s="76">
        <v>0</v>
      </c>
      <c r="AO10" s="77">
        <f t="shared" si="0"/>
        <v>0</v>
      </c>
      <c r="AP10" s="78">
        <f t="shared" si="1"/>
        <v>0</v>
      </c>
      <c r="AQ10" s="78">
        <f t="shared" si="2"/>
        <v>0</v>
      </c>
      <c r="AR10" s="79">
        <f t="shared" si="3"/>
        <v>0</v>
      </c>
      <c r="AS10" s="80">
        <f t="shared" si="4"/>
        <v>0</v>
      </c>
      <c r="AT10" s="81">
        <f t="shared" si="5"/>
        <v>0</v>
      </c>
      <c r="AU10" s="81">
        <f t="shared" si="6"/>
        <v>0</v>
      </c>
      <c r="AV10" s="81">
        <f t="shared" si="7"/>
        <v>0</v>
      </c>
      <c r="AW10" s="81">
        <f t="shared" si="8"/>
        <v>0</v>
      </c>
      <c r="AX10" s="81">
        <f t="shared" si="9"/>
        <v>0</v>
      </c>
      <c r="AY10" s="77">
        <f t="shared" si="10"/>
        <v>0</v>
      </c>
      <c r="AZ10" s="82">
        <f t="shared" si="11"/>
        <v>0</v>
      </c>
      <c r="BA10" s="79">
        <f t="shared" si="12"/>
        <v>0</v>
      </c>
      <c r="BB10" s="80">
        <f>V10 - U10</f>
        <v>0</v>
      </c>
      <c r="BC10" s="83">
        <f>X10 - W10</f>
        <v>0</v>
      </c>
      <c r="BD10" s="83">
        <f>Z10 - Y10</f>
        <v>0</v>
      </c>
      <c r="BE10" s="83">
        <f>AB10 - AA10</f>
        <v>0</v>
      </c>
      <c r="BF10" s="83">
        <f>AD10 - AC10</f>
        <v>0</v>
      </c>
      <c r="BG10" s="83">
        <f>AF10 - AE10</f>
        <v>0</v>
      </c>
      <c r="BH10" s="83">
        <f>AH10 - AG10</f>
        <v>0</v>
      </c>
      <c r="BI10" s="83">
        <f>AJ10 - AI10</f>
        <v>0</v>
      </c>
      <c r="BJ10" s="83">
        <f>AL10 - AK10</f>
        <v>0</v>
      </c>
      <c r="BK10" s="83">
        <f>AN10 - AM10</f>
        <v>0</v>
      </c>
      <c r="BL10" s="84">
        <f>ROUNDUP(SUM(BB10:BK10) * 288, 0) / 288</f>
        <v>0</v>
      </c>
      <c r="BM10" s="71">
        <v>0</v>
      </c>
    </row>
    <row r="11" spans="1:65" x14ac:dyDescent="0.25">
      <c r="A11" s="72">
        <v>0</v>
      </c>
      <c r="B11" s="73">
        <v>0</v>
      </c>
      <c r="C11" s="72">
        <v>0</v>
      </c>
      <c r="D11" s="73">
        <v>0</v>
      </c>
      <c r="E11" s="72">
        <v>0</v>
      </c>
      <c r="F11" s="73">
        <v>0</v>
      </c>
      <c r="G11" s="72">
        <v>0</v>
      </c>
      <c r="H11" s="73">
        <v>0</v>
      </c>
      <c r="I11" s="72">
        <v>0</v>
      </c>
      <c r="J11" s="73">
        <v>0</v>
      </c>
      <c r="K11" s="72">
        <v>0</v>
      </c>
      <c r="L11" s="73">
        <v>0</v>
      </c>
      <c r="M11" s="72">
        <v>0</v>
      </c>
      <c r="N11" s="73">
        <v>0</v>
      </c>
      <c r="O11" s="72">
        <v>0</v>
      </c>
      <c r="P11" s="73">
        <v>0</v>
      </c>
      <c r="Q11" s="72">
        <v>0</v>
      </c>
      <c r="R11" s="73">
        <v>0</v>
      </c>
      <c r="S11" s="72">
        <v>0</v>
      </c>
      <c r="T11" s="73">
        <v>0</v>
      </c>
      <c r="U11" s="74">
        <v>0</v>
      </c>
      <c r="V11" s="73">
        <v>0</v>
      </c>
      <c r="W11" s="72">
        <v>0</v>
      </c>
      <c r="X11" s="73">
        <v>0</v>
      </c>
      <c r="Y11" s="72">
        <v>0</v>
      </c>
      <c r="Z11" s="73">
        <v>0</v>
      </c>
      <c r="AA11" s="72">
        <v>0</v>
      </c>
      <c r="AB11" s="73">
        <v>0</v>
      </c>
      <c r="AC11" s="75">
        <v>0</v>
      </c>
      <c r="AD11" s="73">
        <v>0</v>
      </c>
      <c r="AE11" s="75">
        <v>0</v>
      </c>
      <c r="AF11" s="73">
        <v>0</v>
      </c>
      <c r="AG11" s="75">
        <v>0</v>
      </c>
      <c r="AH11" s="73">
        <v>0</v>
      </c>
      <c r="AI11" s="75">
        <v>0</v>
      </c>
      <c r="AJ11" s="73">
        <v>0</v>
      </c>
      <c r="AK11" s="75">
        <v>0</v>
      </c>
      <c r="AL11" s="73">
        <v>0</v>
      </c>
      <c r="AM11" s="72">
        <v>0</v>
      </c>
      <c r="AN11" s="76">
        <v>0</v>
      </c>
      <c r="AO11" s="77">
        <f t="shared" si="0"/>
        <v>0</v>
      </c>
      <c r="AP11" s="78">
        <f t="shared" si="1"/>
        <v>0</v>
      </c>
      <c r="AQ11" s="78">
        <f t="shared" si="2"/>
        <v>0</v>
      </c>
      <c r="AR11" s="79">
        <f t="shared" si="3"/>
        <v>0</v>
      </c>
      <c r="AS11" s="80">
        <f t="shared" si="4"/>
        <v>0</v>
      </c>
      <c r="AT11" s="81">
        <f t="shared" si="5"/>
        <v>0</v>
      </c>
      <c r="AU11" s="81">
        <f t="shared" si="6"/>
        <v>0</v>
      </c>
      <c r="AV11" s="81">
        <f t="shared" si="7"/>
        <v>0</v>
      </c>
      <c r="AW11" s="81">
        <f t="shared" si="8"/>
        <v>0</v>
      </c>
      <c r="AX11" s="81">
        <f t="shared" si="9"/>
        <v>0</v>
      </c>
      <c r="AY11" s="77">
        <f t="shared" si="10"/>
        <v>0</v>
      </c>
      <c r="AZ11" s="82">
        <f t="shared" si="11"/>
        <v>0</v>
      </c>
      <c r="BA11" s="79">
        <f t="shared" si="12"/>
        <v>0</v>
      </c>
      <c r="BB11" s="80">
        <f>V11 - U11</f>
        <v>0</v>
      </c>
      <c r="BC11" s="83">
        <f>X11 - W11</f>
        <v>0</v>
      </c>
      <c r="BD11" s="83">
        <f>Z11 - Y11</f>
        <v>0</v>
      </c>
      <c r="BE11" s="83">
        <f>AB11 - AA11</f>
        <v>0</v>
      </c>
      <c r="BF11" s="83">
        <f>AD11 - AC11</f>
        <v>0</v>
      </c>
      <c r="BG11" s="83">
        <f>AF11 - AE11</f>
        <v>0</v>
      </c>
      <c r="BH11" s="83">
        <f>AH11 - AG11</f>
        <v>0</v>
      </c>
      <c r="BI11" s="83">
        <f>AJ11 - AI11</f>
        <v>0</v>
      </c>
      <c r="BJ11" s="83">
        <f>AL11 - AK11</f>
        <v>0</v>
      </c>
      <c r="BK11" s="83">
        <f>AN11 - AM11</f>
        <v>0</v>
      </c>
      <c r="BL11" s="84">
        <f>ROUNDUP(SUM(BB11:BK11) * 288, 0) / 288</f>
        <v>0</v>
      </c>
      <c r="BM11" s="71">
        <v>0</v>
      </c>
    </row>
    <row r="12" spans="1:65" x14ac:dyDescent="0.25">
      <c r="A12" s="72">
        <v>0.35069444444444442</v>
      </c>
      <c r="B12" s="73">
        <v>0.51944444444444449</v>
      </c>
      <c r="C12" s="72">
        <v>0.62847222222222221</v>
      </c>
      <c r="D12" s="73">
        <v>0.83680555555555558</v>
      </c>
      <c r="E12" s="72">
        <v>0</v>
      </c>
      <c r="F12" s="73">
        <v>0</v>
      </c>
      <c r="G12" s="72">
        <v>0</v>
      </c>
      <c r="H12" s="73">
        <v>0</v>
      </c>
      <c r="I12" s="72">
        <v>0</v>
      </c>
      <c r="J12" s="73">
        <v>0</v>
      </c>
      <c r="K12" s="72">
        <v>0</v>
      </c>
      <c r="L12" s="73">
        <v>0</v>
      </c>
      <c r="M12" s="72">
        <v>0</v>
      </c>
      <c r="N12" s="73">
        <v>0</v>
      </c>
      <c r="O12" s="72">
        <v>0</v>
      </c>
      <c r="P12" s="73">
        <v>0</v>
      </c>
      <c r="Q12" s="72">
        <v>0</v>
      </c>
      <c r="R12" s="73">
        <v>0</v>
      </c>
      <c r="S12" s="72">
        <v>0</v>
      </c>
      <c r="T12" s="73">
        <v>0</v>
      </c>
      <c r="U12" s="74">
        <v>0.35069444444444442</v>
      </c>
      <c r="V12" s="73">
        <v>0.51944444444444449</v>
      </c>
      <c r="W12" s="72">
        <v>0.62847222222222221</v>
      </c>
      <c r="X12" s="73">
        <v>0.83680555555555547</v>
      </c>
      <c r="Y12" s="72"/>
      <c r="Z12" s="73"/>
      <c r="AA12" s="72"/>
      <c r="AB12" s="73"/>
      <c r="AC12" s="75"/>
      <c r="AD12" s="73"/>
      <c r="AE12" s="75"/>
      <c r="AF12" s="73"/>
      <c r="AG12" s="75"/>
      <c r="AH12" s="73"/>
      <c r="AI12" s="75"/>
      <c r="AJ12" s="73"/>
      <c r="AK12" s="75"/>
      <c r="AL12" s="73"/>
      <c r="AM12" s="72"/>
      <c r="AN12" s="76"/>
      <c r="AO12" s="77">
        <f t="shared" si="0"/>
        <v>1</v>
      </c>
      <c r="AP12" s="78">
        <f t="shared" si="1"/>
        <v>0</v>
      </c>
      <c r="AQ12" s="78">
        <f t="shared" si="2"/>
        <v>0</v>
      </c>
      <c r="AR12" s="79">
        <f t="shared" si="3"/>
        <v>0</v>
      </c>
      <c r="AS12" s="80">
        <f t="shared" si="4"/>
        <v>0.35069444444444442</v>
      </c>
      <c r="AT12" s="81">
        <f t="shared" si="5"/>
        <v>0.51944444444444449</v>
      </c>
      <c r="AU12" s="81">
        <f t="shared" si="6"/>
        <v>0.62847222222222221</v>
      </c>
      <c r="AV12" s="81">
        <f t="shared" si="7"/>
        <v>0.83680555555555547</v>
      </c>
      <c r="AW12" s="81">
        <f t="shared" si="8"/>
        <v>0</v>
      </c>
      <c r="AX12" s="81">
        <f t="shared" si="9"/>
        <v>0</v>
      </c>
      <c r="AY12" s="77">
        <f t="shared" si="10"/>
        <v>0</v>
      </c>
      <c r="AZ12" s="82">
        <f t="shared" si="11"/>
        <v>0</v>
      </c>
      <c r="BA12" s="79">
        <f t="shared" si="12"/>
        <v>0</v>
      </c>
      <c r="BB12" s="80">
        <f>V12 - U12</f>
        <v>0.16875000000000007</v>
      </c>
      <c r="BC12" s="83">
        <f>X12 - W12</f>
        <v>0.20833333333333326</v>
      </c>
      <c r="BD12" s="83">
        <f>Z12 - Y12</f>
        <v>0</v>
      </c>
      <c r="BE12" s="83">
        <f>AB12 - AA12</f>
        <v>0</v>
      </c>
      <c r="BF12" s="83">
        <f>AD12 - AC12</f>
        <v>0</v>
      </c>
      <c r="BG12" s="83">
        <f>AF12 - AE12</f>
        <v>0</v>
      </c>
      <c r="BH12" s="83">
        <f>AH12 - AG12</f>
        <v>0</v>
      </c>
      <c r="BI12" s="83">
        <f>AJ12 - AI12</f>
        <v>0</v>
      </c>
      <c r="BJ12" s="83">
        <f>AL12 - AK12</f>
        <v>0</v>
      </c>
      <c r="BK12" s="83">
        <f>AN12 - AM12</f>
        <v>0</v>
      </c>
      <c r="BL12" s="84">
        <f>ROUNDUP(SUM(BB12:BK12) * 288, 0) / 288</f>
        <v>0.37847222222222221</v>
      </c>
      <c r="BM12" s="71">
        <v>46027</v>
      </c>
    </row>
    <row r="13" spans="1:65" x14ac:dyDescent="0.25">
      <c r="A13" s="72">
        <v>0</v>
      </c>
      <c r="B13" s="73">
        <v>0</v>
      </c>
      <c r="C13" s="72">
        <v>0</v>
      </c>
      <c r="D13" s="73">
        <v>0</v>
      </c>
      <c r="E13" s="72">
        <v>0</v>
      </c>
      <c r="F13" s="73">
        <v>0</v>
      </c>
      <c r="G13" s="72">
        <v>0</v>
      </c>
      <c r="H13" s="73">
        <v>0</v>
      </c>
      <c r="I13" s="72">
        <v>0</v>
      </c>
      <c r="J13" s="73">
        <v>0</v>
      </c>
      <c r="K13" s="72">
        <v>0</v>
      </c>
      <c r="L13" s="73">
        <v>0</v>
      </c>
      <c r="M13" s="72">
        <v>0</v>
      </c>
      <c r="N13" s="73">
        <v>0</v>
      </c>
      <c r="O13" s="72">
        <v>0</v>
      </c>
      <c r="P13" s="73">
        <v>0</v>
      </c>
      <c r="Q13" s="72">
        <v>0</v>
      </c>
      <c r="R13" s="73">
        <v>0</v>
      </c>
      <c r="S13" s="72">
        <v>0</v>
      </c>
      <c r="T13" s="73">
        <v>0</v>
      </c>
      <c r="U13" s="74">
        <v>0</v>
      </c>
      <c r="V13" s="73">
        <v>0</v>
      </c>
      <c r="W13" s="72">
        <v>0</v>
      </c>
      <c r="X13" s="73">
        <v>0</v>
      </c>
      <c r="Y13" s="72">
        <v>0</v>
      </c>
      <c r="Z13" s="73">
        <v>0</v>
      </c>
      <c r="AA13" s="72">
        <v>0</v>
      </c>
      <c r="AB13" s="73">
        <v>0</v>
      </c>
      <c r="AC13" s="75">
        <v>0</v>
      </c>
      <c r="AD13" s="73">
        <v>0</v>
      </c>
      <c r="AE13" s="75">
        <v>0</v>
      </c>
      <c r="AF13" s="73">
        <v>0</v>
      </c>
      <c r="AG13" s="75">
        <v>0</v>
      </c>
      <c r="AH13" s="73">
        <v>0</v>
      </c>
      <c r="AI13" s="75">
        <v>0</v>
      </c>
      <c r="AJ13" s="73">
        <v>0</v>
      </c>
      <c r="AK13" s="75">
        <v>0</v>
      </c>
      <c r="AL13" s="73">
        <v>0</v>
      </c>
      <c r="AM13" s="72">
        <v>0</v>
      </c>
      <c r="AN13" s="76">
        <v>0</v>
      </c>
      <c r="AO13" s="77">
        <f t="shared" si="0"/>
        <v>0</v>
      </c>
      <c r="AP13" s="78">
        <f t="shared" si="1"/>
        <v>0</v>
      </c>
      <c r="AQ13" s="78">
        <f t="shared" si="2"/>
        <v>0</v>
      </c>
      <c r="AR13" s="79">
        <f t="shared" si="3"/>
        <v>0</v>
      </c>
      <c r="AS13" s="80">
        <f t="shared" si="4"/>
        <v>0</v>
      </c>
      <c r="AT13" s="81">
        <f t="shared" si="5"/>
        <v>0</v>
      </c>
      <c r="AU13" s="81">
        <f t="shared" si="6"/>
        <v>0</v>
      </c>
      <c r="AV13" s="81">
        <f t="shared" si="7"/>
        <v>0</v>
      </c>
      <c r="AW13" s="81">
        <f t="shared" si="8"/>
        <v>0</v>
      </c>
      <c r="AX13" s="81">
        <f t="shared" si="9"/>
        <v>0</v>
      </c>
      <c r="AY13" s="77">
        <f t="shared" si="10"/>
        <v>0</v>
      </c>
      <c r="AZ13" s="82">
        <f t="shared" si="11"/>
        <v>0</v>
      </c>
      <c r="BA13" s="79">
        <f t="shared" si="12"/>
        <v>0</v>
      </c>
      <c r="BB13" s="80">
        <f>V13 - U13</f>
        <v>0</v>
      </c>
      <c r="BC13" s="83">
        <f>X13 - W13</f>
        <v>0</v>
      </c>
      <c r="BD13" s="83">
        <f>Z13 - Y13</f>
        <v>0</v>
      </c>
      <c r="BE13" s="83">
        <f>AB13 - AA13</f>
        <v>0</v>
      </c>
      <c r="BF13" s="83">
        <f>AD13 - AC13</f>
        <v>0</v>
      </c>
      <c r="BG13" s="83">
        <f>AF13 - AE13</f>
        <v>0</v>
      </c>
      <c r="BH13" s="83">
        <f>AH13 - AG13</f>
        <v>0</v>
      </c>
      <c r="BI13" s="83">
        <f>AJ13 - AI13</f>
        <v>0</v>
      </c>
      <c r="BJ13" s="83">
        <f>AL13 - AK13</f>
        <v>0</v>
      </c>
      <c r="BK13" s="83">
        <f>AN13 - AM13</f>
        <v>0</v>
      </c>
      <c r="BL13" s="84">
        <f>ROUNDUP(SUM(BB13:BK13) * 288, 0) / 288</f>
        <v>0</v>
      </c>
      <c r="BM13" s="71">
        <v>0</v>
      </c>
    </row>
    <row r="14" spans="1:65" x14ac:dyDescent="0.25">
      <c r="A14" s="72">
        <v>0</v>
      </c>
      <c r="B14" s="73">
        <v>0</v>
      </c>
      <c r="C14" s="72">
        <v>0</v>
      </c>
      <c r="D14" s="73">
        <v>0</v>
      </c>
      <c r="E14" s="72">
        <v>0</v>
      </c>
      <c r="F14" s="73">
        <v>0</v>
      </c>
      <c r="G14" s="72">
        <v>0</v>
      </c>
      <c r="H14" s="73">
        <v>0</v>
      </c>
      <c r="I14" s="72">
        <v>0</v>
      </c>
      <c r="J14" s="73">
        <v>0</v>
      </c>
      <c r="K14" s="72">
        <v>0</v>
      </c>
      <c r="L14" s="73">
        <v>0</v>
      </c>
      <c r="M14" s="72">
        <v>0</v>
      </c>
      <c r="N14" s="73">
        <v>0</v>
      </c>
      <c r="O14" s="72">
        <v>0</v>
      </c>
      <c r="P14" s="73">
        <v>0</v>
      </c>
      <c r="Q14" s="72">
        <v>0</v>
      </c>
      <c r="R14" s="73">
        <v>0</v>
      </c>
      <c r="S14" s="72">
        <v>0</v>
      </c>
      <c r="T14" s="73">
        <v>0</v>
      </c>
      <c r="U14" s="74">
        <v>0</v>
      </c>
      <c r="V14" s="73">
        <v>0</v>
      </c>
      <c r="W14" s="72">
        <v>0</v>
      </c>
      <c r="X14" s="73">
        <v>0</v>
      </c>
      <c r="Y14" s="72">
        <v>0</v>
      </c>
      <c r="Z14" s="73">
        <v>0</v>
      </c>
      <c r="AA14" s="72">
        <v>0</v>
      </c>
      <c r="AB14" s="73">
        <v>0</v>
      </c>
      <c r="AC14" s="75">
        <v>0</v>
      </c>
      <c r="AD14" s="73">
        <v>0</v>
      </c>
      <c r="AE14" s="75">
        <v>0</v>
      </c>
      <c r="AF14" s="73">
        <v>0</v>
      </c>
      <c r="AG14" s="75">
        <v>0</v>
      </c>
      <c r="AH14" s="73">
        <v>0</v>
      </c>
      <c r="AI14" s="75">
        <v>0</v>
      </c>
      <c r="AJ14" s="73">
        <v>0</v>
      </c>
      <c r="AK14" s="75">
        <v>0</v>
      </c>
      <c r="AL14" s="73">
        <v>0</v>
      </c>
      <c r="AM14" s="72">
        <v>0</v>
      </c>
      <c r="AN14" s="76">
        <v>0</v>
      </c>
      <c r="AO14" s="77">
        <f t="shared" si="0"/>
        <v>0</v>
      </c>
      <c r="AP14" s="78">
        <f t="shared" si="1"/>
        <v>0</v>
      </c>
      <c r="AQ14" s="78">
        <f t="shared" si="2"/>
        <v>0</v>
      </c>
      <c r="AR14" s="79">
        <f t="shared" si="3"/>
        <v>0</v>
      </c>
      <c r="AS14" s="80">
        <f t="shared" si="4"/>
        <v>0</v>
      </c>
      <c r="AT14" s="81">
        <f t="shared" si="5"/>
        <v>0</v>
      </c>
      <c r="AU14" s="81">
        <f t="shared" si="6"/>
        <v>0</v>
      </c>
      <c r="AV14" s="81">
        <f t="shared" si="7"/>
        <v>0</v>
      </c>
      <c r="AW14" s="81">
        <f t="shared" si="8"/>
        <v>0</v>
      </c>
      <c r="AX14" s="81">
        <f t="shared" si="9"/>
        <v>0</v>
      </c>
      <c r="AY14" s="77">
        <f t="shared" si="10"/>
        <v>0</v>
      </c>
      <c r="AZ14" s="82">
        <f t="shared" si="11"/>
        <v>0</v>
      </c>
      <c r="BA14" s="79">
        <f t="shared" si="12"/>
        <v>0</v>
      </c>
      <c r="BB14" s="80">
        <f>V14 - U14</f>
        <v>0</v>
      </c>
      <c r="BC14" s="83">
        <f>X14 - W14</f>
        <v>0</v>
      </c>
      <c r="BD14" s="83">
        <f>Z14 - Y14</f>
        <v>0</v>
      </c>
      <c r="BE14" s="83">
        <f>AB14 - AA14</f>
        <v>0</v>
      </c>
      <c r="BF14" s="83">
        <f>AD14 - AC14</f>
        <v>0</v>
      </c>
      <c r="BG14" s="83">
        <f>AF14 - AE14</f>
        <v>0</v>
      </c>
      <c r="BH14" s="83">
        <f>AH14 - AG14</f>
        <v>0</v>
      </c>
      <c r="BI14" s="83">
        <f>AJ14 - AI14</f>
        <v>0</v>
      </c>
      <c r="BJ14" s="83">
        <f>AL14 - AK14</f>
        <v>0</v>
      </c>
      <c r="BK14" s="83">
        <f>AN14 - AM14</f>
        <v>0</v>
      </c>
      <c r="BL14" s="84">
        <f>ROUNDUP(SUM(BB14:BK14) * 288, 0) / 288</f>
        <v>0</v>
      </c>
      <c r="BM14" s="71">
        <v>0</v>
      </c>
    </row>
    <row r="15" spans="1:65" x14ac:dyDescent="0.25">
      <c r="A15" s="72">
        <v>0.46666666666666667</v>
      </c>
      <c r="B15" s="73">
        <v>0.55138888888888893</v>
      </c>
      <c r="C15" s="72">
        <v>0.60416666666666663</v>
      </c>
      <c r="D15" s="73">
        <v>0.70694444444444449</v>
      </c>
      <c r="E15" s="72">
        <v>0</v>
      </c>
      <c r="F15" s="73">
        <v>0</v>
      </c>
      <c r="G15" s="72">
        <v>0</v>
      </c>
      <c r="H15" s="73">
        <v>0</v>
      </c>
      <c r="I15" s="72">
        <v>0</v>
      </c>
      <c r="J15" s="73">
        <v>0</v>
      </c>
      <c r="K15" s="72">
        <v>0</v>
      </c>
      <c r="L15" s="73">
        <v>0</v>
      </c>
      <c r="M15" s="72">
        <v>0</v>
      </c>
      <c r="N15" s="73">
        <v>0</v>
      </c>
      <c r="O15" s="72">
        <v>0</v>
      </c>
      <c r="P15" s="73">
        <v>0</v>
      </c>
      <c r="Q15" s="72">
        <v>0</v>
      </c>
      <c r="R15" s="73">
        <v>0</v>
      </c>
      <c r="S15" s="72">
        <v>0</v>
      </c>
      <c r="T15" s="73">
        <v>0</v>
      </c>
      <c r="U15" s="74">
        <v>0.46666666666666662</v>
      </c>
      <c r="V15" s="73">
        <v>0.55138888888888882</v>
      </c>
      <c r="W15" s="72">
        <v>0.60416666666666663</v>
      </c>
      <c r="X15" s="73">
        <v>0.70694444444444438</v>
      </c>
      <c r="Y15" s="72"/>
      <c r="Z15" s="73"/>
      <c r="AA15" s="72"/>
      <c r="AB15" s="73"/>
      <c r="AC15" s="75"/>
      <c r="AD15" s="73"/>
      <c r="AE15" s="75"/>
      <c r="AF15" s="73"/>
      <c r="AG15" s="75"/>
      <c r="AH15" s="73"/>
      <c r="AI15" s="75"/>
      <c r="AJ15" s="73"/>
      <c r="AK15" s="75"/>
      <c r="AL15" s="73"/>
      <c r="AM15" s="72"/>
      <c r="AN15" s="76"/>
      <c r="AO15" s="77">
        <f t="shared" si="0"/>
        <v>1</v>
      </c>
      <c r="AP15" s="78">
        <f t="shared" si="1"/>
        <v>0</v>
      </c>
      <c r="AQ15" s="78">
        <f t="shared" si="2"/>
        <v>0</v>
      </c>
      <c r="AR15" s="79">
        <f t="shared" si="3"/>
        <v>0</v>
      </c>
      <c r="AS15" s="80">
        <f t="shared" si="4"/>
        <v>0</v>
      </c>
      <c r="AT15" s="81">
        <f t="shared" si="5"/>
        <v>0</v>
      </c>
      <c r="AU15" s="81">
        <f t="shared" si="6"/>
        <v>0.46666666666666662</v>
      </c>
      <c r="AV15" s="81">
        <f t="shared" si="7"/>
        <v>0.70694444444444438</v>
      </c>
      <c r="AW15" s="81">
        <f t="shared" si="8"/>
        <v>0</v>
      </c>
      <c r="AX15" s="81">
        <f t="shared" si="9"/>
        <v>0</v>
      </c>
      <c r="AY15" s="77">
        <f t="shared" si="10"/>
        <v>0</v>
      </c>
      <c r="AZ15" s="82">
        <f t="shared" si="11"/>
        <v>0</v>
      </c>
      <c r="BA15" s="79">
        <f t="shared" si="12"/>
        <v>0</v>
      </c>
      <c r="BB15" s="80">
        <f>V15 - U15</f>
        <v>8.4722222222222199E-2</v>
      </c>
      <c r="BC15" s="83">
        <f>X15 - W15</f>
        <v>0.10277777777777775</v>
      </c>
      <c r="BD15" s="83">
        <f>Z15 - Y15</f>
        <v>0</v>
      </c>
      <c r="BE15" s="83">
        <f>AB15 - AA15</f>
        <v>0</v>
      </c>
      <c r="BF15" s="83">
        <f>AD15 - AC15</f>
        <v>0</v>
      </c>
      <c r="BG15" s="83">
        <f>AF15 - AE15</f>
        <v>0</v>
      </c>
      <c r="BH15" s="83">
        <f>AH15 - AG15</f>
        <v>0</v>
      </c>
      <c r="BI15" s="83">
        <f>AJ15 - AI15</f>
        <v>0</v>
      </c>
      <c r="BJ15" s="83">
        <f>AL15 - AK15</f>
        <v>0</v>
      </c>
      <c r="BK15" s="83">
        <f>AN15 - AM15</f>
        <v>0</v>
      </c>
      <c r="BL15" s="84">
        <f>ROUNDUP(SUM(BB15:BK15) * 288, 0) / 288</f>
        <v>0.1875</v>
      </c>
      <c r="BM15" s="71">
        <v>46030</v>
      </c>
    </row>
    <row r="16" spans="1:65" x14ac:dyDescent="0.25">
      <c r="A16" s="72">
        <v>0.63888888888888884</v>
      </c>
      <c r="B16" s="73">
        <v>0.78541666666666665</v>
      </c>
      <c r="C16" s="72">
        <v>0</v>
      </c>
      <c r="D16" s="73">
        <v>0</v>
      </c>
      <c r="E16" s="72">
        <v>0</v>
      </c>
      <c r="F16" s="73">
        <v>0</v>
      </c>
      <c r="G16" s="72">
        <v>0</v>
      </c>
      <c r="H16" s="73">
        <v>0</v>
      </c>
      <c r="I16" s="72">
        <v>0</v>
      </c>
      <c r="J16" s="73">
        <v>0</v>
      </c>
      <c r="K16" s="72">
        <v>0</v>
      </c>
      <c r="L16" s="73">
        <v>0</v>
      </c>
      <c r="M16" s="72">
        <v>0</v>
      </c>
      <c r="N16" s="73">
        <v>0</v>
      </c>
      <c r="O16" s="72">
        <v>0</v>
      </c>
      <c r="P16" s="73">
        <v>0</v>
      </c>
      <c r="Q16" s="72">
        <v>0</v>
      </c>
      <c r="R16" s="73">
        <v>0</v>
      </c>
      <c r="S16" s="72">
        <v>0</v>
      </c>
      <c r="T16" s="73">
        <v>0</v>
      </c>
      <c r="U16" s="74">
        <v>0.63888888888888895</v>
      </c>
      <c r="V16" s="73">
        <v>0.78541666666666676</v>
      </c>
      <c r="W16" s="72"/>
      <c r="X16" s="73"/>
      <c r="Y16" s="72"/>
      <c r="Z16" s="73"/>
      <c r="AA16" s="72"/>
      <c r="AB16" s="73"/>
      <c r="AC16" s="75"/>
      <c r="AD16" s="73"/>
      <c r="AE16" s="75"/>
      <c r="AF16" s="73"/>
      <c r="AG16" s="75"/>
      <c r="AH16" s="73"/>
      <c r="AI16" s="75"/>
      <c r="AJ16" s="73"/>
      <c r="AK16" s="75"/>
      <c r="AL16" s="73"/>
      <c r="AM16" s="72"/>
      <c r="AN16" s="76"/>
      <c r="AO16" s="77">
        <f t="shared" si="0"/>
        <v>0</v>
      </c>
      <c r="AP16" s="78">
        <f t="shared" si="1"/>
        <v>0</v>
      </c>
      <c r="AQ16" s="78">
        <f t="shared" si="2"/>
        <v>0</v>
      </c>
      <c r="AR16" s="79">
        <f t="shared" si="3"/>
        <v>0</v>
      </c>
      <c r="AS16" s="80">
        <f t="shared" si="4"/>
        <v>0</v>
      </c>
      <c r="AT16" s="81">
        <f t="shared" si="5"/>
        <v>0</v>
      </c>
      <c r="AU16" s="81">
        <f t="shared" si="6"/>
        <v>0.63888888888888895</v>
      </c>
      <c r="AV16" s="81">
        <f t="shared" si="7"/>
        <v>0.78541666666666676</v>
      </c>
      <c r="AW16" s="81">
        <f t="shared" si="8"/>
        <v>0</v>
      </c>
      <c r="AX16" s="81">
        <f t="shared" si="9"/>
        <v>0</v>
      </c>
      <c r="AY16" s="77">
        <f t="shared" si="10"/>
        <v>0</v>
      </c>
      <c r="AZ16" s="82">
        <f t="shared" si="11"/>
        <v>0</v>
      </c>
      <c r="BA16" s="79">
        <f t="shared" si="12"/>
        <v>0</v>
      </c>
      <c r="BB16" s="80">
        <f>V16 - U16</f>
        <v>0.14652777777777781</v>
      </c>
      <c r="BC16" s="83">
        <f>X16 - W16</f>
        <v>0</v>
      </c>
      <c r="BD16" s="83">
        <f>Z16 - Y16</f>
        <v>0</v>
      </c>
      <c r="BE16" s="83">
        <f>AB16 - AA16</f>
        <v>0</v>
      </c>
      <c r="BF16" s="83">
        <f>AD16 - AC16</f>
        <v>0</v>
      </c>
      <c r="BG16" s="83">
        <f>AF16 - AE16</f>
        <v>0</v>
      </c>
      <c r="BH16" s="83">
        <f>AH16 - AG16</f>
        <v>0</v>
      </c>
      <c r="BI16" s="83">
        <f>AJ16 - AI16</f>
        <v>0</v>
      </c>
      <c r="BJ16" s="83">
        <f>AL16 - AK16</f>
        <v>0</v>
      </c>
      <c r="BK16" s="83">
        <f>AN16 - AM16</f>
        <v>0</v>
      </c>
      <c r="BL16" s="84">
        <f>ROUNDUP(SUM(BB16:BK16) * 288, 0) / 288</f>
        <v>0.14930555555555555</v>
      </c>
      <c r="BM16" s="71">
        <v>46031</v>
      </c>
    </row>
    <row r="17" spans="1:65" x14ac:dyDescent="0.25">
      <c r="A17" s="72">
        <v>0.4375</v>
      </c>
      <c r="B17" s="73">
        <v>0.47222222222222221</v>
      </c>
      <c r="C17" s="72">
        <v>0.72916666666666663</v>
      </c>
      <c r="D17" s="73">
        <v>0.77013888888888893</v>
      </c>
      <c r="E17" s="72">
        <v>0</v>
      </c>
      <c r="F17" s="73">
        <v>0</v>
      </c>
      <c r="G17" s="72">
        <v>0</v>
      </c>
      <c r="H17" s="73">
        <v>0</v>
      </c>
      <c r="I17" s="72">
        <v>0</v>
      </c>
      <c r="J17" s="73">
        <v>0</v>
      </c>
      <c r="K17" s="72">
        <v>0</v>
      </c>
      <c r="L17" s="73">
        <v>0</v>
      </c>
      <c r="M17" s="72">
        <v>0</v>
      </c>
      <c r="N17" s="73">
        <v>0</v>
      </c>
      <c r="O17" s="72">
        <v>0</v>
      </c>
      <c r="P17" s="73">
        <v>0</v>
      </c>
      <c r="Q17" s="72">
        <v>0</v>
      </c>
      <c r="R17" s="73">
        <v>0</v>
      </c>
      <c r="S17" s="72">
        <v>0</v>
      </c>
      <c r="T17" s="73">
        <v>0</v>
      </c>
      <c r="U17" s="74">
        <v>0.4375</v>
      </c>
      <c r="V17" s="73">
        <v>0.47222222222222227</v>
      </c>
      <c r="W17" s="72">
        <v>0.72916666666666663</v>
      </c>
      <c r="X17" s="73">
        <v>0.77013888888888893</v>
      </c>
      <c r="Y17" s="72"/>
      <c r="Z17" s="73"/>
      <c r="AA17" s="72"/>
      <c r="AB17" s="73"/>
      <c r="AC17" s="75"/>
      <c r="AD17" s="73"/>
      <c r="AE17" s="75"/>
      <c r="AF17" s="73"/>
      <c r="AG17" s="75"/>
      <c r="AH17" s="73"/>
      <c r="AI17" s="75"/>
      <c r="AJ17" s="73"/>
      <c r="AK17" s="75"/>
      <c r="AL17" s="73"/>
      <c r="AM17" s="72"/>
      <c r="AN17" s="76"/>
      <c r="AO17" s="77">
        <f t="shared" si="0"/>
        <v>1</v>
      </c>
      <c r="AP17" s="78">
        <f t="shared" si="1"/>
        <v>0</v>
      </c>
      <c r="AQ17" s="78">
        <f t="shared" si="2"/>
        <v>0</v>
      </c>
      <c r="AR17" s="79">
        <f t="shared" si="3"/>
        <v>0</v>
      </c>
      <c r="AS17" s="80">
        <f t="shared" si="4"/>
        <v>0.4375</v>
      </c>
      <c r="AT17" s="81">
        <f t="shared" si="5"/>
        <v>0.47222222222222227</v>
      </c>
      <c r="AU17" s="81">
        <f t="shared" si="6"/>
        <v>0.72916666666666663</v>
      </c>
      <c r="AV17" s="81">
        <f t="shared" si="7"/>
        <v>0.77013888888888893</v>
      </c>
      <c r="AW17" s="81">
        <f t="shared" si="8"/>
        <v>0</v>
      </c>
      <c r="AX17" s="81">
        <f t="shared" si="9"/>
        <v>0</v>
      </c>
      <c r="AY17" s="77">
        <f t="shared" si="10"/>
        <v>0</v>
      </c>
      <c r="AZ17" s="82">
        <f t="shared" si="11"/>
        <v>0</v>
      </c>
      <c r="BA17" s="79">
        <f t="shared" si="12"/>
        <v>0</v>
      </c>
      <c r="BB17" s="80">
        <f>V17 - U17</f>
        <v>3.4722222222222265E-2</v>
      </c>
      <c r="BC17" s="83">
        <f>X17 - W17</f>
        <v>4.0972222222222299E-2</v>
      </c>
      <c r="BD17" s="83">
        <f>Z17 - Y17</f>
        <v>0</v>
      </c>
      <c r="BE17" s="83">
        <f>AB17 - AA17</f>
        <v>0</v>
      </c>
      <c r="BF17" s="83">
        <f>AD17 - AC17</f>
        <v>0</v>
      </c>
      <c r="BG17" s="83">
        <f>AF17 - AE17</f>
        <v>0</v>
      </c>
      <c r="BH17" s="83">
        <f>AH17 - AG17</f>
        <v>0</v>
      </c>
      <c r="BI17" s="83">
        <f>AJ17 - AI17</f>
        <v>0</v>
      </c>
      <c r="BJ17" s="83">
        <f>AL17 - AK17</f>
        <v>0</v>
      </c>
      <c r="BK17" s="83">
        <f>AN17 - AM17</f>
        <v>0</v>
      </c>
      <c r="BL17" s="84">
        <f>ROUNDUP(SUM(BB17:BK17) * 288, 0) / 288</f>
        <v>7.6388888888888895E-2</v>
      </c>
      <c r="BM17" s="71">
        <v>46032</v>
      </c>
    </row>
    <row r="18" spans="1:65" x14ac:dyDescent="0.25">
      <c r="A18" s="72">
        <v>0</v>
      </c>
      <c r="B18" s="73">
        <v>0</v>
      </c>
      <c r="C18" s="72">
        <v>0</v>
      </c>
      <c r="D18" s="73">
        <v>0</v>
      </c>
      <c r="E18" s="72">
        <v>0</v>
      </c>
      <c r="F18" s="73">
        <v>0</v>
      </c>
      <c r="G18" s="72">
        <v>0</v>
      </c>
      <c r="H18" s="73">
        <v>0</v>
      </c>
      <c r="I18" s="72">
        <v>0</v>
      </c>
      <c r="J18" s="73">
        <v>0</v>
      </c>
      <c r="K18" s="72">
        <v>0</v>
      </c>
      <c r="L18" s="73">
        <v>0</v>
      </c>
      <c r="M18" s="72">
        <v>0</v>
      </c>
      <c r="N18" s="73">
        <v>0</v>
      </c>
      <c r="O18" s="72">
        <v>0</v>
      </c>
      <c r="P18" s="73">
        <v>0</v>
      </c>
      <c r="Q18" s="72">
        <v>0</v>
      </c>
      <c r="R18" s="73">
        <v>0</v>
      </c>
      <c r="S18" s="72">
        <v>0</v>
      </c>
      <c r="T18" s="73">
        <v>0</v>
      </c>
      <c r="U18" s="74">
        <v>0</v>
      </c>
      <c r="V18" s="73">
        <v>0</v>
      </c>
      <c r="W18" s="72">
        <v>0</v>
      </c>
      <c r="X18" s="73">
        <v>0</v>
      </c>
      <c r="Y18" s="72">
        <v>0</v>
      </c>
      <c r="Z18" s="73">
        <v>0</v>
      </c>
      <c r="AA18" s="72">
        <v>0</v>
      </c>
      <c r="AB18" s="73">
        <v>0</v>
      </c>
      <c r="AC18" s="75">
        <v>0</v>
      </c>
      <c r="AD18" s="73">
        <v>0</v>
      </c>
      <c r="AE18" s="75">
        <v>0</v>
      </c>
      <c r="AF18" s="73">
        <v>0</v>
      </c>
      <c r="AG18" s="75">
        <v>0</v>
      </c>
      <c r="AH18" s="73">
        <v>0</v>
      </c>
      <c r="AI18" s="75">
        <v>0</v>
      </c>
      <c r="AJ18" s="73">
        <v>0</v>
      </c>
      <c r="AK18" s="75">
        <v>0</v>
      </c>
      <c r="AL18" s="73">
        <v>0</v>
      </c>
      <c r="AM18" s="72">
        <v>0</v>
      </c>
      <c r="AN18" s="76">
        <v>0</v>
      </c>
      <c r="AO18" s="77">
        <f t="shared" si="0"/>
        <v>0</v>
      </c>
      <c r="AP18" s="78">
        <f t="shared" si="1"/>
        <v>0</v>
      </c>
      <c r="AQ18" s="78">
        <f t="shared" si="2"/>
        <v>0</v>
      </c>
      <c r="AR18" s="79">
        <f t="shared" si="3"/>
        <v>0</v>
      </c>
      <c r="AS18" s="80">
        <f t="shared" si="4"/>
        <v>0</v>
      </c>
      <c r="AT18" s="81">
        <f t="shared" si="5"/>
        <v>0</v>
      </c>
      <c r="AU18" s="81">
        <f t="shared" si="6"/>
        <v>0</v>
      </c>
      <c r="AV18" s="81">
        <f t="shared" si="7"/>
        <v>0</v>
      </c>
      <c r="AW18" s="81">
        <f t="shared" si="8"/>
        <v>0</v>
      </c>
      <c r="AX18" s="81">
        <f t="shared" si="9"/>
        <v>0</v>
      </c>
      <c r="AY18" s="77">
        <f t="shared" si="10"/>
        <v>0</v>
      </c>
      <c r="AZ18" s="82">
        <f t="shared" si="11"/>
        <v>0</v>
      </c>
      <c r="BA18" s="79">
        <f t="shared" si="12"/>
        <v>0</v>
      </c>
      <c r="BB18" s="80">
        <f>V18 - U18</f>
        <v>0</v>
      </c>
      <c r="BC18" s="83">
        <f>X18 - W18</f>
        <v>0</v>
      </c>
      <c r="BD18" s="83">
        <f>Z18 - Y18</f>
        <v>0</v>
      </c>
      <c r="BE18" s="83">
        <f>AB18 - AA18</f>
        <v>0</v>
      </c>
      <c r="BF18" s="83">
        <f>AD18 - AC18</f>
        <v>0</v>
      </c>
      <c r="BG18" s="83">
        <f>AF18 - AE18</f>
        <v>0</v>
      </c>
      <c r="BH18" s="83">
        <f>AH18 - AG18</f>
        <v>0</v>
      </c>
      <c r="BI18" s="83">
        <f>AJ18 - AI18</f>
        <v>0</v>
      </c>
      <c r="BJ18" s="83">
        <f>AL18 - AK18</f>
        <v>0</v>
      </c>
      <c r="BK18" s="83">
        <f>AN18 - AM18</f>
        <v>0</v>
      </c>
      <c r="BL18" s="84">
        <f>ROUNDUP(SUM(BB18:BK18) * 288, 0) / 288</f>
        <v>0</v>
      </c>
      <c r="BM18" s="71">
        <v>0</v>
      </c>
    </row>
    <row r="19" spans="1:65" x14ac:dyDescent="0.25">
      <c r="A19" s="72">
        <v>0.66249999999999998</v>
      </c>
      <c r="B19" s="73">
        <v>0.76180555555555551</v>
      </c>
      <c r="C19" s="72">
        <v>0</v>
      </c>
      <c r="D19" s="73">
        <v>0</v>
      </c>
      <c r="E19" s="72">
        <v>0</v>
      </c>
      <c r="F19" s="73">
        <v>0</v>
      </c>
      <c r="G19" s="72">
        <v>0</v>
      </c>
      <c r="H19" s="73">
        <v>0</v>
      </c>
      <c r="I19" s="72">
        <v>0</v>
      </c>
      <c r="J19" s="73">
        <v>0</v>
      </c>
      <c r="K19" s="72">
        <v>0</v>
      </c>
      <c r="L19" s="73">
        <v>0</v>
      </c>
      <c r="M19" s="72">
        <v>0</v>
      </c>
      <c r="N19" s="73">
        <v>0</v>
      </c>
      <c r="O19" s="72">
        <v>0</v>
      </c>
      <c r="P19" s="73">
        <v>0</v>
      </c>
      <c r="Q19" s="72">
        <v>0</v>
      </c>
      <c r="R19" s="73">
        <v>0</v>
      </c>
      <c r="S19" s="72">
        <v>0</v>
      </c>
      <c r="T19" s="73">
        <v>0</v>
      </c>
      <c r="U19" s="74">
        <v>0.66249999999999998</v>
      </c>
      <c r="V19" s="73">
        <v>0.76180555555555562</v>
      </c>
      <c r="W19" s="72"/>
      <c r="X19" s="73"/>
      <c r="Y19" s="72"/>
      <c r="Z19" s="73"/>
      <c r="AA19" s="72"/>
      <c r="AB19" s="73"/>
      <c r="AC19" s="75"/>
      <c r="AD19" s="73"/>
      <c r="AE19" s="75"/>
      <c r="AF19" s="73"/>
      <c r="AG19" s="75"/>
      <c r="AH19" s="73"/>
      <c r="AI19" s="75"/>
      <c r="AJ19" s="73"/>
      <c r="AK19" s="75"/>
      <c r="AL19" s="73"/>
      <c r="AM19" s="72"/>
      <c r="AN19" s="76"/>
      <c r="AO19" s="77">
        <f t="shared" si="0"/>
        <v>0</v>
      </c>
      <c r="AP19" s="78">
        <f t="shared" si="1"/>
        <v>0</v>
      </c>
      <c r="AQ19" s="78">
        <f t="shared" si="2"/>
        <v>0</v>
      </c>
      <c r="AR19" s="79">
        <f t="shared" si="3"/>
        <v>0</v>
      </c>
      <c r="AS19" s="80">
        <f t="shared" si="4"/>
        <v>0</v>
      </c>
      <c r="AT19" s="81">
        <f t="shared" si="5"/>
        <v>0</v>
      </c>
      <c r="AU19" s="81">
        <f t="shared" si="6"/>
        <v>0.66249999999999998</v>
      </c>
      <c r="AV19" s="81">
        <f t="shared" si="7"/>
        <v>0.76180555555555562</v>
      </c>
      <c r="AW19" s="81">
        <f t="shared" si="8"/>
        <v>0</v>
      </c>
      <c r="AX19" s="81">
        <f t="shared" si="9"/>
        <v>0</v>
      </c>
      <c r="AY19" s="77">
        <f t="shared" si="10"/>
        <v>0</v>
      </c>
      <c r="AZ19" s="82">
        <f t="shared" si="11"/>
        <v>0</v>
      </c>
      <c r="BA19" s="79">
        <f t="shared" si="12"/>
        <v>0</v>
      </c>
      <c r="BB19" s="80">
        <f>V19 - U19</f>
        <v>9.9305555555555647E-2</v>
      </c>
      <c r="BC19" s="83">
        <f>X19 - W19</f>
        <v>0</v>
      </c>
      <c r="BD19" s="83">
        <f>Z19 - Y19</f>
        <v>0</v>
      </c>
      <c r="BE19" s="83">
        <f>AB19 - AA19</f>
        <v>0</v>
      </c>
      <c r="BF19" s="83">
        <f>AD19 - AC19</f>
        <v>0</v>
      </c>
      <c r="BG19" s="83">
        <f>AF19 - AE19</f>
        <v>0</v>
      </c>
      <c r="BH19" s="83">
        <f>AH19 - AG19</f>
        <v>0</v>
      </c>
      <c r="BI19" s="83">
        <f>AJ19 - AI19</f>
        <v>0</v>
      </c>
      <c r="BJ19" s="83">
        <f>AL19 - AK19</f>
        <v>0</v>
      </c>
      <c r="BK19" s="83">
        <f>AN19 - AM19</f>
        <v>0</v>
      </c>
      <c r="BL19" s="84">
        <f>ROUNDUP(SUM(BB19:BK19) * 288, 0) / 288</f>
        <v>0.10069444444444445</v>
      </c>
      <c r="BM19" s="71">
        <v>46034</v>
      </c>
    </row>
    <row r="20" spans="1:65" x14ac:dyDescent="0.25">
      <c r="A20" s="72">
        <v>0</v>
      </c>
      <c r="B20" s="73">
        <v>0</v>
      </c>
      <c r="C20" s="72">
        <v>0</v>
      </c>
      <c r="D20" s="73">
        <v>0</v>
      </c>
      <c r="E20" s="72">
        <v>0</v>
      </c>
      <c r="F20" s="73">
        <v>0</v>
      </c>
      <c r="G20" s="72">
        <v>0</v>
      </c>
      <c r="H20" s="73">
        <v>0</v>
      </c>
      <c r="I20" s="72">
        <v>0</v>
      </c>
      <c r="J20" s="73">
        <v>0</v>
      </c>
      <c r="K20" s="72">
        <v>0</v>
      </c>
      <c r="L20" s="73">
        <v>0</v>
      </c>
      <c r="M20" s="72">
        <v>0</v>
      </c>
      <c r="N20" s="73">
        <v>0</v>
      </c>
      <c r="O20" s="72">
        <v>0</v>
      </c>
      <c r="P20" s="73">
        <v>0</v>
      </c>
      <c r="Q20" s="72">
        <v>0</v>
      </c>
      <c r="R20" s="73">
        <v>0</v>
      </c>
      <c r="S20" s="72">
        <v>0</v>
      </c>
      <c r="T20" s="73">
        <v>0</v>
      </c>
      <c r="U20" s="74">
        <v>0</v>
      </c>
      <c r="V20" s="73">
        <v>0</v>
      </c>
      <c r="W20" s="72">
        <v>0</v>
      </c>
      <c r="X20" s="73">
        <v>0</v>
      </c>
      <c r="Y20" s="72">
        <v>0</v>
      </c>
      <c r="Z20" s="73">
        <v>0</v>
      </c>
      <c r="AA20" s="72">
        <v>0</v>
      </c>
      <c r="AB20" s="73">
        <v>0</v>
      </c>
      <c r="AC20" s="75">
        <v>0</v>
      </c>
      <c r="AD20" s="73">
        <v>0</v>
      </c>
      <c r="AE20" s="75">
        <v>0</v>
      </c>
      <c r="AF20" s="73">
        <v>0</v>
      </c>
      <c r="AG20" s="75">
        <v>0</v>
      </c>
      <c r="AH20" s="73">
        <v>0</v>
      </c>
      <c r="AI20" s="75">
        <v>0</v>
      </c>
      <c r="AJ20" s="73">
        <v>0</v>
      </c>
      <c r="AK20" s="75">
        <v>0</v>
      </c>
      <c r="AL20" s="73">
        <v>0</v>
      </c>
      <c r="AM20" s="72">
        <v>0</v>
      </c>
      <c r="AN20" s="76">
        <v>0</v>
      </c>
      <c r="AO20" s="77">
        <f t="shared" si="0"/>
        <v>0</v>
      </c>
      <c r="AP20" s="78">
        <f t="shared" si="1"/>
        <v>0</v>
      </c>
      <c r="AQ20" s="78">
        <f t="shared" si="2"/>
        <v>0</v>
      </c>
      <c r="AR20" s="79">
        <f t="shared" si="3"/>
        <v>0</v>
      </c>
      <c r="AS20" s="80">
        <f t="shared" si="4"/>
        <v>0</v>
      </c>
      <c r="AT20" s="81">
        <f t="shared" si="5"/>
        <v>0</v>
      </c>
      <c r="AU20" s="81">
        <f t="shared" si="6"/>
        <v>0</v>
      </c>
      <c r="AV20" s="81">
        <f t="shared" si="7"/>
        <v>0</v>
      </c>
      <c r="AW20" s="81">
        <f t="shared" si="8"/>
        <v>0</v>
      </c>
      <c r="AX20" s="81">
        <f t="shared" si="9"/>
        <v>0</v>
      </c>
      <c r="AY20" s="77">
        <f t="shared" si="10"/>
        <v>0</v>
      </c>
      <c r="AZ20" s="82">
        <f t="shared" si="11"/>
        <v>0</v>
      </c>
      <c r="BA20" s="79">
        <f t="shared" si="12"/>
        <v>0</v>
      </c>
      <c r="BB20" s="80">
        <f>V20 - U20</f>
        <v>0</v>
      </c>
      <c r="BC20" s="83">
        <f>X20 - W20</f>
        <v>0</v>
      </c>
      <c r="BD20" s="83">
        <f>Z20 - Y20</f>
        <v>0</v>
      </c>
      <c r="BE20" s="83">
        <f>AB20 - AA20</f>
        <v>0</v>
      </c>
      <c r="BF20" s="83">
        <f>AD20 - AC20</f>
        <v>0</v>
      </c>
      <c r="BG20" s="83">
        <f>AF20 - AE20</f>
        <v>0</v>
      </c>
      <c r="BH20" s="83">
        <f>AH20 - AG20</f>
        <v>0</v>
      </c>
      <c r="BI20" s="83">
        <f>AJ20 - AI20</f>
        <v>0</v>
      </c>
      <c r="BJ20" s="83">
        <f>AL20 - AK20</f>
        <v>0</v>
      </c>
      <c r="BK20" s="83">
        <f>AN20 - AM20</f>
        <v>0</v>
      </c>
      <c r="BL20" s="84">
        <f>ROUNDUP(SUM(BB20:BK20) * 288, 0) / 288</f>
        <v>0</v>
      </c>
      <c r="BM20" s="71">
        <v>0</v>
      </c>
    </row>
    <row r="21" spans="1:65" x14ac:dyDescent="0.25">
      <c r="A21" s="72">
        <v>0.39444444444444443</v>
      </c>
      <c r="B21" s="73">
        <v>0.5180555555555556</v>
      </c>
      <c r="C21" s="72">
        <v>0</v>
      </c>
      <c r="D21" s="73">
        <v>0</v>
      </c>
      <c r="E21" s="72">
        <v>0</v>
      </c>
      <c r="F21" s="73">
        <v>0</v>
      </c>
      <c r="G21" s="72">
        <v>0</v>
      </c>
      <c r="H21" s="73">
        <v>0</v>
      </c>
      <c r="I21" s="72">
        <v>0</v>
      </c>
      <c r="J21" s="73">
        <v>0</v>
      </c>
      <c r="K21" s="72">
        <v>0</v>
      </c>
      <c r="L21" s="73">
        <v>0</v>
      </c>
      <c r="M21" s="72">
        <v>0</v>
      </c>
      <c r="N21" s="73">
        <v>0</v>
      </c>
      <c r="O21" s="72">
        <v>0</v>
      </c>
      <c r="P21" s="73">
        <v>0</v>
      </c>
      <c r="Q21" s="72">
        <v>0</v>
      </c>
      <c r="R21" s="73">
        <v>0</v>
      </c>
      <c r="S21" s="72">
        <v>0</v>
      </c>
      <c r="T21" s="73">
        <v>0</v>
      </c>
      <c r="U21" s="74">
        <v>0.39444444444444443</v>
      </c>
      <c r="V21" s="73">
        <v>0.5180555555555556</v>
      </c>
      <c r="W21" s="72"/>
      <c r="X21" s="73"/>
      <c r="Y21" s="72"/>
      <c r="Z21" s="73"/>
      <c r="AA21" s="72"/>
      <c r="AB21" s="73"/>
      <c r="AC21" s="75"/>
      <c r="AD21" s="73"/>
      <c r="AE21" s="75"/>
      <c r="AF21" s="73"/>
      <c r="AG21" s="75"/>
      <c r="AH21" s="73"/>
      <c r="AI21" s="75"/>
      <c r="AJ21" s="73"/>
      <c r="AK21" s="75"/>
      <c r="AL21" s="73"/>
      <c r="AM21" s="72"/>
      <c r="AN21" s="76"/>
      <c r="AO21" s="77">
        <f t="shared" si="0"/>
        <v>0</v>
      </c>
      <c r="AP21" s="78">
        <f t="shared" si="1"/>
        <v>0</v>
      </c>
      <c r="AQ21" s="78">
        <f t="shared" si="2"/>
        <v>0</v>
      </c>
      <c r="AR21" s="79">
        <f t="shared" si="3"/>
        <v>0</v>
      </c>
      <c r="AS21" s="80">
        <f t="shared" si="4"/>
        <v>0.39444444444444443</v>
      </c>
      <c r="AT21" s="81">
        <f t="shared" si="5"/>
        <v>0.5180555555555556</v>
      </c>
      <c r="AU21" s="81">
        <f t="shared" si="6"/>
        <v>0</v>
      </c>
      <c r="AV21" s="81">
        <f t="shared" si="7"/>
        <v>0</v>
      </c>
      <c r="AW21" s="81">
        <f t="shared" si="8"/>
        <v>0</v>
      </c>
      <c r="AX21" s="81">
        <f t="shared" si="9"/>
        <v>0</v>
      </c>
      <c r="AY21" s="77">
        <f t="shared" si="10"/>
        <v>0</v>
      </c>
      <c r="AZ21" s="82">
        <f t="shared" si="11"/>
        <v>0</v>
      </c>
      <c r="BA21" s="79">
        <f t="shared" si="12"/>
        <v>0</v>
      </c>
      <c r="BB21" s="80">
        <f>V21 - U21</f>
        <v>0.12361111111111117</v>
      </c>
      <c r="BC21" s="83">
        <f>X21 - W21</f>
        <v>0</v>
      </c>
      <c r="BD21" s="83">
        <f>Z21 - Y21</f>
        <v>0</v>
      </c>
      <c r="BE21" s="83">
        <f>AB21 - AA21</f>
        <v>0</v>
      </c>
      <c r="BF21" s="83">
        <f>AD21 - AC21</f>
        <v>0</v>
      </c>
      <c r="BG21" s="83">
        <f>AF21 - AE21</f>
        <v>0</v>
      </c>
      <c r="BH21" s="83">
        <f>AH21 - AG21</f>
        <v>0</v>
      </c>
      <c r="BI21" s="83">
        <f>AJ21 - AI21</f>
        <v>0</v>
      </c>
      <c r="BJ21" s="83">
        <f>AL21 - AK21</f>
        <v>0</v>
      </c>
      <c r="BK21" s="83">
        <f>AN21 - AM21</f>
        <v>0</v>
      </c>
      <c r="BL21" s="84">
        <f>ROUNDUP(SUM(BB21:BK21) * 288, 0) / 288</f>
        <v>0.125</v>
      </c>
      <c r="BM21" s="71">
        <v>46036</v>
      </c>
    </row>
    <row r="22" spans="1:65" x14ac:dyDescent="0.25">
      <c r="A22" s="72">
        <v>0.5</v>
      </c>
      <c r="B22" s="73">
        <v>0.66736111111111107</v>
      </c>
      <c r="C22" s="72">
        <v>0</v>
      </c>
      <c r="D22" s="73">
        <v>0</v>
      </c>
      <c r="E22" s="72">
        <v>0</v>
      </c>
      <c r="F22" s="73">
        <v>0</v>
      </c>
      <c r="G22" s="72">
        <v>0</v>
      </c>
      <c r="H22" s="73">
        <v>0</v>
      </c>
      <c r="I22" s="72">
        <v>0</v>
      </c>
      <c r="J22" s="73">
        <v>0</v>
      </c>
      <c r="K22" s="72">
        <v>0</v>
      </c>
      <c r="L22" s="73">
        <v>0</v>
      </c>
      <c r="M22" s="72">
        <v>0</v>
      </c>
      <c r="N22" s="73">
        <v>0</v>
      </c>
      <c r="O22" s="72">
        <v>0</v>
      </c>
      <c r="P22" s="73">
        <v>0</v>
      </c>
      <c r="Q22" s="72">
        <v>0</v>
      </c>
      <c r="R22" s="73">
        <v>0</v>
      </c>
      <c r="S22" s="72">
        <v>0</v>
      </c>
      <c r="T22" s="73">
        <v>0</v>
      </c>
      <c r="U22" s="74">
        <v>0.5</v>
      </c>
      <c r="V22" s="73">
        <v>0.66736111111111107</v>
      </c>
      <c r="W22" s="72"/>
      <c r="X22" s="73"/>
      <c r="Y22" s="72"/>
      <c r="Z22" s="73"/>
      <c r="AA22" s="72"/>
      <c r="AB22" s="73"/>
      <c r="AC22" s="75"/>
      <c r="AD22" s="73"/>
      <c r="AE22" s="75"/>
      <c r="AF22" s="73"/>
      <c r="AG22" s="75"/>
      <c r="AH22" s="73"/>
      <c r="AI22" s="75"/>
      <c r="AJ22" s="73"/>
      <c r="AK22" s="75"/>
      <c r="AL22" s="73"/>
      <c r="AM22" s="72"/>
      <c r="AN22" s="76"/>
      <c r="AO22" s="77">
        <f t="shared" si="0"/>
        <v>0</v>
      </c>
      <c r="AP22" s="78">
        <f t="shared" si="1"/>
        <v>0</v>
      </c>
      <c r="AQ22" s="78">
        <f t="shared" si="2"/>
        <v>0</v>
      </c>
      <c r="AR22" s="79">
        <f t="shared" si="3"/>
        <v>0</v>
      </c>
      <c r="AS22" s="80">
        <f t="shared" si="4"/>
        <v>0</v>
      </c>
      <c r="AT22" s="81">
        <f t="shared" si="5"/>
        <v>0</v>
      </c>
      <c r="AU22" s="81">
        <f t="shared" si="6"/>
        <v>0.5</v>
      </c>
      <c r="AV22" s="81">
        <f t="shared" si="7"/>
        <v>0.66736111111111107</v>
      </c>
      <c r="AW22" s="81">
        <f t="shared" si="8"/>
        <v>0</v>
      </c>
      <c r="AX22" s="81">
        <f t="shared" si="9"/>
        <v>0</v>
      </c>
      <c r="AY22" s="77">
        <f t="shared" si="10"/>
        <v>0</v>
      </c>
      <c r="AZ22" s="82">
        <f t="shared" si="11"/>
        <v>0</v>
      </c>
      <c r="BA22" s="79">
        <f t="shared" si="12"/>
        <v>0</v>
      </c>
      <c r="BB22" s="80">
        <f>V22 - U22</f>
        <v>0.16736111111111107</v>
      </c>
      <c r="BC22" s="83">
        <f>X22 - W22</f>
        <v>0</v>
      </c>
      <c r="BD22" s="83">
        <f>Z22 - Y22</f>
        <v>0</v>
      </c>
      <c r="BE22" s="83">
        <f>AB22 - AA22</f>
        <v>0</v>
      </c>
      <c r="BF22" s="83">
        <f>AD22 - AC22</f>
        <v>0</v>
      </c>
      <c r="BG22" s="83">
        <f>AF22 - AE22</f>
        <v>0</v>
      </c>
      <c r="BH22" s="83">
        <f>AH22 - AG22</f>
        <v>0</v>
      </c>
      <c r="BI22" s="83">
        <f>AJ22 - AI22</f>
        <v>0</v>
      </c>
      <c r="BJ22" s="83">
        <f>AL22 - AK22</f>
        <v>0</v>
      </c>
      <c r="BK22" s="83">
        <f>AN22 - AM22</f>
        <v>0</v>
      </c>
      <c r="BL22" s="84">
        <f>ROUNDUP(SUM(BB22:BK22) * 288, 0) / 288</f>
        <v>0.1701388888888889</v>
      </c>
      <c r="BM22" s="71">
        <v>46037</v>
      </c>
    </row>
    <row r="23" spans="1:65" x14ac:dyDescent="0.25">
      <c r="A23" s="72">
        <v>0.58680555555555558</v>
      </c>
      <c r="B23" s="73">
        <v>0.76249999999999996</v>
      </c>
      <c r="C23" s="72">
        <v>0</v>
      </c>
      <c r="D23" s="73">
        <v>0</v>
      </c>
      <c r="E23" s="72">
        <v>0</v>
      </c>
      <c r="F23" s="73">
        <v>0</v>
      </c>
      <c r="G23" s="72">
        <v>0</v>
      </c>
      <c r="H23" s="73">
        <v>0</v>
      </c>
      <c r="I23" s="72">
        <v>0</v>
      </c>
      <c r="J23" s="73">
        <v>0</v>
      </c>
      <c r="K23" s="72">
        <v>0</v>
      </c>
      <c r="L23" s="73">
        <v>0</v>
      </c>
      <c r="M23" s="72">
        <v>0</v>
      </c>
      <c r="N23" s="73">
        <v>0</v>
      </c>
      <c r="O23" s="72">
        <v>0</v>
      </c>
      <c r="P23" s="73">
        <v>0</v>
      </c>
      <c r="Q23" s="72">
        <v>0</v>
      </c>
      <c r="R23" s="73">
        <v>0</v>
      </c>
      <c r="S23" s="72">
        <v>0</v>
      </c>
      <c r="T23" s="73">
        <v>0</v>
      </c>
      <c r="U23" s="74">
        <v>0.58680555555555558</v>
      </c>
      <c r="V23" s="73">
        <v>0.76250000000000007</v>
      </c>
      <c r="W23" s="72"/>
      <c r="X23" s="73"/>
      <c r="Y23" s="72"/>
      <c r="Z23" s="73"/>
      <c r="AA23" s="72"/>
      <c r="AB23" s="73"/>
      <c r="AC23" s="75"/>
      <c r="AD23" s="73"/>
      <c r="AE23" s="75"/>
      <c r="AF23" s="73"/>
      <c r="AG23" s="75"/>
      <c r="AH23" s="73"/>
      <c r="AI23" s="75"/>
      <c r="AJ23" s="73"/>
      <c r="AK23" s="75"/>
      <c r="AL23" s="73"/>
      <c r="AM23" s="72"/>
      <c r="AN23" s="76"/>
      <c r="AO23" s="77">
        <f t="shared" si="0"/>
        <v>0</v>
      </c>
      <c r="AP23" s="78">
        <f t="shared" si="1"/>
        <v>0</v>
      </c>
      <c r="AQ23" s="78">
        <f t="shared" si="2"/>
        <v>0</v>
      </c>
      <c r="AR23" s="79">
        <f t="shared" si="3"/>
        <v>0</v>
      </c>
      <c r="AS23" s="80">
        <f t="shared" si="4"/>
        <v>0</v>
      </c>
      <c r="AT23" s="81">
        <f t="shared" si="5"/>
        <v>0</v>
      </c>
      <c r="AU23" s="81">
        <f t="shared" si="6"/>
        <v>0.58680555555555558</v>
      </c>
      <c r="AV23" s="81">
        <f t="shared" si="7"/>
        <v>0.76250000000000007</v>
      </c>
      <c r="AW23" s="81">
        <f t="shared" si="8"/>
        <v>0</v>
      </c>
      <c r="AX23" s="81">
        <f t="shared" si="9"/>
        <v>0</v>
      </c>
      <c r="AY23" s="77">
        <f t="shared" si="10"/>
        <v>0</v>
      </c>
      <c r="AZ23" s="82">
        <f t="shared" si="11"/>
        <v>0</v>
      </c>
      <c r="BA23" s="79">
        <f t="shared" si="12"/>
        <v>0</v>
      </c>
      <c r="BB23" s="80">
        <f>V23 - U23</f>
        <v>0.17569444444444449</v>
      </c>
      <c r="BC23" s="83">
        <f>X23 - W23</f>
        <v>0</v>
      </c>
      <c r="BD23" s="83">
        <f>Z23 - Y23</f>
        <v>0</v>
      </c>
      <c r="BE23" s="83">
        <f>AB23 - AA23</f>
        <v>0</v>
      </c>
      <c r="BF23" s="83">
        <f>AD23 - AC23</f>
        <v>0</v>
      </c>
      <c r="BG23" s="83">
        <f>AF23 - AE23</f>
        <v>0</v>
      </c>
      <c r="BH23" s="83">
        <f>AH23 - AG23</f>
        <v>0</v>
      </c>
      <c r="BI23" s="83">
        <f>AJ23 - AI23</f>
        <v>0</v>
      </c>
      <c r="BJ23" s="83">
        <f>AL23 - AK23</f>
        <v>0</v>
      </c>
      <c r="BK23" s="83">
        <f>AN23 - AM23</f>
        <v>0</v>
      </c>
      <c r="BL23" s="84">
        <f>ROUNDUP(SUM(BB23:BK23) * 288, 0) / 288</f>
        <v>0.17708333333333334</v>
      </c>
      <c r="BM23" s="71">
        <v>46038</v>
      </c>
    </row>
    <row r="24" spans="1:65" x14ac:dyDescent="0.25">
      <c r="A24" s="72">
        <v>0</v>
      </c>
      <c r="B24" s="73">
        <v>0</v>
      </c>
      <c r="C24" s="72">
        <v>0</v>
      </c>
      <c r="D24" s="73">
        <v>0</v>
      </c>
      <c r="E24" s="72">
        <v>0</v>
      </c>
      <c r="F24" s="73">
        <v>0</v>
      </c>
      <c r="G24" s="72">
        <v>0</v>
      </c>
      <c r="H24" s="73">
        <v>0</v>
      </c>
      <c r="I24" s="72">
        <v>0</v>
      </c>
      <c r="J24" s="73">
        <v>0</v>
      </c>
      <c r="K24" s="72">
        <v>0</v>
      </c>
      <c r="L24" s="73">
        <v>0</v>
      </c>
      <c r="M24" s="72">
        <v>0</v>
      </c>
      <c r="N24" s="73">
        <v>0</v>
      </c>
      <c r="O24" s="72">
        <v>0</v>
      </c>
      <c r="P24" s="73">
        <v>0</v>
      </c>
      <c r="Q24" s="72">
        <v>0</v>
      </c>
      <c r="R24" s="73">
        <v>0</v>
      </c>
      <c r="S24" s="72">
        <v>0</v>
      </c>
      <c r="T24" s="73">
        <v>0</v>
      </c>
      <c r="U24" s="74">
        <v>0</v>
      </c>
      <c r="V24" s="73">
        <v>0</v>
      </c>
      <c r="W24" s="72">
        <v>0</v>
      </c>
      <c r="X24" s="73">
        <v>0</v>
      </c>
      <c r="Y24" s="72">
        <v>0</v>
      </c>
      <c r="Z24" s="73">
        <v>0</v>
      </c>
      <c r="AA24" s="72">
        <v>0</v>
      </c>
      <c r="AB24" s="73">
        <v>0</v>
      </c>
      <c r="AC24" s="75">
        <v>0</v>
      </c>
      <c r="AD24" s="73">
        <v>0</v>
      </c>
      <c r="AE24" s="75">
        <v>0</v>
      </c>
      <c r="AF24" s="73">
        <v>0</v>
      </c>
      <c r="AG24" s="75">
        <v>0</v>
      </c>
      <c r="AH24" s="73">
        <v>0</v>
      </c>
      <c r="AI24" s="75">
        <v>0</v>
      </c>
      <c r="AJ24" s="73">
        <v>0</v>
      </c>
      <c r="AK24" s="75">
        <v>0</v>
      </c>
      <c r="AL24" s="73">
        <v>0</v>
      </c>
      <c r="AM24" s="72">
        <v>0</v>
      </c>
      <c r="AN24" s="76">
        <v>0</v>
      </c>
      <c r="AO24" s="77">
        <f t="shared" si="0"/>
        <v>0</v>
      </c>
      <c r="AP24" s="78">
        <f t="shared" si="1"/>
        <v>0</v>
      </c>
      <c r="AQ24" s="78">
        <f t="shared" si="2"/>
        <v>0</v>
      </c>
      <c r="AR24" s="79">
        <f t="shared" si="3"/>
        <v>0</v>
      </c>
      <c r="AS24" s="80">
        <f t="shared" si="4"/>
        <v>0</v>
      </c>
      <c r="AT24" s="81">
        <f t="shared" si="5"/>
        <v>0</v>
      </c>
      <c r="AU24" s="81">
        <f t="shared" si="6"/>
        <v>0</v>
      </c>
      <c r="AV24" s="81">
        <f t="shared" si="7"/>
        <v>0</v>
      </c>
      <c r="AW24" s="81">
        <f t="shared" si="8"/>
        <v>0</v>
      </c>
      <c r="AX24" s="81">
        <f t="shared" si="9"/>
        <v>0</v>
      </c>
      <c r="AY24" s="77">
        <f t="shared" si="10"/>
        <v>0</v>
      </c>
      <c r="AZ24" s="82">
        <f t="shared" si="11"/>
        <v>0</v>
      </c>
      <c r="BA24" s="79">
        <f t="shared" si="12"/>
        <v>0</v>
      </c>
      <c r="BB24" s="80">
        <f>V24 - U24</f>
        <v>0</v>
      </c>
      <c r="BC24" s="83">
        <f>X24 - W24</f>
        <v>0</v>
      </c>
      <c r="BD24" s="83">
        <f>Z24 - Y24</f>
        <v>0</v>
      </c>
      <c r="BE24" s="83">
        <f>AB24 - AA24</f>
        <v>0</v>
      </c>
      <c r="BF24" s="83">
        <f>AD24 - AC24</f>
        <v>0</v>
      </c>
      <c r="BG24" s="83">
        <f>AF24 - AE24</f>
        <v>0</v>
      </c>
      <c r="BH24" s="83">
        <f>AH24 - AG24</f>
        <v>0</v>
      </c>
      <c r="BI24" s="83">
        <f>AJ24 - AI24</f>
        <v>0</v>
      </c>
      <c r="BJ24" s="83">
        <f>AL24 - AK24</f>
        <v>0</v>
      </c>
      <c r="BK24" s="83">
        <f>AN24 - AM24</f>
        <v>0</v>
      </c>
      <c r="BL24" s="84">
        <f>ROUNDUP(SUM(BB24:BK24) * 288, 0) / 288</f>
        <v>0</v>
      </c>
      <c r="BM24" s="71">
        <v>0</v>
      </c>
    </row>
    <row r="25" spans="1:65" x14ac:dyDescent="0.25">
      <c r="A25" s="72">
        <v>0</v>
      </c>
      <c r="B25" s="73">
        <v>0</v>
      </c>
      <c r="C25" s="72">
        <v>0</v>
      </c>
      <c r="D25" s="73">
        <v>0</v>
      </c>
      <c r="E25" s="72">
        <v>0</v>
      </c>
      <c r="F25" s="73">
        <v>0</v>
      </c>
      <c r="G25" s="72">
        <v>0</v>
      </c>
      <c r="H25" s="73">
        <v>0</v>
      </c>
      <c r="I25" s="72">
        <v>0</v>
      </c>
      <c r="J25" s="73">
        <v>0</v>
      </c>
      <c r="K25" s="72">
        <v>0</v>
      </c>
      <c r="L25" s="73">
        <v>0</v>
      </c>
      <c r="M25" s="72">
        <v>0</v>
      </c>
      <c r="N25" s="73">
        <v>0</v>
      </c>
      <c r="O25" s="72">
        <v>0</v>
      </c>
      <c r="P25" s="73">
        <v>0</v>
      </c>
      <c r="Q25" s="72">
        <v>0</v>
      </c>
      <c r="R25" s="73">
        <v>0</v>
      </c>
      <c r="S25" s="72">
        <v>0</v>
      </c>
      <c r="T25" s="73">
        <v>0</v>
      </c>
      <c r="U25" s="74">
        <v>0</v>
      </c>
      <c r="V25" s="73">
        <v>0</v>
      </c>
      <c r="W25" s="72">
        <v>0</v>
      </c>
      <c r="X25" s="73">
        <v>0</v>
      </c>
      <c r="Y25" s="72">
        <v>0</v>
      </c>
      <c r="Z25" s="73">
        <v>0</v>
      </c>
      <c r="AA25" s="72">
        <v>0</v>
      </c>
      <c r="AB25" s="73">
        <v>0</v>
      </c>
      <c r="AC25" s="75">
        <v>0</v>
      </c>
      <c r="AD25" s="73">
        <v>0</v>
      </c>
      <c r="AE25" s="75">
        <v>0</v>
      </c>
      <c r="AF25" s="73">
        <v>0</v>
      </c>
      <c r="AG25" s="75">
        <v>0</v>
      </c>
      <c r="AH25" s="73">
        <v>0</v>
      </c>
      <c r="AI25" s="75">
        <v>0</v>
      </c>
      <c r="AJ25" s="73">
        <v>0</v>
      </c>
      <c r="AK25" s="75">
        <v>0</v>
      </c>
      <c r="AL25" s="73">
        <v>0</v>
      </c>
      <c r="AM25" s="72">
        <v>0</v>
      </c>
      <c r="AN25" s="76">
        <v>0</v>
      </c>
      <c r="AO25" s="77">
        <f t="shared" si="0"/>
        <v>0</v>
      </c>
      <c r="AP25" s="78">
        <f t="shared" si="1"/>
        <v>0</v>
      </c>
      <c r="AQ25" s="78">
        <f t="shared" si="2"/>
        <v>0</v>
      </c>
      <c r="AR25" s="79">
        <f t="shared" si="3"/>
        <v>0</v>
      </c>
      <c r="AS25" s="80">
        <f t="shared" si="4"/>
        <v>0</v>
      </c>
      <c r="AT25" s="81">
        <f t="shared" si="5"/>
        <v>0</v>
      </c>
      <c r="AU25" s="81">
        <f t="shared" si="6"/>
        <v>0</v>
      </c>
      <c r="AV25" s="81">
        <f t="shared" si="7"/>
        <v>0</v>
      </c>
      <c r="AW25" s="81">
        <f t="shared" si="8"/>
        <v>0</v>
      </c>
      <c r="AX25" s="81">
        <f t="shared" si="9"/>
        <v>0</v>
      </c>
      <c r="AY25" s="77">
        <f t="shared" si="10"/>
        <v>0</v>
      </c>
      <c r="AZ25" s="82">
        <f t="shared" si="11"/>
        <v>0</v>
      </c>
      <c r="BA25" s="79">
        <f t="shared" si="12"/>
        <v>0</v>
      </c>
      <c r="BB25" s="80">
        <f>V25 - U25</f>
        <v>0</v>
      </c>
      <c r="BC25" s="83">
        <f>X25 - W25</f>
        <v>0</v>
      </c>
      <c r="BD25" s="83">
        <f>Z25 - Y25</f>
        <v>0</v>
      </c>
      <c r="BE25" s="83">
        <f>AB25 - AA25</f>
        <v>0</v>
      </c>
      <c r="BF25" s="83">
        <f>AD25 - AC25</f>
        <v>0</v>
      </c>
      <c r="BG25" s="83">
        <f>AF25 - AE25</f>
        <v>0</v>
      </c>
      <c r="BH25" s="83">
        <f>AH25 - AG25</f>
        <v>0</v>
      </c>
      <c r="BI25" s="83">
        <f>AJ25 - AI25</f>
        <v>0</v>
      </c>
      <c r="BJ25" s="83">
        <f>AL25 - AK25</f>
        <v>0</v>
      </c>
      <c r="BK25" s="83">
        <f>AN25 - AM25</f>
        <v>0</v>
      </c>
      <c r="BL25" s="84">
        <f>ROUNDUP(SUM(BB25:BK25) * 288, 0) / 288</f>
        <v>0</v>
      </c>
      <c r="BM25" s="71">
        <v>0</v>
      </c>
    </row>
    <row r="26" spans="1:65" x14ac:dyDescent="0.25">
      <c r="A26" s="72">
        <v>0.40902777777777777</v>
      </c>
      <c r="B26" s="73">
        <v>0.54097222222222219</v>
      </c>
      <c r="C26" s="72">
        <v>0.64236111111111116</v>
      </c>
      <c r="D26" s="73">
        <v>0.74652777777777779</v>
      </c>
      <c r="E26" s="72">
        <v>0</v>
      </c>
      <c r="F26" s="73">
        <v>0</v>
      </c>
      <c r="G26" s="72">
        <v>0</v>
      </c>
      <c r="H26" s="73">
        <v>0</v>
      </c>
      <c r="I26" s="72">
        <v>0</v>
      </c>
      <c r="J26" s="73">
        <v>0</v>
      </c>
      <c r="K26" s="72">
        <v>0</v>
      </c>
      <c r="L26" s="73">
        <v>0</v>
      </c>
      <c r="M26" s="72">
        <v>0</v>
      </c>
      <c r="N26" s="73">
        <v>0</v>
      </c>
      <c r="O26" s="72">
        <v>0</v>
      </c>
      <c r="P26" s="73">
        <v>0</v>
      </c>
      <c r="Q26" s="72">
        <v>0</v>
      </c>
      <c r="R26" s="73">
        <v>0</v>
      </c>
      <c r="S26" s="72">
        <v>0</v>
      </c>
      <c r="T26" s="73">
        <v>0</v>
      </c>
      <c r="U26" s="74">
        <v>0.40902777777777777</v>
      </c>
      <c r="V26" s="73">
        <v>0.54097222222222219</v>
      </c>
      <c r="W26" s="72">
        <v>0.64236111111111105</v>
      </c>
      <c r="X26" s="73">
        <v>0.74652777777777779</v>
      </c>
      <c r="Y26" s="72"/>
      <c r="Z26" s="73"/>
      <c r="AA26" s="72"/>
      <c r="AB26" s="73"/>
      <c r="AC26" s="75"/>
      <c r="AD26" s="73"/>
      <c r="AE26" s="75"/>
      <c r="AF26" s="73"/>
      <c r="AG26" s="75"/>
      <c r="AH26" s="73"/>
      <c r="AI26" s="75"/>
      <c r="AJ26" s="73"/>
      <c r="AK26" s="75"/>
      <c r="AL26" s="73"/>
      <c r="AM26" s="72"/>
      <c r="AN26" s="76"/>
      <c r="AO26" s="77">
        <f t="shared" si="0"/>
        <v>1</v>
      </c>
      <c r="AP26" s="78">
        <f t="shared" si="1"/>
        <v>0</v>
      </c>
      <c r="AQ26" s="78">
        <f t="shared" si="2"/>
        <v>0</v>
      </c>
      <c r="AR26" s="79">
        <f t="shared" si="3"/>
        <v>0</v>
      </c>
      <c r="AS26" s="80">
        <f t="shared" si="4"/>
        <v>0.40902777777777777</v>
      </c>
      <c r="AT26" s="81">
        <f t="shared" si="5"/>
        <v>0.54097222222222219</v>
      </c>
      <c r="AU26" s="81">
        <f t="shared" si="6"/>
        <v>0.64236111111111105</v>
      </c>
      <c r="AV26" s="81">
        <f t="shared" si="7"/>
        <v>0.74652777777777779</v>
      </c>
      <c r="AW26" s="81">
        <f t="shared" si="8"/>
        <v>0</v>
      </c>
      <c r="AX26" s="81">
        <f t="shared" si="9"/>
        <v>0</v>
      </c>
      <c r="AY26" s="77">
        <f t="shared" si="10"/>
        <v>0</v>
      </c>
      <c r="AZ26" s="82">
        <f t="shared" si="11"/>
        <v>0</v>
      </c>
      <c r="BA26" s="79">
        <f t="shared" si="12"/>
        <v>0</v>
      </c>
      <c r="BB26" s="80">
        <f>V26 - U26</f>
        <v>0.13194444444444442</v>
      </c>
      <c r="BC26" s="83">
        <f>X26 - W26</f>
        <v>0.10416666666666674</v>
      </c>
      <c r="BD26" s="83">
        <f>Z26 - Y26</f>
        <v>0</v>
      </c>
      <c r="BE26" s="83">
        <f>AB26 - AA26</f>
        <v>0</v>
      </c>
      <c r="BF26" s="83">
        <f>AD26 - AC26</f>
        <v>0</v>
      </c>
      <c r="BG26" s="83">
        <f>AF26 - AE26</f>
        <v>0</v>
      </c>
      <c r="BH26" s="83">
        <f>AH26 - AG26</f>
        <v>0</v>
      </c>
      <c r="BI26" s="83">
        <f>AJ26 - AI26</f>
        <v>0</v>
      </c>
      <c r="BJ26" s="83">
        <f>AL26 - AK26</f>
        <v>0</v>
      </c>
      <c r="BK26" s="83">
        <f>AN26 - AM26</f>
        <v>0</v>
      </c>
      <c r="BL26" s="84">
        <f>ROUNDUP(SUM(BB26:BK26) * 288, 0) / 288</f>
        <v>0.2361111111111111</v>
      </c>
      <c r="BM26" s="71">
        <v>46041</v>
      </c>
    </row>
    <row r="27" spans="1:65" x14ac:dyDescent="0.25">
      <c r="A27" s="72">
        <v>0.38541666666666669</v>
      </c>
      <c r="B27" s="73">
        <v>0.51388888888888884</v>
      </c>
      <c r="C27" s="72">
        <v>0</v>
      </c>
      <c r="D27" s="73">
        <v>0</v>
      </c>
      <c r="E27" s="72">
        <v>0</v>
      </c>
      <c r="F27" s="73">
        <v>0</v>
      </c>
      <c r="G27" s="72">
        <v>0</v>
      </c>
      <c r="H27" s="73">
        <v>0</v>
      </c>
      <c r="I27" s="72">
        <v>0</v>
      </c>
      <c r="J27" s="73">
        <v>0</v>
      </c>
      <c r="K27" s="72">
        <v>0</v>
      </c>
      <c r="L27" s="73">
        <v>0</v>
      </c>
      <c r="M27" s="72">
        <v>0</v>
      </c>
      <c r="N27" s="73">
        <v>0</v>
      </c>
      <c r="O27" s="72">
        <v>0</v>
      </c>
      <c r="P27" s="73">
        <v>0</v>
      </c>
      <c r="Q27" s="72">
        <v>0</v>
      </c>
      <c r="R27" s="73">
        <v>0</v>
      </c>
      <c r="S27" s="72">
        <v>0</v>
      </c>
      <c r="T27" s="73">
        <v>0</v>
      </c>
      <c r="U27" s="74">
        <v>0.38541666666666669</v>
      </c>
      <c r="V27" s="73">
        <v>0.51388888888888895</v>
      </c>
      <c r="W27" s="72"/>
      <c r="X27" s="73"/>
      <c r="Y27" s="72"/>
      <c r="Z27" s="73"/>
      <c r="AA27" s="72"/>
      <c r="AB27" s="73"/>
      <c r="AC27" s="75"/>
      <c r="AD27" s="73"/>
      <c r="AE27" s="75"/>
      <c r="AF27" s="73"/>
      <c r="AG27" s="75"/>
      <c r="AH27" s="73"/>
      <c r="AI27" s="75"/>
      <c r="AJ27" s="73"/>
      <c r="AK27" s="75"/>
      <c r="AL27" s="73"/>
      <c r="AM27" s="72"/>
      <c r="AN27" s="76"/>
      <c r="AO27" s="77">
        <f t="shared" si="0"/>
        <v>0</v>
      </c>
      <c r="AP27" s="78">
        <f t="shared" si="1"/>
        <v>0</v>
      </c>
      <c r="AQ27" s="78">
        <f t="shared" si="2"/>
        <v>0</v>
      </c>
      <c r="AR27" s="79">
        <f t="shared" si="3"/>
        <v>0</v>
      </c>
      <c r="AS27" s="80">
        <f t="shared" si="4"/>
        <v>0.38541666666666669</v>
      </c>
      <c r="AT27" s="81">
        <f t="shared" si="5"/>
        <v>0.51388888888888895</v>
      </c>
      <c r="AU27" s="81">
        <f t="shared" si="6"/>
        <v>0</v>
      </c>
      <c r="AV27" s="81">
        <f t="shared" si="7"/>
        <v>0</v>
      </c>
      <c r="AW27" s="81">
        <f t="shared" si="8"/>
        <v>0</v>
      </c>
      <c r="AX27" s="81">
        <f t="shared" si="9"/>
        <v>0</v>
      </c>
      <c r="AY27" s="77">
        <f t="shared" si="10"/>
        <v>0</v>
      </c>
      <c r="AZ27" s="82">
        <f t="shared" si="11"/>
        <v>0</v>
      </c>
      <c r="BA27" s="79">
        <f t="shared" si="12"/>
        <v>0</v>
      </c>
      <c r="BB27" s="80">
        <f>V27 - U27</f>
        <v>0.12847222222222227</v>
      </c>
      <c r="BC27" s="83">
        <f>X27 - W27</f>
        <v>0</v>
      </c>
      <c r="BD27" s="83">
        <f>Z27 - Y27</f>
        <v>0</v>
      </c>
      <c r="BE27" s="83">
        <f>AB27 - AA27</f>
        <v>0</v>
      </c>
      <c r="BF27" s="83">
        <f>AD27 - AC27</f>
        <v>0</v>
      </c>
      <c r="BG27" s="83">
        <f>AF27 - AE27</f>
        <v>0</v>
      </c>
      <c r="BH27" s="83">
        <f>AH27 - AG27</f>
        <v>0</v>
      </c>
      <c r="BI27" s="83">
        <f>AJ27 - AI27</f>
        <v>0</v>
      </c>
      <c r="BJ27" s="83">
        <f>AL27 - AK27</f>
        <v>0</v>
      </c>
      <c r="BK27" s="83">
        <f>AN27 - AM27</f>
        <v>0</v>
      </c>
      <c r="BL27" s="84">
        <f>ROUNDUP(SUM(BB27:BK27) * 288, 0) / 288</f>
        <v>0.12847222222222221</v>
      </c>
      <c r="BM27" s="71">
        <v>46042</v>
      </c>
    </row>
    <row r="28" spans="1:65" x14ac:dyDescent="0.25">
      <c r="A28" s="72">
        <v>0.55902777777777779</v>
      </c>
      <c r="B28" s="73">
        <v>0.6381944444444444</v>
      </c>
      <c r="C28" s="72">
        <v>0</v>
      </c>
      <c r="D28" s="73">
        <v>0</v>
      </c>
      <c r="E28" s="72">
        <v>0</v>
      </c>
      <c r="F28" s="73">
        <v>0</v>
      </c>
      <c r="G28" s="72">
        <v>0</v>
      </c>
      <c r="H28" s="73">
        <v>0</v>
      </c>
      <c r="I28" s="72">
        <v>0</v>
      </c>
      <c r="J28" s="73">
        <v>0</v>
      </c>
      <c r="K28" s="72">
        <v>0</v>
      </c>
      <c r="L28" s="73">
        <v>0</v>
      </c>
      <c r="M28" s="72">
        <v>0</v>
      </c>
      <c r="N28" s="73">
        <v>0</v>
      </c>
      <c r="O28" s="72">
        <v>0</v>
      </c>
      <c r="P28" s="73">
        <v>0</v>
      </c>
      <c r="Q28" s="72">
        <v>0</v>
      </c>
      <c r="R28" s="73">
        <v>0</v>
      </c>
      <c r="S28" s="72">
        <v>0</v>
      </c>
      <c r="T28" s="73">
        <v>0</v>
      </c>
      <c r="U28" s="74">
        <v>0.55902777777777779</v>
      </c>
      <c r="V28" s="73">
        <v>0.6381944444444444</v>
      </c>
      <c r="W28" s="72"/>
      <c r="X28" s="73"/>
      <c r="Y28" s="72"/>
      <c r="Z28" s="73"/>
      <c r="AA28" s="72"/>
      <c r="AB28" s="73"/>
      <c r="AC28" s="75"/>
      <c r="AD28" s="73"/>
      <c r="AE28" s="75"/>
      <c r="AF28" s="73"/>
      <c r="AG28" s="75"/>
      <c r="AH28" s="73"/>
      <c r="AI28" s="75"/>
      <c r="AJ28" s="73"/>
      <c r="AK28" s="75"/>
      <c r="AL28" s="73"/>
      <c r="AM28" s="72"/>
      <c r="AN28" s="76"/>
      <c r="AO28" s="77">
        <f t="shared" si="0"/>
        <v>0</v>
      </c>
      <c r="AP28" s="78">
        <f t="shared" si="1"/>
        <v>0</v>
      </c>
      <c r="AQ28" s="78">
        <f t="shared" si="2"/>
        <v>0</v>
      </c>
      <c r="AR28" s="79">
        <f t="shared" si="3"/>
        <v>0</v>
      </c>
      <c r="AS28" s="80">
        <f t="shared" si="4"/>
        <v>0</v>
      </c>
      <c r="AT28" s="81">
        <f t="shared" si="5"/>
        <v>0</v>
      </c>
      <c r="AU28" s="81">
        <f t="shared" si="6"/>
        <v>0.55902777777777779</v>
      </c>
      <c r="AV28" s="81">
        <f t="shared" si="7"/>
        <v>0.6381944444444444</v>
      </c>
      <c r="AW28" s="81">
        <f t="shared" si="8"/>
        <v>0</v>
      </c>
      <c r="AX28" s="81">
        <f t="shared" si="9"/>
        <v>0</v>
      </c>
      <c r="AY28" s="77">
        <f t="shared" si="10"/>
        <v>0</v>
      </c>
      <c r="AZ28" s="82">
        <f t="shared" si="11"/>
        <v>0</v>
      </c>
      <c r="BA28" s="79">
        <f t="shared" si="12"/>
        <v>0</v>
      </c>
      <c r="BB28" s="80">
        <f>V28 - U28</f>
        <v>7.9166666666666607E-2</v>
      </c>
      <c r="BC28" s="83">
        <f>X28 - W28</f>
        <v>0</v>
      </c>
      <c r="BD28" s="83">
        <f>Z28 - Y28</f>
        <v>0</v>
      </c>
      <c r="BE28" s="83">
        <f>AB28 - AA28</f>
        <v>0</v>
      </c>
      <c r="BF28" s="83">
        <f>AD28 - AC28</f>
        <v>0</v>
      </c>
      <c r="BG28" s="83">
        <f>AF28 - AE28</f>
        <v>0</v>
      </c>
      <c r="BH28" s="83">
        <f>AH28 - AG28</f>
        <v>0</v>
      </c>
      <c r="BI28" s="83">
        <f>AJ28 - AI28</f>
        <v>0</v>
      </c>
      <c r="BJ28" s="83">
        <f>AL28 - AK28</f>
        <v>0</v>
      </c>
      <c r="BK28" s="83">
        <f>AN28 - AM28</f>
        <v>0</v>
      </c>
      <c r="BL28" s="84">
        <f>ROUNDUP(SUM(BB28:BK28) * 288, 0) / 288</f>
        <v>7.9861111111111105E-2</v>
      </c>
      <c r="BM28" s="71">
        <v>46043</v>
      </c>
    </row>
    <row r="29" spans="1:65" x14ac:dyDescent="0.25">
      <c r="A29" s="72">
        <v>0.57986111111111116</v>
      </c>
      <c r="B29" s="73">
        <v>0.72083333333333333</v>
      </c>
      <c r="C29" s="72">
        <v>0</v>
      </c>
      <c r="D29" s="73">
        <v>0</v>
      </c>
      <c r="E29" s="72">
        <v>0</v>
      </c>
      <c r="F29" s="73">
        <v>0</v>
      </c>
      <c r="G29" s="72">
        <v>0</v>
      </c>
      <c r="H29" s="73">
        <v>0</v>
      </c>
      <c r="I29" s="72">
        <v>0</v>
      </c>
      <c r="J29" s="73">
        <v>0</v>
      </c>
      <c r="K29" s="72">
        <v>0</v>
      </c>
      <c r="L29" s="73">
        <v>0</v>
      </c>
      <c r="M29" s="72">
        <v>0</v>
      </c>
      <c r="N29" s="73">
        <v>0</v>
      </c>
      <c r="O29" s="72">
        <v>0</v>
      </c>
      <c r="P29" s="73">
        <v>0</v>
      </c>
      <c r="Q29" s="72">
        <v>0</v>
      </c>
      <c r="R29" s="73">
        <v>0</v>
      </c>
      <c r="S29" s="72">
        <v>0</v>
      </c>
      <c r="T29" s="73">
        <v>0</v>
      </c>
      <c r="U29" s="74">
        <v>0.57986111111111105</v>
      </c>
      <c r="V29" s="73">
        <v>0.72083333333333333</v>
      </c>
      <c r="W29" s="72"/>
      <c r="X29" s="73"/>
      <c r="Y29" s="72"/>
      <c r="Z29" s="73"/>
      <c r="AA29" s="72"/>
      <c r="AB29" s="73"/>
      <c r="AC29" s="75"/>
      <c r="AD29" s="73"/>
      <c r="AE29" s="75"/>
      <c r="AF29" s="73"/>
      <c r="AG29" s="75"/>
      <c r="AH29" s="73"/>
      <c r="AI29" s="75"/>
      <c r="AJ29" s="73"/>
      <c r="AK29" s="75"/>
      <c r="AL29" s="73"/>
      <c r="AM29" s="72"/>
      <c r="AN29" s="76"/>
      <c r="AO29" s="77">
        <f t="shared" si="0"/>
        <v>0</v>
      </c>
      <c r="AP29" s="78">
        <f t="shared" si="1"/>
        <v>0</v>
      </c>
      <c r="AQ29" s="78">
        <f t="shared" si="2"/>
        <v>0</v>
      </c>
      <c r="AR29" s="79">
        <f t="shared" si="3"/>
        <v>0</v>
      </c>
      <c r="AS29" s="80">
        <f t="shared" si="4"/>
        <v>0</v>
      </c>
      <c r="AT29" s="81">
        <f t="shared" si="5"/>
        <v>0</v>
      </c>
      <c r="AU29" s="81">
        <f t="shared" si="6"/>
        <v>0.57986111111111105</v>
      </c>
      <c r="AV29" s="81">
        <f t="shared" si="7"/>
        <v>0.72083333333333333</v>
      </c>
      <c r="AW29" s="81">
        <f t="shared" si="8"/>
        <v>0</v>
      </c>
      <c r="AX29" s="81">
        <f t="shared" si="9"/>
        <v>0</v>
      </c>
      <c r="AY29" s="77">
        <f t="shared" si="10"/>
        <v>0</v>
      </c>
      <c r="AZ29" s="82">
        <f t="shared" si="11"/>
        <v>0</v>
      </c>
      <c r="BA29" s="79">
        <f t="shared" si="12"/>
        <v>0</v>
      </c>
      <c r="BB29" s="80">
        <f>V29 - U29</f>
        <v>0.14097222222222228</v>
      </c>
      <c r="BC29" s="83">
        <f>X29 - W29</f>
        <v>0</v>
      </c>
      <c r="BD29" s="83">
        <f>Z29 - Y29</f>
        <v>0</v>
      </c>
      <c r="BE29" s="83">
        <f>AB29 - AA29</f>
        <v>0</v>
      </c>
      <c r="BF29" s="83">
        <f>AD29 - AC29</f>
        <v>0</v>
      </c>
      <c r="BG29" s="83">
        <f>AF29 - AE29</f>
        <v>0</v>
      </c>
      <c r="BH29" s="83">
        <f>AH29 - AG29</f>
        <v>0</v>
      </c>
      <c r="BI29" s="83">
        <f>AJ29 - AI29</f>
        <v>0</v>
      </c>
      <c r="BJ29" s="83">
        <f>AL29 - AK29</f>
        <v>0</v>
      </c>
      <c r="BK29" s="83">
        <f>AN29 - AM29</f>
        <v>0</v>
      </c>
      <c r="BL29" s="84">
        <f>ROUNDUP(SUM(BB29:BK29) * 288, 0) / 288</f>
        <v>0.1423611111111111</v>
      </c>
      <c r="BM29" s="71">
        <v>46044</v>
      </c>
    </row>
    <row r="30" spans="1:65" x14ac:dyDescent="0.25">
      <c r="A30" s="72">
        <v>0.58263888888888893</v>
      </c>
      <c r="B30" s="73">
        <v>0.7055555555555556</v>
      </c>
      <c r="C30" s="72">
        <v>0</v>
      </c>
      <c r="D30" s="73">
        <v>0</v>
      </c>
      <c r="E30" s="72">
        <v>0</v>
      </c>
      <c r="F30" s="73">
        <v>0</v>
      </c>
      <c r="G30" s="72">
        <v>0</v>
      </c>
      <c r="H30" s="73">
        <v>0</v>
      </c>
      <c r="I30" s="72">
        <v>0</v>
      </c>
      <c r="J30" s="73">
        <v>0</v>
      </c>
      <c r="K30" s="72">
        <v>0</v>
      </c>
      <c r="L30" s="73">
        <v>0</v>
      </c>
      <c r="M30" s="72">
        <v>0</v>
      </c>
      <c r="N30" s="73">
        <v>0</v>
      </c>
      <c r="O30" s="72">
        <v>0</v>
      </c>
      <c r="P30" s="73">
        <v>0</v>
      </c>
      <c r="Q30" s="72">
        <v>0</v>
      </c>
      <c r="R30" s="73">
        <v>0</v>
      </c>
      <c r="S30" s="72">
        <v>0</v>
      </c>
      <c r="T30" s="73">
        <v>0</v>
      </c>
      <c r="U30" s="74">
        <v>0.58263888888888882</v>
      </c>
      <c r="V30" s="73">
        <v>0.7055555555555556</v>
      </c>
      <c r="W30" s="72"/>
      <c r="X30" s="73"/>
      <c r="Y30" s="72"/>
      <c r="Z30" s="73"/>
      <c r="AA30" s="72"/>
      <c r="AB30" s="73"/>
      <c r="AC30" s="75"/>
      <c r="AD30" s="73"/>
      <c r="AE30" s="75"/>
      <c r="AF30" s="73"/>
      <c r="AG30" s="75"/>
      <c r="AH30" s="73"/>
      <c r="AI30" s="75"/>
      <c r="AJ30" s="73"/>
      <c r="AK30" s="75"/>
      <c r="AL30" s="73"/>
      <c r="AM30" s="72"/>
      <c r="AN30" s="76"/>
      <c r="AO30" s="77">
        <f t="shared" si="0"/>
        <v>0</v>
      </c>
      <c r="AP30" s="78">
        <f t="shared" si="1"/>
        <v>0</v>
      </c>
      <c r="AQ30" s="78">
        <f t="shared" si="2"/>
        <v>0</v>
      </c>
      <c r="AR30" s="79">
        <f t="shared" si="3"/>
        <v>0</v>
      </c>
      <c r="AS30" s="80">
        <f t="shared" si="4"/>
        <v>0</v>
      </c>
      <c r="AT30" s="81">
        <f t="shared" si="5"/>
        <v>0</v>
      </c>
      <c r="AU30" s="81">
        <f t="shared" si="6"/>
        <v>0.58263888888888882</v>
      </c>
      <c r="AV30" s="81">
        <f t="shared" si="7"/>
        <v>0.7055555555555556</v>
      </c>
      <c r="AW30" s="81">
        <f t="shared" si="8"/>
        <v>0</v>
      </c>
      <c r="AX30" s="81">
        <f t="shared" si="9"/>
        <v>0</v>
      </c>
      <c r="AY30" s="77">
        <f t="shared" si="10"/>
        <v>0</v>
      </c>
      <c r="AZ30" s="82">
        <f t="shared" si="11"/>
        <v>0</v>
      </c>
      <c r="BA30" s="79">
        <f t="shared" si="12"/>
        <v>0</v>
      </c>
      <c r="BB30" s="80">
        <f>V30 - U30</f>
        <v>0.12291666666666679</v>
      </c>
      <c r="BC30" s="83">
        <f>X30 - W30</f>
        <v>0</v>
      </c>
      <c r="BD30" s="83">
        <f>Z30 - Y30</f>
        <v>0</v>
      </c>
      <c r="BE30" s="83">
        <f>AB30 - AA30</f>
        <v>0</v>
      </c>
      <c r="BF30" s="83">
        <f>AD30 - AC30</f>
        <v>0</v>
      </c>
      <c r="BG30" s="83">
        <f>AF30 - AE30</f>
        <v>0</v>
      </c>
      <c r="BH30" s="83">
        <f>AH30 - AG30</f>
        <v>0</v>
      </c>
      <c r="BI30" s="83">
        <f>AJ30 - AI30</f>
        <v>0</v>
      </c>
      <c r="BJ30" s="83">
        <f>AL30 - AK30</f>
        <v>0</v>
      </c>
      <c r="BK30" s="83">
        <f>AN30 - AM30</f>
        <v>0</v>
      </c>
      <c r="BL30" s="84">
        <f>ROUNDUP(SUM(BB30:BK30) * 288, 0) / 288</f>
        <v>0.125</v>
      </c>
      <c r="BM30" s="71">
        <v>46045</v>
      </c>
    </row>
    <row r="31" spans="1:65" x14ac:dyDescent="0.25">
      <c r="A31" s="72">
        <v>0.4375</v>
      </c>
      <c r="B31" s="73">
        <v>0.47083333333333333</v>
      </c>
      <c r="C31" s="72">
        <v>0.51388888888888884</v>
      </c>
      <c r="D31" s="73">
        <v>0.57986111111111116</v>
      </c>
      <c r="E31" s="72">
        <v>0.7270833333333333</v>
      </c>
      <c r="F31" s="73">
        <v>0.76249999999999996</v>
      </c>
      <c r="G31" s="72">
        <v>0</v>
      </c>
      <c r="H31" s="73">
        <v>0</v>
      </c>
      <c r="I31" s="72">
        <v>0</v>
      </c>
      <c r="J31" s="73">
        <v>0</v>
      </c>
      <c r="K31" s="72">
        <v>0</v>
      </c>
      <c r="L31" s="73">
        <v>0</v>
      </c>
      <c r="M31" s="72">
        <v>0</v>
      </c>
      <c r="N31" s="73">
        <v>0</v>
      </c>
      <c r="O31" s="72">
        <v>0</v>
      </c>
      <c r="P31" s="73">
        <v>0</v>
      </c>
      <c r="Q31" s="72">
        <v>0</v>
      </c>
      <c r="R31" s="73">
        <v>0</v>
      </c>
      <c r="S31" s="72">
        <v>0</v>
      </c>
      <c r="T31" s="73">
        <v>0</v>
      </c>
      <c r="U31" s="74">
        <v>0.4375</v>
      </c>
      <c r="V31" s="73">
        <v>0.47083333333333338</v>
      </c>
      <c r="W31" s="72">
        <v>0.51388888888888895</v>
      </c>
      <c r="X31" s="73">
        <v>0.57986111111111105</v>
      </c>
      <c r="Y31" s="72">
        <v>0.7270833333333333</v>
      </c>
      <c r="Z31" s="73">
        <v>0.76250000000000007</v>
      </c>
      <c r="AA31" s="72"/>
      <c r="AB31" s="73"/>
      <c r="AC31" s="75"/>
      <c r="AD31" s="73"/>
      <c r="AE31" s="75"/>
      <c r="AF31" s="73"/>
      <c r="AG31" s="75"/>
      <c r="AH31" s="73"/>
      <c r="AI31" s="75"/>
      <c r="AJ31" s="73"/>
      <c r="AK31" s="75"/>
      <c r="AL31" s="73"/>
      <c r="AM31" s="72"/>
      <c r="AN31" s="76"/>
      <c r="AO31" s="77">
        <f t="shared" si="0"/>
        <v>1</v>
      </c>
      <c r="AP31" s="78">
        <f t="shared" si="1"/>
        <v>0</v>
      </c>
      <c r="AQ31" s="78">
        <f t="shared" si="2"/>
        <v>0</v>
      </c>
      <c r="AR31" s="79">
        <f t="shared" si="3"/>
        <v>0</v>
      </c>
      <c r="AS31" s="80">
        <f t="shared" si="4"/>
        <v>0.4375</v>
      </c>
      <c r="AT31" s="81">
        <f t="shared" si="5"/>
        <v>0.47083333333333338</v>
      </c>
      <c r="AU31" s="81">
        <f t="shared" si="6"/>
        <v>0.51388888888888895</v>
      </c>
      <c r="AV31" s="81">
        <f t="shared" si="7"/>
        <v>0.76250000000000007</v>
      </c>
      <c r="AW31" s="81">
        <f t="shared" si="8"/>
        <v>0</v>
      </c>
      <c r="AX31" s="81">
        <f t="shared" si="9"/>
        <v>0</v>
      </c>
      <c r="AY31" s="77">
        <f t="shared" si="10"/>
        <v>0</v>
      </c>
      <c r="AZ31" s="82">
        <f t="shared" si="11"/>
        <v>0</v>
      </c>
      <c r="BA31" s="79">
        <f t="shared" si="12"/>
        <v>0</v>
      </c>
      <c r="BB31" s="80">
        <f>V31 - U31</f>
        <v>3.3333333333333381E-2</v>
      </c>
      <c r="BC31" s="83">
        <f>X31 - W31</f>
        <v>6.5972222222222099E-2</v>
      </c>
      <c r="BD31" s="83">
        <f>Z31 - Y31</f>
        <v>3.5416666666666763E-2</v>
      </c>
      <c r="BE31" s="83">
        <f>AB31 - AA31</f>
        <v>0</v>
      </c>
      <c r="BF31" s="83">
        <f>AD31 - AC31</f>
        <v>0</v>
      </c>
      <c r="BG31" s="83">
        <f>AF31 - AE31</f>
        <v>0</v>
      </c>
      <c r="BH31" s="83">
        <f>AH31 - AG31</f>
        <v>0</v>
      </c>
      <c r="BI31" s="83">
        <f>AJ31 - AI31</f>
        <v>0</v>
      </c>
      <c r="BJ31" s="83">
        <f>AL31 - AK31</f>
        <v>0</v>
      </c>
      <c r="BK31" s="83">
        <f>AN31 - AM31</f>
        <v>0</v>
      </c>
      <c r="BL31" s="84">
        <f>ROUNDUP(SUM(BB31:BK31) * 288, 0) / 288</f>
        <v>0.13541666666666666</v>
      </c>
      <c r="BM31" s="71">
        <v>46046</v>
      </c>
    </row>
    <row r="32" spans="1:65" x14ac:dyDescent="0.25">
      <c r="A32" s="72">
        <v>0</v>
      </c>
      <c r="B32" s="73">
        <v>0</v>
      </c>
      <c r="C32" s="72">
        <v>0</v>
      </c>
      <c r="D32" s="73">
        <v>0</v>
      </c>
      <c r="E32" s="72">
        <v>0</v>
      </c>
      <c r="F32" s="73">
        <v>0</v>
      </c>
      <c r="G32" s="72">
        <v>0</v>
      </c>
      <c r="H32" s="73">
        <v>0</v>
      </c>
      <c r="I32" s="72">
        <v>0</v>
      </c>
      <c r="J32" s="73">
        <v>0</v>
      </c>
      <c r="K32" s="72">
        <v>0</v>
      </c>
      <c r="L32" s="73">
        <v>0</v>
      </c>
      <c r="M32" s="72">
        <v>0</v>
      </c>
      <c r="N32" s="73">
        <v>0</v>
      </c>
      <c r="O32" s="72">
        <v>0</v>
      </c>
      <c r="P32" s="73">
        <v>0</v>
      </c>
      <c r="Q32" s="72">
        <v>0</v>
      </c>
      <c r="R32" s="73">
        <v>0</v>
      </c>
      <c r="S32" s="72">
        <v>0</v>
      </c>
      <c r="T32" s="73">
        <v>0</v>
      </c>
      <c r="U32" s="74">
        <v>0</v>
      </c>
      <c r="V32" s="73">
        <v>0</v>
      </c>
      <c r="W32" s="72">
        <v>0</v>
      </c>
      <c r="X32" s="73">
        <v>0</v>
      </c>
      <c r="Y32" s="72">
        <v>0</v>
      </c>
      <c r="Z32" s="73">
        <v>0</v>
      </c>
      <c r="AA32" s="72">
        <v>0</v>
      </c>
      <c r="AB32" s="73">
        <v>0</v>
      </c>
      <c r="AC32" s="75">
        <v>0</v>
      </c>
      <c r="AD32" s="73">
        <v>0</v>
      </c>
      <c r="AE32" s="75">
        <v>0</v>
      </c>
      <c r="AF32" s="73">
        <v>0</v>
      </c>
      <c r="AG32" s="75">
        <v>0</v>
      </c>
      <c r="AH32" s="73">
        <v>0</v>
      </c>
      <c r="AI32" s="75">
        <v>0</v>
      </c>
      <c r="AJ32" s="73">
        <v>0</v>
      </c>
      <c r="AK32" s="75">
        <v>0</v>
      </c>
      <c r="AL32" s="73">
        <v>0</v>
      </c>
      <c r="AM32" s="72">
        <v>0</v>
      </c>
      <c r="AN32" s="76">
        <v>0</v>
      </c>
      <c r="AO32" s="77">
        <f t="shared" si="0"/>
        <v>0</v>
      </c>
      <c r="AP32" s="78">
        <f t="shared" si="1"/>
        <v>0</v>
      </c>
      <c r="AQ32" s="78">
        <f t="shared" si="2"/>
        <v>0</v>
      </c>
      <c r="AR32" s="79">
        <f t="shared" si="3"/>
        <v>0</v>
      </c>
      <c r="AS32" s="80">
        <f t="shared" si="4"/>
        <v>0</v>
      </c>
      <c r="AT32" s="81">
        <f t="shared" si="5"/>
        <v>0</v>
      </c>
      <c r="AU32" s="81">
        <f t="shared" si="6"/>
        <v>0</v>
      </c>
      <c r="AV32" s="81">
        <f t="shared" si="7"/>
        <v>0</v>
      </c>
      <c r="AW32" s="81">
        <f t="shared" si="8"/>
        <v>0</v>
      </c>
      <c r="AX32" s="81">
        <f t="shared" si="9"/>
        <v>0</v>
      </c>
      <c r="AY32" s="77">
        <f t="shared" si="10"/>
        <v>0</v>
      </c>
      <c r="AZ32" s="82">
        <f t="shared" si="11"/>
        <v>0</v>
      </c>
      <c r="BA32" s="79">
        <f t="shared" si="12"/>
        <v>0</v>
      </c>
      <c r="BB32" s="80">
        <f>V32 - U32</f>
        <v>0</v>
      </c>
      <c r="BC32" s="83">
        <f>X32 - W32</f>
        <v>0</v>
      </c>
      <c r="BD32" s="83">
        <f>Z32 - Y32</f>
        <v>0</v>
      </c>
      <c r="BE32" s="83">
        <f>AB32 - AA32</f>
        <v>0</v>
      </c>
      <c r="BF32" s="83">
        <f>AD32 - AC32</f>
        <v>0</v>
      </c>
      <c r="BG32" s="83">
        <f>AF32 - AE32</f>
        <v>0</v>
      </c>
      <c r="BH32" s="83">
        <f>AH32 - AG32</f>
        <v>0</v>
      </c>
      <c r="BI32" s="83">
        <f>AJ32 - AI32</f>
        <v>0</v>
      </c>
      <c r="BJ32" s="83">
        <f>AL32 - AK32</f>
        <v>0</v>
      </c>
      <c r="BK32" s="83">
        <f>AN32 - AM32</f>
        <v>0</v>
      </c>
      <c r="BL32" s="84">
        <f>ROUNDUP(SUM(BB32:BK32) * 288, 0) / 288</f>
        <v>0</v>
      </c>
      <c r="BM32" s="71">
        <v>0</v>
      </c>
    </row>
    <row r="33" spans="1:65" x14ac:dyDescent="0.25">
      <c r="A33" s="72">
        <v>0.44444444444444442</v>
      </c>
      <c r="B33" s="73">
        <v>0.55833333333333335</v>
      </c>
      <c r="C33" s="72">
        <v>0.6118055555555556</v>
      </c>
      <c r="D33" s="73">
        <v>0.75069444444444444</v>
      </c>
      <c r="E33" s="72">
        <v>0</v>
      </c>
      <c r="F33" s="73">
        <v>0</v>
      </c>
      <c r="G33" s="72">
        <v>0</v>
      </c>
      <c r="H33" s="73">
        <v>0</v>
      </c>
      <c r="I33" s="72">
        <v>0</v>
      </c>
      <c r="J33" s="73">
        <v>0</v>
      </c>
      <c r="K33" s="72">
        <v>0</v>
      </c>
      <c r="L33" s="73">
        <v>0</v>
      </c>
      <c r="M33" s="72">
        <v>0</v>
      </c>
      <c r="N33" s="73">
        <v>0</v>
      </c>
      <c r="O33" s="72">
        <v>0</v>
      </c>
      <c r="P33" s="73">
        <v>0</v>
      </c>
      <c r="Q33" s="72">
        <v>0</v>
      </c>
      <c r="R33" s="73">
        <v>0</v>
      </c>
      <c r="S33" s="72">
        <v>0</v>
      </c>
      <c r="T33" s="73">
        <v>0</v>
      </c>
      <c r="U33" s="74">
        <v>0.44444444444444442</v>
      </c>
      <c r="V33" s="73">
        <v>0.55833333333333335</v>
      </c>
      <c r="W33" s="72">
        <v>0.6118055555555556</v>
      </c>
      <c r="X33" s="73">
        <v>0.75069444444444444</v>
      </c>
      <c r="Y33" s="72"/>
      <c r="Z33" s="73"/>
      <c r="AA33" s="72"/>
      <c r="AB33" s="73"/>
      <c r="AC33" s="75"/>
      <c r="AD33" s="73"/>
      <c r="AE33" s="75"/>
      <c r="AF33" s="73"/>
      <c r="AG33" s="75"/>
      <c r="AH33" s="73"/>
      <c r="AI33" s="75"/>
      <c r="AJ33" s="73"/>
      <c r="AK33" s="75"/>
      <c r="AL33" s="73"/>
      <c r="AM33" s="72"/>
      <c r="AN33" s="76"/>
      <c r="AO33" s="77">
        <f t="shared" si="0"/>
        <v>1</v>
      </c>
      <c r="AP33" s="78">
        <f t="shared" si="1"/>
        <v>0</v>
      </c>
      <c r="AQ33" s="78">
        <f t="shared" si="2"/>
        <v>0</v>
      </c>
      <c r="AR33" s="79">
        <f t="shared" si="3"/>
        <v>0</v>
      </c>
      <c r="AS33" s="80">
        <f t="shared" si="4"/>
        <v>0.44444444444444442</v>
      </c>
      <c r="AT33" s="81">
        <f t="shared" si="5"/>
        <v>0.55833333333333335</v>
      </c>
      <c r="AU33" s="81">
        <f t="shared" si="6"/>
        <v>0.6118055555555556</v>
      </c>
      <c r="AV33" s="81">
        <f t="shared" si="7"/>
        <v>0.75069444444444444</v>
      </c>
      <c r="AW33" s="81">
        <f t="shared" si="8"/>
        <v>0</v>
      </c>
      <c r="AX33" s="81">
        <f t="shared" si="9"/>
        <v>0</v>
      </c>
      <c r="AY33" s="77">
        <f t="shared" si="10"/>
        <v>0</v>
      </c>
      <c r="AZ33" s="82">
        <f t="shared" si="11"/>
        <v>0</v>
      </c>
      <c r="BA33" s="79">
        <f t="shared" si="12"/>
        <v>0</v>
      </c>
      <c r="BB33" s="80">
        <f>V33 - U33</f>
        <v>0.11388888888888893</v>
      </c>
      <c r="BC33" s="83">
        <f>X33 - W33</f>
        <v>0.13888888888888884</v>
      </c>
      <c r="BD33" s="83">
        <f>Z33 - Y33</f>
        <v>0</v>
      </c>
      <c r="BE33" s="83">
        <f>AB33 - AA33</f>
        <v>0</v>
      </c>
      <c r="BF33" s="83">
        <f>AD33 - AC33</f>
        <v>0</v>
      </c>
      <c r="BG33" s="83">
        <f>AF33 - AE33</f>
        <v>0</v>
      </c>
      <c r="BH33" s="83">
        <f>AH33 - AG33</f>
        <v>0</v>
      </c>
      <c r="BI33" s="83">
        <f>AJ33 - AI33</f>
        <v>0</v>
      </c>
      <c r="BJ33" s="83">
        <f>AL33 - AK33</f>
        <v>0</v>
      </c>
      <c r="BK33" s="83">
        <f>AN33 - AM33</f>
        <v>0</v>
      </c>
      <c r="BL33" s="84">
        <f>ROUNDUP(SUM(BB33:BK33) * 288, 0) / 288</f>
        <v>0.25347222222222221</v>
      </c>
      <c r="BM33" s="71">
        <v>46048</v>
      </c>
    </row>
    <row r="34" spans="1:65" x14ac:dyDescent="0.25">
      <c r="A34" s="72">
        <v>0</v>
      </c>
      <c r="B34" s="73">
        <v>0</v>
      </c>
      <c r="C34" s="72">
        <v>0</v>
      </c>
      <c r="D34" s="73">
        <v>0</v>
      </c>
      <c r="E34" s="72">
        <v>0</v>
      </c>
      <c r="F34" s="73">
        <v>0</v>
      </c>
      <c r="G34" s="72">
        <v>0</v>
      </c>
      <c r="H34" s="73">
        <v>0</v>
      </c>
      <c r="I34" s="72">
        <v>0</v>
      </c>
      <c r="J34" s="73">
        <v>0</v>
      </c>
      <c r="K34" s="72">
        <v>0</v>
      </c>
      <c r="L34" s="73">
        <v>0</v>
      </c>
      <c r="M34" s="72">
        <v>0</v>
      </c>
      <c r="N34" s="73">
        <v>0</v>
      </c>
      <c r="O34" s="72">
        <v>0</v>
      </c>
      <c r="P34" s="73">
        <v>0</v>
      </c>
      <c r="Q34" s="72">
        <v>0</v>
      </c>
      <c r="R34" s="73">
        <v>0</v>
      </c>
      <c r="S34" s="72">
        <v>0</v>
      </c>
      <c r="T34" s="73">
        <v>0</v>
      </c>
      <c r="U34" s="74">
        <v>0</v>
      </c>
      <c r="V34" s="73">
        <v>0</v>
      </c>
      <c r="W34" s="72">
        <v>0</v>
      </c>
      <c r="X34" s="73">
        <v>0</v>
      </c>
      <c r="Y34" s="72">
        <v>0</v>
      </c>
      <c r="Z34" s="73">
        <v>0</v>
      </c>
      <c r="AA34" s="72">
        <v>0</v>
      </c>
      <c r="AB34" s="73">
        <v>0</v>
      </c>
      <c r="AC34" s="75">
        <v>0</v>
      </c>
      <c r="AD34" s="73">
        <v>0</v>
      </c>
      <c r="AE34" s="75">
        <v>0</v>
      </c>
      <c r="AF34" s="73">
        <v>0</v>
      </c>
      <c r="AG34" s="75">
        <v>0</v>
      </c>
      <c r="AH34" s="73">
        <v>0</v>
      </c>
      <c r="AI34" s="75">
        <v>0</v>
      </c>
      <c r="AJ34" s="73">
        <v>0</v>
      </c>
      <c r="AK34" s="75">
        <v>0</v>
      </c>
      <c r="AL34" s="73">
        <v>0</v>
      </c>
      <c r="AM34" s="72">
        <v>0</v>
      </c>
      <c r="AN34" s="76">
        <v>0</v>
      </c>
      <c r="AO34" s="77">
        <f t="shared" si="0"/>
        <v>0</v>
      </c>
      <c r="AP34" s="78">
        <f t="shared" si="1"/>
        <v>0</v>
      </c>
      <c r="AQ34" s="78">
        <f t="shared" si="2"/>
        <v>0</v>
      </c>
      <c r="AR34" s="79">
        <f t="shared" si="3"/>
        <v>0</v>
      </c>
      <c r="AS34" s="80">
        <f t="shared" si="4"/>
        <v>0</v>
      </c>
      <c r="AT34" s="81">
        <f t="shared" si="5"/>
        <v>0</v>
      </c>
      <c r="AU34" s="81">
        <f t="shared" si="6"/>
        <v>0</v>
      </c>
      <c r="AV34" s="81">
        <f t="shared" si="7"/>
        <v>0</v>
      </c>
      <c r="AW34" s="81">
        <f t="shared" si="8"/>
        <v>0</v>
      </c>
      <c r="AX34" s="81">
        <f t="shared" si="9"/>
        <v>0</v>
      </c>
      <c r="AY34" s="77">
        <f t="shared" si="10"/>
        <v>0</v>
      </c>
      <c r="AZ34" s="82">
        <f t="shared" si="11"/>
        <v>0</v>
      </c>
      <c r="BA34" s="79">
        <f t="shared" si="12"/>
        <v>0</v>
      </c>
      <c r="BB34" s="80">
        <f>V34 - U34</f>
        <v>0</v>
      </c>
      <c r="BC34" s="83">
        <f>X34 - W34</f>
        <v>0</v>
      </c>
      <c r="BD34" s="83">
        <f>Z34 - Y34</f>
        <v>0</v>
      </c>
      <c r="BE34" s="83">
        <f>AB34 - AA34</f>
        <v>0</v>
      </c>
      <c r="BF34" s="83">
        <f>AD34 - AC34</f>
        <v>0</v>
      </c>
      <c r="BG34" s="83">
        <f>AF34 - AE34</f>
        <v>0</v>
      </c>
      <c r="BH34" s="83">
        <f>AH34 - AG34</f>
        <v>0</v>
      </c>
      <c r="BI34" s="83">
        <f>AJ34 - AI34</f>
        <v>0</v>
      </c>
      <c r="BJ34" s="83">
        <f>AL34 - AK34</f>
        <v>0</v>
      </c>
      <c r="BK34" s="83">
        <f>AN34 - AM34</f>
        <v>0</v>
      </c>
      <c r="BL34" s="84">
        <f>ROUNDUP(SUM(BB34:BK34) * 288, 0) / 288</f>
        <v>0</v>
      </c>
      <c r="BM34" s="71">
        <v>0</v>
      </c>
    </row>
    <row r="35" spans="1:65" x14ac:dyDescent="0.25">
      <c r="A35" s="85">
        <v>0.4375</v>
      </c>
      <c r="B35" s="86">
        <v>0.53472222222222221</v>
      </c>
      <c r="C35" s="85">
        <v>0.57638888888888884</v>
      </c>
      <c r="D35" s="86">
        <v>0.68263888888888891</v>
      </c>
      <c r="E35" s="85">
        <v>0</v>
      </c>
      <c r="F35" s="86">
        <v>0</v>
      </c>
      <c r="G35" s="85">
        <v>0</v>
      </c>
      <c r="H35" s="86">
        <v>0</v>
      </c>
      <c r="I35" s="85">
        <v>0</v>
      </c>
      <c r="J35" s="86">
        <v>0</v>
      </c>
      <c r="K35" s="85">
        <v>0</v>
      </c>
      <c r="L35" s="86">
        <v>0</v>
      </c>
      <c r="M35" s="85">
        <v>0</v>
      </c>
      <c r="N35" s="86">
        <v>0</v>
      </c>
      <c r="O35" s="85">
        <v>0</v>
      </c>
      <c r="P35" s="86">
        <v>0</v>
      </c>
      <c r="Q35" s="85">
        <v>0</v>
      </c>
      <c r="R35" s="86">
        <v>0</v>
      </c>
      <c r="S35" s="85">
        <v>0</v>
      </c>
      <c r="T35" s="86">
        <v>0</v>
      </c>
      <c r="U35" s="87">
        <v>0.4375</v>
      </c>
      <c r="V35" s="86">
        <v>0.53472222222222221</v>
      </c>
      <c r="W35" s="85">
        <v>0.57638888888888895</v>
      </c>
      <c r="X35" s="86">
        <v>0.68263888888888891</v>
      </c>
      <c r="Y35" s="85"/>
      <c r="Z35" s="86"/>
      <c r="AA35" s="85"/>
      <c r="AB35" s="86"/>
      <c r="AC35" s="88"/>
      <c r="AD35" s="86"/>
      <c r="AE35" s="88"/>
      <c r="AF35" s="86"/>
      <c r="AG35" s="88"/>
      <c r="AH35" s="86"/>
      <c r="AI35" s="88"/>
      <c r="AJ35" s="86"/>
      <c r="AK35" s="88"/>
      <c r="AL35" s="86"/>
      <c r="AM35" s="85"/>
      <c r="AN35" s="89"/>
      <c r="AO35" s="90">
        <f t="shared" si="0"/>
        <v>1</v>
      </c>
      <c r="AP35" s="91">
        <f t="shared" si="1"/>
        <v>0</v>
      </c>
      <c r="AQ35" s="91">
        <f t="shared" si="2"/>
        <v>0</v>
      </c>
      <c r="AR35" s="92">
        <f t="shared" si="3"/>
        <v>0</v>
      </c>
      <c r="AS35" s="93">
        <f t="shared" si="4"/>
        <v>0.4375</v>
      </c>
      <c r="AT35" s="94">
        <f t="shared" si="5"/>
        <v>0.53472222222222221</v>
      </c>
      <c r="AU35" s="94">
        <f t="shared" si="6"/>
        <v>0.57638888888888895</v>
      </c>
      <c r="AV35" s="94">
        <f t="shared" si="7"/>
        <v>0.68263888888888891</v>
      </c>
      <c r="AW35" s="94">
        <f t="shared" si="8"/>
        <v>0</v>
      </c>
      <c r="AX35" s="94">
        <f t="shared" si="9"/>
        <v>0</v>
      </c>
      <c r="AY35" s="90">
        <f t="shared" si="10"/>
        <v>0</v>
      </c>
      <c r="AZ35" s="95">
        <f t="shared" si="11"/>
        <v>0</v>
      </c>
      <c r="BA35" s="92">
        <f t="shared" si="12"/>
        <v>0</v>
      </c>
      <c r="BB35" s="80">
        <f>V35 - U35</f>
        <v>9.722222222222221E-2</v>
      </c>
      <c r="BC35" s="83">
        <f>X35 - W35</f>
        <v>0.10624999999999996</v>
      </c>
      <c r="BD35" s="83">
        <f>Z35 - Y35</f>
        <v>0</v>
      </c>
      <c r="BE35" s="83">
        <f>AB35 - AA35</f>
        <v>0</v>
      </c>
      <c r="BF35" s="83">
        <f>AD35 - AC35</f>
        <v>0</v>
      </c>
      <c r="BG35" s="83">
        <f>AF35 - AE35</f>
        <v>0</v>
      </c>
      <c r="BH35" s="83">
        <f>AH35 - AG35</f>
        <v>0</v>
      </c>
      <c r="BI35" s="83">
        <f>AJ35 - AI35</f>
        <v>0</v>
      </c>
      <c r="BJ35" s="83">
        <f>AL35 - AK35</f>
        <v>0</v>
      </c>
      <c r="BK35" s="83">
        <f>AN35 - AM35</f>
        <v>0</v>
      </c>
      <c r="BL35" s="96">
        <f>ROUNDUP(SUM(BB35:BK35) * 288, 0) / 288</f>
        <v>0.2048611111111111</v>
      </c>
      <c r="BM35" s="71">
        <v>46050</v>
      </c>
    </row>
    <row r="36" spans="1:65" x14ac:dyDescent="0.25">
      <c r="A36" s="85">
        <v>0.41319444444444442</v>
      </c>
      <c r="B36" s="86">
        <v>0.54791666666666672</v>
      </c>
      <c r="C36" s="85">
        <v>0.65208333333333335</v>
      </c>
      <c r="D36" s="86">
        <v>0.80486111111111114</v>
      </c>
      <c r="E36" s="85">
        <v>0</v>
      </c>
      <c r="F36" s="86">
        <v>0</v>
      </c>
      <c r="G36" s="85">
        <v>0</v>
      </c>
      <c r="H36" s="86">
        <v>0</v>
      </c>
      <c r="I36" s="85">
        <v>0</v>
      </c>
      <c r="J36" s="86">
        <v>0</v>
      </c>
      <c r="K36" s="85">
        <v>0</v>
      </c>
      <c r="L36" s="86">
        <v>0</v>
      </c>
      <c r="M36" s="85">
        <v>0</v>
      </c>
      <c r="N36" s="86">
        <v>0</v>
      </c>
      <c r="O36" s="85">
        <v>0</v>
      </c>
      <c r="P36" s="86">
        <v>0</v>
      </c>
      <c r="Q36" s="85">
        <v>0</v>
      </c>
      <c r="R36" s="86">
        <v>0</v>
      </c>
      <c r="S36" s="85">
        <v>0</v>
      </c>
      <c r="T36" s="86">
        <v>0</v>
      </c>
      <c r="U36" s="87">
        <v>0.41319444444444442</v>
      </c>
      <c r="V36" s="86">
        <v>0.54791666666666672</v>
      </c>
      <c r="W36" s="85">
        <v>0.65208333333333335</v>
      </c>
      <c r="X36" s="86">
        <v>0.80486111111111114</v>
      </c>
      <c r="Y36" s="85"/>
      <c r="Z36" s="86"/>
      <c r="AA36" s="85"/>
      <c r="AB36" s="86"/>
      <c r="AC36" s="88"/>
      <c r="AD36" s="86"/>
      <c r="AE36" s="88"/>
      <c r="AF36" s="86"/>
      <c r="AG36" s="88"/>
      <c r="AH36" s="86"/>
      <c r="AI36" s="88"/>
      <c r="AJ36" s="86"/>
      <c r="AK36" s="88"/>
      <c r="AL36" s="86"/>
      <c r="AM36" s="85"/>
      <c r="AN36" s="89"/>
      <c r="AO36" s="90">
        <f t="shared" si="0"/>
        <v>1</v>
      </c>
      <c r="AP36" s="91">
        <f t="shared" si="1"/>
        <v>0</v>
      </c>
      <c r="AQ36" s="91">
        <f t="shared" si="2"/>
        <v>0</v>
      </c>
      <c r="AR36" s="92">
        <f t="shared" si="3"/>
        <v>0</v>
      </c>
      <c r="AS36" s="93">
        <f t="shared" si="4"/>
        <v>0.41319444444444442</v>
      </c>
      <c r="AT36" s="94">
        <f t="shared" si="5"/>
        <v>0.54791666666666672</v>
      </c>
      <c r="AU36" s="94">
        <f t="shared" si="6"/>
        <v>0.65208333333333335</v>
      </c>
      <c r="AV36" s="94">
        <f t="shared" si="7"/>
        <v>0.80486111111111114</v>
      </c>
      <c r="AW36" s="94">
        <f t="shared" si="8"/>
        <v>0</v>
      </c>
      <c r="AX36" s="94">
        <f t="shared" si="9"/>
        <v>0</v>
      </c>
      <c r="AY36" s="90">
        <f t="shared" si="10"/>
        <v>0</v>
      </c>
      <c r="AZ36" s="95">
        <f t="shared" si="11"/>
        <v>0</v>
      </c>
      <c r="BA36" s="92">
        <f t="shared" si="12"/>
        <v>0</v>
      </c>
      <c r="BB36" s="80">
        <f>V36 - U36</f>
        <v>0.1347222222222223</v>
      </c>
      <c r="BC36" s="83">
        <f>X36 - W36</f>
        <v>0.15277777777777779</v>
      </c>
      <c r="BD36" s="83">
        <f>Z36 - Y36</f>
        <v>0</v>
      </c>
      <c r="BE36" s="83">
        <f>AB36 - AA36</f>
        <v>0</v>
      </c>
      <c r="BF36" s="83">
        <f>AD36 - AC36</f>
        <v>0</v>
      </c>
      <c r="BG36" s="83">
        <f>AF36 - AE36</f>
        <v>0</v>
      </c>
      <c r="BH36" s="83">
        <f>AH36 - AG36</f>
        <v>0</v>
      </c>
      <c r="BI36" s="83">
        <f>AJ36 - AI36</f>
        <v>0</v>
      </c>
      <c r="BJ36" s="83">
        <f>AL36 - AK36</f>
        <v>0</v>
      </c>
      <c r="BK36" s="83">
        <f>AN36 - AM36</f>
        <v>0</v>
      </c>
      <c r="BL36" s="96">
        <f>ROUNDUP(SUM(BB36:BK36) * 288, 0) / 288</f>
        <v>0.28819444444444442</v>
      </c>
      <c r="BM36" s="71">
        <v>46051</v>
      </c>
    </row>
    <row r="37" spans="1:65" x14ac:dyDescent="0.25">
      <c r="A37" s="85">
        <v>0.4777777777777778</v>
      </c>
      <c r="B37" s="86">
        <v>0.53819444444444442</v>
      </c>
      <c r="C37" s="85">
        <v>0.58333333333333337</v>
      </c>
      <c r="D37" s="86">
        <v>0.70138888888888884</v>
      </c>
      <c r="E37" s="85">
        <v>0</v>
      </c>
      <c r="F37" s="86">
        <v>0</v>
      </c>
      <c r="G37" s="85">
        <v>0</v>
      </c>
      <c r="H37" s="86">
        <v>0</v>
      </c>
      <c r="I37" s="85">
        <v>0</v>
      </c>
      <c r="J37" s="86">
        <v>0</v>
      </c>
      <c r="K37" s="85">
        <v>0</v>
      </c>
      <c r="L37" s="86">
        <v>0</v>
      </c>
      <c r="M37" s="85">
        <v>0</v>
      </c>
      <c r="N37" s="86">
        <v>0</v>
      </c>
      <c r="O37" s="85">
        <v>0</v>
      </c>
      <c r="P37" s="86">
        <v>0</v>
      </c>
      <c r="Q37" s="85">
        <v>0</v>
      </c>
      <c r="R37" s="86">
        <v>0</v>
      </c>
      <c r="S37" s="85">
        <v>0</v>
      </c>
      <c r="T37" s="86">
        <v>0</v>
      </c>
      <c r="U37" s="87">
        <v>0.4777777777777778</v>
      </c>
      <c r="V37" s="86">
        <v>0.53819444444444442</v>
      </c>
      <c r="W37" s="85">
        <v>0.58333333333333337</v>
      </c>
      <c r="X37" s="86">
        <v>0.70138888888888884</v>
      </c>
      <c r="Y37" s="85"/>
      <c r="Z37" s="86"/>
      <c r="AA37" s="85"/>
      <c r="AB37" s="86"/>
      <c r="AC37" s="88"/>
      <c r="AD37" s="86"/>
      <c r="AE37" s="88"/>
      <c r="AF37" s="86"/>
      <c r="AG37" s="88"/>
      <c r="AH37" s="86"/>
      <c r="AI37" s="88"/>
      <c r="AJ37" s="86"/>
      <c r="AK37" s="88"/>
      <c r="AL37" s="86"/>
      <c r="AM37" s="85"/>
      <c r="AN37" s="89"/>
      <c r="AO37" s="90">
        <f t="shared" si="0"/>
        <v>1</v>
      </c>
      <c r="AP37" s="91">
        <f t="shared" si="1"/>
        <v>0</v>
      </c>
      <c r="AQ37" s="91">
        <f t="shared" si="2"/>
        <v>0</v>
      </c>
      <c r="AR37" s="92">
        <f t="shared" si="3"/>
        <v>0</v>
      </c>
      <c r="AS37" s="93">
        <f t="shared" si="4"/>
        <v>0</v>
      </c>
      <c r="AT37" s="94">
        <f t="shared" si="5"/>
        <v>0</v>
      </c>
      <c r="AU37" s="94">
        <f t="shared" si="6"/>
        <v>0.4777777777777778</v>
      </c>
      <c r="AV37" s="94">
        <f t="shared" si="7"/>
        <v>0.70138888888888884</v>
      </c>
      <c r="AW37" s="94">
        <f t="shared" si="8"/>
        <v>0</v>
      </c>
      <c r="AX37" s="94">
        <f t="shared" si="9"/>
        <v>0</v>
      </c>
      <c r="AY37" s="90">
        <f t="shared" si="10"/>
        <v>0</v>
      </c>
      <c r="AZ37" s="95">
        <f t="shared" si="11"/>
        <v>0</v>
      </c>
      <c r="BA37" s="92">
        <f t="shared" si="12"/>
        <v>0</v>
      </c>
      <c r="BB37" s="80">
        <f>V37 - U37</f>
        <v>6.0416666666666619E-2</v>
      </c>
      <c r="BC37" s="83">
        <f>X37 - W37</f>
        <v>0.11805555555555547</v>
      </c>
      <c r="BD37" s="83">
        <f>Z37 - Y37</f>
        <v>0</v>
      </c>
      <c r="BE37" s="83">
        <f>AB37 - AA37</f>
        <v>0</v>
      </c>
      <c r="BF37" s="83">
        <f>AD37 - AC37</f>
        <v>0</v>
      </c>
      <c r="BG37" s="83">
        <f>AF37 - AE37</f>
        <v>0</v>
      </c>
      <c r="BH37" s="83">
        <f>AH37 - AG37</f>
        <v>0</v>
      </c>
      <c r="BI37" s="83">
        <f>AJ37 - AI37</f>
        <v>0</v>
      </c>
      <c r="BJ37" s="83">
        <f>AL37 - AK37</f>
        <v>0</v>
      </c>
      <c r="BK37" s="83">
        <f>AN37 - AM37</f>
        <v>0</v>
      </c>
      <c r="BL37" s="96">
        <f>ROUNDUP(SUM(BB37:BK37) * 288, 0) / 288</f>
        <v>0.18055555555555555</v>
      </c>
      <c r="BM37" s="71">
        <v>46052</v>
      </c>
    </row>
    <row r="38" spans="1:65" x14ac:dyDescent="0.25">
      <c r="A38" s="85">
        <v>0</v>
      </c>
      <c r="B38" s="86">
        <v>0</v>
      </c>
      <c r="C38" s="85">
        <v>0</v>
      </c>
      <c r="D38" s="86">
        <v>0</v>
      </c>
      <c r="E38" s="85">
        <v>0</v>
      </c>
      <c r="F38" s="86">
        <v>0</v>
      </c>
      <c r="G38" s="85">
        <v>0</v>
      </c>
      <c r="H38" s="86">
        <v>0</v>
      </c>
      <c r="I38" s="85">
        <v>0</v>
      </c>
      <c r="J38" s="86">
        <v>0</v>
      </c>
      <c r="K38" s="85">
        <v>0</v>
      </c>
      <c r="L38" s="86">
        <v>0</v>
      </c>
      <c r="M38" s="85">
        <v>0</v>
      </c>
      <c r="N38" s="86">
        <v>0</v>
      </c>
      <c r="O38" s="85">
        <v>0</v>
      </c>
      <c r="P38" s="86">
        <v>0</v>
      </c>
      <c r="Q38" s="85">
        <v>0</v>
      </c>
      <c r="R38" s="86">
        <v>0</v>
      </c>
      <c r="S38" s="85">
        <v>0</v>
      </c>
      <c r="T38" s="86">
        <v>0</v>
      </c>
      <c r="U38" s="87">
        <v>0</v>
      </c>
      <c r="V38" s="86">
        <v>0</v>
      </c>
      <c r="W38" s="85">
        <v>0</v>
      </c>
      <c r="X38" s="86">
        <v>0</v>
      </c>
      <c r="Y38" s="85">
        <v>0</v>
      </c>
      <c r="Z38" s="86">
        <v>0</v>
      </c>
      <c r="AA38" s="85">
        <v>0</v>
      </c>
      <c r="AB38" s="86">
        <v>0</v>
      </c>
      <c r="AC38" s="88">
        <v>0</v>
      </c>
      <c r="AD38" s="86">
        <v>0</v>
      </c>
      <c r="AE38" s="88">
        <v>0</v>
      </c>
      <c r="AF38" s="86">
        <v>0</v>
      </c>
      <c r="AG38" s="88">
        <v>0</v>
      </c>
      <c r="AH38" s="86">
        <v>0</v>
      </c>
      <c r="AI38" s="88">
        <v>0</v>
      </c>
      <c r="AJ38" s="86">
        <v>0</v>
      </c>
      <c r="AK38" s="88">
        <v>0</v>
      </c>
      <c r="AL38" s="86">
        <v>0</v>
      </c>
      <c r="AM38" s="85">
        <v>0</v>
      </c>
      <c r="AN38" s="89">
        <v>0</v>
      </c>
      <c r="AO38" s="90">
        <f t="shared" si="0"/>
        <v>0</v>
      </c>
      <c r="AP38" s="91">
        <f t="shared" si="1"/>
        <v>0</v>
      </c>
      <c r="AQ38" s="91">
        <f>IF(AND(Z38*24&gt;=11,Z38*24&lt;=13.5),IF((AA38-Z38)*24&gt;=1,1,IF(AND(Z38*24&gt;=18.5,Z38*24&lt;=22),6,0)),IF(BM38&lt;&gt;"",IF(BM46&lt;&gt;"",IF(AND(AV38*24=24,AS46*24=0,BM38+1=BM46),26,0),0),0))</f>
        <v>0</v>
      </c>
      <c r="AR38" s="92">
        <f>IF(AND(AB38*24&gt;=11,AB38*24&lt;=13.5),IF((AM38-AB38)*24&gt;=1,1,IF(AND(AB38*24&gt;=18.5,AB38*24&lt;=22),6,0)),IF(BM38&lt;&gt;"",IF(BM46&lt;&gt;"",IF(AND(AX38*24=24,AS46*24=0,BM38+1=BM46),26,0),0),0))</f>
        <v>0</v>
      </c>
      <c r="AS38" s="93">
        <f t="shared" si="4"/>
        <v>0</v>
      </c>
      <c r="AT38" s="94">
        <f t="shared" si="5"/>
        <v>0</v>
      </c>
      <c r="AU38" s="94">
        <f t="shared" si="6"/>
        <v>0</v>
      </c>
      <c r="AV38" s="94">
        <f t="shared" si="7"/>
        <v>0</v>
      </c>
      <c r="AW38" s="94">
        <f t="shared" si="8"/>
        <v>0</v>
      </c>
      <c r="AX38" s="94">
        <f t="shared" si="9"/>
        <v>0</v>
      </c>
      <c r="AY38" s="90">
        <f t="shared" si="10"/>
        <v>0</v>
      </c>
      <c r="AZ38" s="95">
        <f t="shared" si="11"/>
        <v>0</v>
      </c>
      <c r="BA38" s="92">
        <f t="shared" si="12"/>
        <v>0</v>
      </c>
      <c r="BB38" s="80">
        <f>V38 - U38</f>
        <v>0</v>
      </c>
      <c r="BC38" s="83">
        <f>X38 - W38</f>
        <v>0</v>
      </c>
      <c r="BD38" s="83">
        <f>Z38 - Y38</f>
        <v>0</v>
      </c>
      <c r="BE38" s="83">
        <f>AB38 - AA38</f>
        <v>0</v>
      </c>
      <c r="BF38" s="83">
        <f>AD38 - AC38</f>
        <v>0</v>
      </c>
      <c r="BG38" s="83">
        <f>AF38 - AE38</f>
        <v>0</v>
      </c>
      <c r="BH38" s="83">
        <f>AH38 - AG38</f>
        <v>0</v>
      </c>
      <c r="BI38" s="83">
        <f>AJ38 - AI38</f>
        <v>0</v>
      </c>
      <c r="BJ38" s="83">
        <f>AL38 - AK38</f>
        <v>0</v>
      </c>
      <c r="BK38" s="83">
        <f>AN38 - AM38</f>
        <v>0</v>
      </c>
      <c r="BL38" s="96">
        <f>ROUNDUP(SUM(BB38:BK38) * 288, 0) / 288</f>
        <v>0</v>
      </c>
      <c r="BM38" s="71">
        <v>0</v>
      </c>
    </row>
    <row r="39" spans="1:65" s="185" customFormat="1" x14ac:dyDescent="0.25">
      <c r="A39" s="85">
        <v>0</v>
      </c>
      <c r="B39" s="86">
        <v>0</v>
      </c>
      <c r="C39" s="85">
        <v>0</v>
      </c>
      <c r="D39" s="86">
        <v>0</v>
      </c>
      <c r="E39" s="85">
        <v>0</v>
      </c>
      <c r="F39" s="86">
        <v>0</v>
      </c>
      <c r="G39" s="85">
        <v>0</v>
      </c>
      <c r="H39" s="86">
        <v>0</v>
      </c>
      <c r="I39" s="85">
        <v>0</v>
      </c>
      <c r="J39" s="86">
        <v>0</v>
      </c>
      <c r="K39" s="85">
        <v>0</v>
      </c>
      <c r="L39" s="86">
        <v>0</v>
      </c>
      <c r="M39" s="85">
        <v>0</v>
      </c>
      <c r="N39" s="86">
        <v>0</v>
      </c>
      <c r="O39" s="85">
        <v>0</v>
      </c>
      <c r="P39" s="86">
        <v>0</v>
      </c>
      <c r="Q39" s="85">
        <v>0</v>
      </c>
      <c r="R39" s="86">
        <v>0</v>
      </c>
      <c r="S39" s="85">
        <v>0</v>
      </c>
      <c r="T39" s="86">
        <v>0</v>
      </c>
      <c r="U39" s="87">
        <v>0</v>
      </c>
      <c r="V39" s="86">
        <v>0</v>
      </c>
      <c r="W39" s="85">
        <v>0</v>
      </c>
      <c r="X39" s="86">
        <v>0</v>
      </c>
      <c r="Y39" s="85">
        <v>0</v>
      </c>
      <c r="Z39" s="86">
        <v>0</v>
      </c>
      <c r="AA39" s="85">
        <v>0</v>
      </c>
      <c r="AB39" s="86">
        <v>0</v>
      </c>
      <c r="AC39" s="88">
        <v>0</v>
      </c>
      <c r="AD39" s="86">
        <v>0</v>
      </c>
      <c r="AE39" s="88">
        <v>0</v>
      </c>
      <c r="AF39" s="86">
        <v>0</v>
      </c>
      <c r="AG39" s="88">
        <v>0</v>
      </c>
      <c r="AH39" s="86">
        <v>0</v>
      </c>
      <c r="AI39" s="88">
        <v>0</v>
      </c>
      <c r="AJ39" s="86">
        <v>0</v>
      </c>
      <c r="AK39" s="88">
        <v>0</v>
      </c>
      <c r="AL39" s="86">
        <v>0</v>
      </c>
      <c r="AM39" s="85">
        <v>0</v>
      </c>
      <c r="AN39" s="89">
        <v>0</v>
      </c>
      <c r="AO39" s="90">
        <f t="shared" ref="AO39:AO45" si="13">IF(AND(V39*24&gt;=11,V39*24&lt;=13.5),IF((W39-V39)*24&gt;=1,1,IF(AND(V39*24&gt;=18.5,V39*24&lt;=22),6,0)),0)</f>
        <v>0</v>
      </c>
      <c r="AP39" s="91">
        <f t="shared" ref="AP39:AP45" si="14">IF(AND(X39*24&gt;=11,X39*24&lt;=13.5),IF((Y39-X39)*24&gt;=1,1,IF(AND(X39*24&gt;=18.5,X39*24&lt;=22),6,0)),0)</f>
        <v>0</v>
      </c>
      <c r="AQ39" s="91">
        <f t="shared" ref="AQ39:AQ45" si="15">IF(AND(Z39*24&gt;=11,Z39*24&lt;=13.5),IF((AA39-Z39)*24&gt;=1,1,IF(AND(Z39*24&gt;=18.5,Z39*24&lt;=22),6,0)),IF(BM39&lt;&gt;"",IF(BM47&lt;&gt;"",IF(AND(AV39*24=24,AS47*24=0,BM39+1=BM47),26,0),0),0))</f>
        <v>0</v>
      </c>
      <c r="AR39" s="92">
        <f t="shared" ref="AR39:AR45" si="16">IF(AND(AB39*24&gt;=11,AB39*24&lt;=13.5),IF((AM39-AB39)*24&gt;=1,1,IF(AND(AB39*24&gt;=18.5,AB39*24&lt;=22),6,0)),IF(BM39&lt;&gt;"",IF(BM47&lt;&gt;"",IF(AND(AX39*24=24,AS47*24=0,BM39+1=BM47),26,0),0),0))</f>
        <v>0</v>
      </c>
      <c r="AS39" s="93">
        <f t="shared" ref="AS39:AS45" si="17">IF(U39*24&gt;11,0,U39)</f>
        <v>0</v>
      </c>
      <c r="AT39" s="94">
        <f t="shared" ref="AT39:AT45" si="18">IF(AS39&gt;0,IF(AND(W39&gt;0,(W39*24)-(V39*24)&gt;=11),V39,IF(OR(AND(W39&gt;0,V39*24&lt;14.5,W39*24&gt;=11),W39=0),V39,IF(AND(W39&gt;0,W39*24&gt;=11,X39*24&lt;=15),V39,IF(AND(Y39*24&gt;=10,(Y39*24)-(X39*24)&gt;=1),X39,IF(AND(Y39&gt;0,Y39*24&gt;=11,Z39*24&gt;14.5),X39,IF(AND(Z39&gt;0,Z39*24&lt;=15),Z39,AA39)))))),0)</f>
        <v>0</v>
      </c>
      <c r="AU39" s="94">
        <f t="shared" ref="AU39:AU45" si="19">IF(U39&gt;0,IF(AS39&gt;0,IF(AND(AN39&gt;0,AN39=AT39),0,IF(AND(AB39&gt;0,AB39=AT39),AM39,IF(AND(Z39&gt;0,Z39=AT39),AA39,IF(AND(X39&gt;0,X39=AT39),Y39,W39)))),U39),0)</f>
        <v>0</v>
      </c>
      <c r="AV39" s="94">
        <f t="shared" ref="AV39:AV45" si="20">IF(AU39&gt;0,IF(AND(AM39&gt;0,AM39=AU39),AN39,IF(AND(AA39&gt;0,OR(AA39*24&lt;=18.5,AN39*24&gt;18.5,AND(AB39&lt;=18.5,AN39=0))),AB39,IF(AND(Y39&gt;0,OR(Y39*24&lt;=18.5,AB39*24&gt;18.5,AND(Z39&lt;=18.5,AB39=0))),Z39,IF(AND(W39&gt;0,OR(W39=AU39,AND(X39*24&lt;=18.5,Z39=0))),X39,V39)))),0)</f>
        <v>0</v>
      </c>
      <c r="AW39" s="94">
        <f t="shared" ref="AW39:AW45" si="21">IF(U39&gt;0,IF(OR(AS39&gt;0,AU39&gt;0),IF(AND(AN39&gt;0,OR(AN39=AT39,AN39=AV39)),0,IF(AND(AB39&gt;0,OR(AB39=AT39,AB39=AV39)),AM39,IF(AND(Z39&gt;0,OR(Z39=AT39,Z39=AV39)),AA39,IF(AND(X39&gt;0,OR(X39=AT39,X39=AV39)),Y39,W39)))),U39),0)</f>
        <v>0</v>
      </c>
      <c r="AX39" s="94">
        <f t="shared" ref="AX39:AX45" si="22">IF(AW39&gt;0,IF(AND(AN39&gt;0, AN39*24&gt;18.5),AN39,IF(AND(AB39&gt;0,AB39*24&gt;18.5),AB39,IF(AND(Z39&gt;0,Z39*24&gt;18.5),Z39,IF(AND(X39&gt;0,X39*24&gt;18.5),X39,V39)))),0)</f>
        <v>0</v>
      </c>
      <c r="AY39" s="90">
        <f t="shared" ref="AY39:AY45" si="23">IF(AND(AS39&gt;0,AS39*24&lt;5),1,0)+IF(SUM(AO39:AR39)&gt;=26,0,IF(OR(AND(AV39*24&lt;18.5,AW39*24&gt;18.5,AX39*24&gt;=21,AX39*24&lt;24,ROUND((AW39-AV39)*24,3)&lt;=11),AND(AT39*24&lt;11,AU39*24&gt;18.5,AV39*24&gt;=21,AV39*24&lt;24,ROUND((AU39-AT39)*24,3)&lt;=11)),1,IF(AND(OR(AND(AT39*24&gt;=21,AS39*24&gt;18.5),AND(AV39*24&gt;=21,AU39*24&gt;18.5),AND(AX39*24&gt;=21,AW39*24&gt;18.5),AND(AS39*24&gt;18.5,AT39*24&gt;=21),AND(AT39*24&lt;11,AU39*24&gt;18.5,AV39*24&gt;=21,AV39*24&lt;24),AND(AV39*24&lt;18.5,AW39*24&gt;18.5,AX39*24&gt;=21,AX39*24&lt;24)),OR(AND(AW39&gt;0,ROUND((AW39-AV39)*24,3)&lt;=11),AND(AU39&gt;0,ROUND((AU39-AT39)*24,3)&lt;=11))),1,IF(AND(OR(AND(AV39*24&gt;=21,AU39*24&gt;18.5),AND(OR(AT39*24&lt;18.5,AT39=0),AU39*24&gt;18.5,AV39*24&gt;=21,AV39*24&lt;24)),IF(AT39&gt;0,AND(AU39&gt;0,ROUND((AU39-AT39)*24,3)&lt;=11),TRUE)),1,0))))</f>
        <v>0</v>
      </c>
      <c r="AZ39" s="95">
        <f t="shared" ref="AZ39:AZ45" si="24">IF(AT39&gt;0,IF(AND(AU39&gt;0,ROUND((AU39*24)-(AT39*24),3)&gt;=1,AT39*24&gt;13.5,AT39*24&lt;=14),1,0),0)+IF(AV39&gt;0,IF(AND(AW39&gt;0,ROUND((AW39*24)-(AV39*24),3)&gt;=1,AV39*24&gt;21.5,AV39*24&lt;=22),1,0),0)</f>
        <v>0</v>
      </c>
      <c r="BA39" s="92">
        <f t="shared" ref="BA39:BA45" si="25">IF(AND(AS39&gt;0,AT39&gt;0,AU39&gt;0),IF(AND(AU39*24&gt;11,AT39*24&lt;=14,ROUND((AU39*24)-(AT39*24),3)&gt;=1),0,IF(AND(SUM(AO39:AR39)&gt;0,SUM(AO39:AR39)&lt;6),0,1)),IF(OR(AND(AS39&gt;0,AT39*24&lt;=14.5),AS39*AT39=0),0,IF(AND(SUM(AO39:AR39)&gt;0,SUM(AO39:AR39)&lt;6),0,1)))+IF(AND(AU39&gt;0,AV39&gt;0,AW39=0),IF(AND(AU39*24&lt;=18.5,AV39*24&gt;=22),1,0),IF(AND(AV39&gt;0,AW39&gt;0,AX39&gt;0),IF(OR(AW39*24&gt;18.5,AX39*24&lt;22,ROUND(AW39*24,3)-18.5&gt;=1,ROUND(AX39*24,3)-22&gt;=1),0,IF(AND(SUM(AO39:AR39)&gt;4,SUM(AO39:AR39)&lt;26),0,1)),IF(OR(AND(AV39&gt;0,AW39*24&lt;=22),AV39*AW39=0),0,IF(AND(SUM(AO39:AR39)&gt;4,SUM(AO39:AR39)&lt;26),0,1))))</f>
        <v>0</v>
      </c>
      <c r="BB39" s="80">
        <f>V39 - U39</f>
        <v>0</v>
      </c>
      <c r="BC39" s="83">
        <f>X39 - W39</f>
        <v>0</v>
      </c>
      <c r="BD39" s="83">
        <f>Z39 - Y39</f>
        <v>0</v>
      </c>
      <c r="BE39" s="83">
        <f>AB39 - AA39</f>
        <v>0</v>
      </c>
      <c r="BF39" s="83">
        <f>AD39 - AC39</f>
        <v>0</v>
      </c>
      <c r="BG39" s="83">
        <f>AF39 - AE39</f>
        <v>0</v>
      </c>
      <c r="BH39" s="83">
        <f>AH39 - AG39</f>
        <v>0</v>
      </c>
      <c r="BI39" s="83">
        <f>AJ39 - AI39</f>
        <v>0</v>
      </c>
      <c r="BJ39" s="83">
        <f>AL39 - AK39</f>
        <v>0</v>
      </c>
      <c r="BK39" s="83">
        <f>AN39 - AM39</f>
        <v>0</v>
      </c>
      <c r="BL39" s="96">
        <f>ROUNDUP(SUM(BB39:BK39) * 288, 0) / 288</f>
        <v>0</v>
      </c>
      <c r="BM39" s="71">
        <v>0</v>
      </c>
    </row>
    <row r="40" spans="1:65" s="185" customFormat="1" x14ac:dyDescent="0.25">
      <c r="A40" s="85">
        <v>0</v>
      </c>
      <c r="B40" s="86">
        <v>0</v>
      </c>
      <c r="C40" s="85">
        <v>0</v>
      </c>
      <c r="D40" s="86">
        <v>0</v>
      </c>
      <c r="E40" s="85">
        <v>0</v>
      </c>
      <c r="F40" s="86">
        <v>0</v>
      </c>
      <c r="G40" s="85">
        <v>0</v>
      </c>
      <c r="H40" s="86">
        <v>0</v>
      </c>
      <c r="I40" s="85">
        <v>0</v>
      </c>
      <c r="J40" s="86">
        <v>0</v>
      </c>
      <c r="K40" s="85">
        <v>0</v>
      </c>
      <c r="L40" s="86">
        <v>0</v>
      </c>
      <c r="M40" s="85">
        <v>0</v>
      </c>
      <c r="N40" s="86">
        <v>0</v>
      </c>
      <c r="O40" s="85">
        <v>0</v>
      </c>
      <c r="P40" s="86">
        <v>0</v>
      </c>
      <c r="Q40" s="85">
        <v>0</v>
      </c>
      <c r="R40" s="86">
        <v>0</v>
      </c>
      <c r="S40" s="85">
        <v>0</v>
      </c>
      <c r="T40" s="86">
        <v>0</v>
      </c>
      <c r="U40" s="87">
        <v>0</v>
      </c>
      <c r="V40" s="86">
        <v>0</v>
      </c>
      <c r="W40" s="85">
        <v>0</v>
      </c>
      <c r="X40" s="86">
        <v>0</v>
      </c>
      <c r="Y40" s="85">
        <v>0</v>
      </c>
      <c r="Z40" s="86">
        <v>0</v>
      </c>
      <c r="AA40" s="85">
        <v>0</v>
      </c>
      <c r="AB40" s="86">
        <v>0</v>
      </c>
      <c r="AC40" s="88">
        <v>0</v>
      </c>
      <c r="AD40" s="86">
        <v>0</v>
      </c>
      <c r="AE40" s="88">
        <v>0</v>
      </c>
      <c r="AF40" s="86">
        <v>0</v>
      </c>
      <c r="AG40" s="88">
        <v>0</v>
      </c>
      <c r="AH40" s="86">
        <v>0</v>
      </c>
      <c r="AI40" s="88">
        <v>0</v>
      </c>
      <c r="AJ40" s="86">
        <v>0</v>
      </c>
      <c r="AK40" s="88">
        <v>0</v>
      </c>
      <c r="AL40" s="86">
        <v>0</v>
      </c>
      <c r="AM40" s="85">
        <v>0</v>
      </c>
      <c r="AN40" s="89">
        <v>0</v>
      </c>
      <c r="AO40" s="90">
        <f t="shared" si="13"/>
        <v>0</v>
      </c>
      <c r="AP40" s="91">
        <f t="shared" si="14"/>
        <v>0</v>
      </c>
      <c r="AQ40" s="91">
        <f t="shared" si="15"/>
        <v>0</v>
      </c>
      <c r="AR40" s="92">
        <f t="shared" si="16"/>
        <v>0</v>
      </c>
      <c r="AS40" s="93">
        <f t="shared" si="17"/>
        <v>0</v>
      </c>
      <c r="AT40" s="94">
        <f t="shared" si="18"/>
        <v>0</v>
      </c>
      <c r="AU40" s="94">
        <f t="shared" si="19"/>
        <v>0</v>
      </c>
      <c r="AV40" s="94">
        <f t="shared" si="20"/>
        <v>0</v>
      </c>
      <c r="AW40" s="94">
        <f t="shared" si="21"/>
        <v>0</v>
      </c>
      <c r="AX40" s="94">
        <f t="shared" si="22"/>
        <v>0</v>
      </c>
      <c r="AY40" s="90">
        <f t="shared" si="23"/>
        <v>0</v>
      </c>
      <c r="AZ40" s="95">
        <f t="shared" si="24"/>
        <v>0</v>
      </c>
      <c r="BA40" s="92">
        <f t="shared" si="25"/>
        <v>0</v>
      </c>
      <c r="BB40" s="80">
        <f>V40 - U40</f>
        <v>0</v>
      </c>
      <c r="BC40" s="83">
        <f>X40 - W40</f>
        <v>0</v>
      </c>
      <c r="BD40" s="83">
        <f>Z40 - Y40</f>
        <v>0</v>
      </c>
      <c r="BE40" s="83">
        <f>AB40 - AA40</f>
        <v>0</v>
      </c>
      <c r="BF40" s="83">
        <f>AD40 - AC40</f>
        <v>0</v>
      </c>
      <c r="BG40" s="83">
        <f>AF40 - AE40</f>
        <v>0</v>
      </c>
      <c r="BH40" s="83">
        <f>AH40 - AG40</f>
        <v>0</v>
      </c>
      <c r="BI40" s="83">
        <f>AJ40 - AI40</f>
        <v>0</v>
      </c>
      <c r="BJ40" s="83">
        <f>AL40 - AK40</f>
        <v>0</v>
      </c>
      <c r="BK40" s="83">
        <f>AN40 - AM40</f>
        <v>0</v>
      </c>
      <c r="BL40" s="96">
        <f>ROUNDUP(SUM(BB40:BK40) * 288, 0) / 288</f>
        <v>0</v>
      </c>
      <c r="BM40" s="71">
        <v>0</v>
      </c>
    </row>
    <row r="41" spans="1:65" s="185" customFormat="1" x14ac:dyDescent="0.25">
      <c r="A41" s="85">
        <v>0</v>
      </c>
      <c r="B41" s="86">
        <v>0</v>
      </c>
      <c r="C41" s="85">
        <v>0</v>
      </c>
      <c r="D41" s="86">
        <v>0</v>
      </c>
      <c r="E41" s="85">
        <v>0</v>
      </c>
      <c r="F41" s="86">
        <v>0</v>
      </c>
      <c r="G41" s="85">
        <v>0</v>
      </c>
      <c r="H41" s="86">
        <v>0</v>
      </c>
      <c r="I41" s="85">
        <v>0</v>
      </c>
      <c r="J41" s="86">
        <v>0</v>
      </c>
      <c r="K41" s="85">
        <v>0</v>
      </c>
      <c r="L41" s="86">
        <v>0</v>
      </c>
      <c r="M41" s="85">
        <v>0</v>
      </c>
      <c r="N41" s="86">
        <v>0</v>
      </c>
      <c r="O41" s="85">
        <v>0</v>
      </c>
      <c r="P41" s="86">
        <v>0</v>
      </c>
      <c r="Q41" s="85">
        <v>0</v>
      </c>
      <c r="R41" s="86">
        <v>0</v>
      </c>
      <c r="S41" s="85">
        <v>0</v>
      </c>
      <c r="T41" s="86">
        <v>0</v>
      </c>
      <c r="U41" s="87">
        <v>0</v>
      </c>
      <c r="V41" s="86">
        <v>0</v>
      </c>
      <c r="W41" s="85">
        <v>0</v>
      </c>
      <c r="X41" s="86">
        <v>0</v>
      </c>
      <c r="Y41" s="85">
        <v>0</v>
      </c>
      <c r="Z41" s="86">
        <v>0</v>
      </c>
      <c r="AA41" s="85">
        <v>0</v>
      </c>
      <c r="AB41" s="86">
        <v>0</v>
      </c>
      <c r="AC41" s="88">
        <v>0</v>
      </c>
      <c r="AD41" s="86">
        <v>0</v>
      </c>
      <c r="AE41" s="88">
        <v>0</v>
      </c>
      <c r="AF41" s="86">
        <v>0</v>
      </c>
      <c r="AG41" s="88">
        <v>0</v>
      </c>
      <c r="AH41" s="86">
        <v>0</v>
      </c>
      <c r="AI41" s="88">
        <v>0</v>
      </c>
      <c r="AJ41" s="86">
        <v>0</v>
      </c>
      <c r="AK41" s="88">
        <v>0</v>
      </c>
      <c r="AL41" s="86">
        <v>0</v>
      </c>
      <c r="AM41" s="85">
        <v>0</v>
      </c>
      <c r="AN41" s="89">
        <v>0</v>
      </c>
      <c r="AO41" s="90">
        <f t="shared" si="13"/>
        <v>0</v>
      </c>
      <c r="AP41" s="91">
        <f t="shared" si="14"/>
        <v>0</v>
      </c>
      <c r="AQ41" s="91">
        <f t="shared" si="15"/>
        <v>0</v>
      </c>
      <c r="AR41" s="92">
        <f t="shared" si="16"/>
        <v>0</v>
      </c>
      <c r="AS41" s="93">
        <f t="shared" si="17"/>
        <v>0</v>
      </c>
      <c r="AT41" s="94">
        <f t="shared" si="18"/>
        <v>0</v>
      </c>
      <c r="AU41" s="94">
        <f t="shared" si="19"/>
        <v>0</v>
      </c>
      <c r="AV41" s="94">
        <f t="shared" si="20"/>
        <v>0</v>
      </c>
      <c r="AW41" s="94">
        <f t="shared" si="21"/>
        <v>0</v>
      </c>
      <c r="AX41" s="94">
        <f t="shared" si="22"/>
        <v>0</v>
      </c>
      <c r="AY41" s="90">
        <f t="shared" si="23"/>
        <v>0</v>
      </c>
      <c r="AZ41" s="95">
        <f t="shared" si="24"/>
        <v>0</v>
      </c>
      <c r="BA41" s="92">
        <f t="shared" si="25"/>
        <v>0</v>
      </c>
      <c r="BB41" s="80">
        <f>V41 - U41</f>
        <v>0</v>
      </c>
      <c r="BC41" s="83">
        <f>X41 - W41</f>
        <v>0</v>
      </c>
      <c r="BD41" s="83">
        <f>Z41 - Y41</f>
        <v>0</v>
      </c>
      <c r="BE41" s="83">
        <f>AB41 - AA41</f>
        <v>0</v>
      </c>
      <c r="BF41" s="83">
        <f>AD41 - AC41</f>
        <v>0</v>
      </c>
      <c r="BG41" s="83">
        <f>AF41 - AE41</f>
        <v>0</v>
      </c>
      <c r="BH41" s="83">
        <f>AH41 - AG41</f>
        <v>0</v>
      </c>
      <c r="BI41" s="83">
        <f>AJ41 - AI41</f>
        <v>0</v>
      </c>
      <c r="BJ41" s="83">
        <f>AL41 - AK41</f>
        <v>0</v>
      </c>
      <c r="BK41" s="83">
        <f>AN41 - AM41</f>
        <v>0</v>
      </c>
      <c r="BL41" s="96">
        <f>ROUNDUP(SUM(BB41:BK41) * 288, 0) / 288</f>
        <v>0</v>
      </c>
      <c r="BM41" s="71">
        <v>0</v>
      </c>
    </row>
    <row r="42" spans="1:65" s="185" customFormat="1" x14ac:dyDescent="0.25">
      <c r="A42" s="85">
        <v>0</v>
      </c>
      <c r="B42" s="86">
        <v>0</v>
      </c>
      <c r="C42" s="85">
        <v>0</v>
      </c>
      <c r="D42" s="86">
        <v>0</v>
      </c>
      <c r="E42" s="85">
        <v>0</v>
      </c>
      <c r="F42" s="86">
        <v>0</v>
      </c>
      <c r="G42" s="85">
        <v>0</v>
      </c>
      <c r="H42" s="86">
        <v>0</v>
      </c>
      <c r="I42" s="85">
        <v>0</v>
      </c>
      <c r="J42" s="86">
        <v>0</v>
      </c>
      <c r="K42" s="85">
        <v>0</v>
      </c>
      <c r="L42" s="86">
        <v>0</v>
      </c>
      <c r="M42" s="85">
        <v>0</v>
      </c>
      <c r="N42" s="86">
        <v>0</v>
      </c>
      <c r="O42" s="85">
        <v>0</v>
      </c>
      <c r="P42" s="86">
        <v>0</v>
      </c>
      <c r="Q42" s="85">
        <v>0</v>
      </c>
      <c r="R42" s="86">
        <v>0</v>
      </c>
      <c r="S42" s="85">
        <v>0</v>
      </c>
      <c r="T42" s="86">
        <v>0</v>
      </c>
      <c r="U42" s="87">
        <v>0</v>
      </c>
      <c r="V42" s="86">
        <v>0</v>
      </c>
      <c r="W42" s="85">
        <v>0</v>
      </c>
      <c r="X42" s="86">
        <v>0</v>
      </c>
      <c r="Y42" s="85">
        <v>0</v>
      </c>
      <c r="Z42" s="86">
        <v>0</v>
      </c>
      <c r="AA42" s="85">
        <v>0</v>
      </c>
      <c r="AB42" s="86">
        <v>0</v>
      </c>
      <c r="AC42" s="88">
        <v>0</v>
      </c>
      <c r="AD42" s="86">
        <v>0</v>
      </c>
      <c r="AE42" s="88">
        <v>0</v>
      </c>
      <c r="AF42" s="86">
        <v>0</v>
      </c>
      <c r="AG42" s="88">
        <v>0</v>
      </c>
      <c r="AH42" s="86">
        <v>0</v>
      </c>
      <c r="AI42" s="88">
        <v>0</v>
      </c>
      <c r="AJ42" s="86">
        <v>0</v>
      </c>
      <c r="AK42" s="88">
        <v>0</v>
      </c>
      <c r="AL42" s="86">
        <v>0</v>
      </c>
      <c r="AM42" s="85">
        <v>0</v>
      </c>
      <c r="AN42" s="89">
        <v>0</v>
      </c>
      <c r="AO42" s="90">
        <f t="shared" si="13"/>
        <v>0</v>
      </c>
      <c r="AP42" s="91">
        <f t="shared" si="14"/>
        <v>0</v>
      </c>
      <c r="AQ42" s="91">
        <f t="shared" si="15"/>
        <v>0</v>
      </c>
      <c r="AR42" s="92">
        <f t="shared" si="16"/>
        <v>0</v>
      </c>
      <c r="AS42" s="93">
        <f t="shared" si="17"/>
        <v>0</v>
      </c>
      <c r="AT42" s="94">
        <f t="shared" si="18"/>
        <v>0</v>
      </c>
      <c r="AU42" s="94">
        <f t="shared" si="19"/>
        <v>0</v>
      </c>
      <c r="AV42" s="94">
        <f t="shared" si="20"/>
        <v>0</v>
      </c>
      <c r="AW42" s="94">
        <f t="shared" si="21"/>
        <v>0</v>
      </c>
      <c r="AX42" s="94">
        <f t="shared" si="22"/>
        <v>0</v>
      </c>
      <c r="AY42" s="90">
        <f t="shared" si="23"/>
        <v>0</v>
      </c>
      <c r="AZ42" s="95">
        <f t="shared" si="24"/>
        <v>0</v>
      </c>
      <c r="BA42" s="92">
        <f t="shared" si="25"/>
        <v>0</v>
      </c>
      <c r="BB42" s="80">
        <f>V42 - U42</f>
        <v>0</v>
      </c>
      <c r="BC42" s="83">
        <f>X42 - W42</f>
        <v>0</v>
      </c>
      <c r="BD42" s="83">
        <f>Z42 - Y42</f>
        <v>0</v>
      </c>
      <c r="BE42" s="83">
        <f>AB42 - AA42</f>
        <v>0</v>
      </c>
      <c r="BF42" s="83">
        <f>AD42 - AC42</f>
        <v>0</v>
      </c>
      <c r="BG42" s="83">
        <f>AF42 - AE42</f>
        <v>0</v>
      </c>
      <c r="BH42" s="83">
        <f>AH42 - AG42</f>
        <v>0</v>
      </c>
      <c r="BI42" s="83">
        <f>AJ42 - AI42</f>
        <v>0</v>
      </c>
      <c r="BJ42" s="83">
        <f>AL42 - AK42</f>
        <v>0</v>
      </c>
      <c r="BK42" s="83">
        <f>AN42 - AM42</f>
        <v>0</v>
      </c>
      <c r="BL42" s="96">
        <f>ROUNDUP(SUM(BB42:BK42) * 288, 0) / 288</f>
        <v>0</v>
      </c>
      <c r="BM42" s="71">
        <v>0</v>
      </c>
    </row>
    <row r="43" spans="1:65" s="185" customFormat="1" x14ac:dyDescent="0.25">
      <c r="A43" s="85">
        <v>0</v>
      </c>
      <c r="B43" s="86">
        <v>0</v>
      </c>
      <c r="C43" s="85">
        <v>0</v>
      </c>
      <c r="D43" s="86">
        <v>0</v>
      </c>
      <c r="E43" s="85">
        <v>0</v>
      </c>
      <c r="F43" s="86">
        <v>0</v>
      </c>
      <c r="G43" s="85">
        <v>0</v>
      </c>
      <c r="H43" s="86">
        <v>0</v>
      </c>
      <c r="I43" s="85">
        <v>0</v>
      </c>
      <c r="J43" s="86">
        <v>0</v>
      </c>
      <c r="K43" s="85">
        <v>0</v>
      </c>
      <c r="L43" s="86">
        <v>0</v>
      </c>
      <c r="M43" s="85">
        <v>0</v>
      </c>
      <c r="N43" s="86">
        <v>0</v>
      </c>
      <c r="O43" s="85">
        <v>0</v>
      </c>
      <c r="P43" s="86">
        <v>0</v>
      </c>
      <c r="Q43" s="85">
        <v>0</v>
      </c>
      <c r="R43" s="86">
        <v>0</v>
      </c>
      <c r="S43" s="85">
        <v>0</v>
      </c>
      <c r="T43" s="86">
        <v>0</v>
      </c>
      <c r="U43" s="87">
        <v>0</v>
      </c>
      <c r="V43" s="86">
        <v>0</v>
      </c>
      <c r="W43" s="85">
        <v>0</v>
      </c>
      <c r="X43" s="86">
        <v>0</v>
      </c>
      <c r="Y43" s="85">
        <v>0</v>
      </c>
      <c r="Z43" s="86">
        <v>0</v>
      </c>
      <c r="AA43" s="85">
        <v>0</v>
      </c>
      <c r="AB43" s="86">
        <v>0</v>
      </c>
      <c r="AC43" s="88">
        <v>0</v>
      </c>
      <c r="AD43" s="86">
        <v>0</v>
      </c>
      <c r="AE43" s="88">
        <v>0</v>
      </c>
      <c r="AF43" s="86">
        <v>0</v>
      </c>
      <c r="AG43" s="88">
        <v>0</v>
      </c>
      <c r="AH43" s="86">
        <v>0</v>
      </c>
      <c r="AI43" s="88">
        <v>0</v>
      </c>
      <c r="AJ43" s="86">
        <v>0</v>
      </c>
      <c r="AK43" s="88">
        <v>0</v>
      </c>
      <c r="AL43" s="86">
        <v>0</v>
      </c>
      <c r="AM43" s="85">
        <v>0</v>
      </c>
      <c r="AN43" s="89">
        <v>0</v>
      </c>
      <c r="AO43" s="90">
        <f t="shared" si="13"/>
        <v>0</v>
      </c>
      <c r="AP43" s="91">
        <f t="shared" si="14"/>
        <v>0</v>
      </c>
      <c r="AQ43" s="91">
        <f t="shared" si="15"/>
        <v>0</v>
      </c>
      <c r="AR43" s="92">
        <f t="shared" si="16"/>
        <v>0</v>
      </c>
      <c r="AS43" s="93">
        <f t="shared" si="17"/>
        <v>0</v>
      </c>
      <c r="AT43" s="94">
        <f t="shared" si="18"/>
        <v>0</v>
      </c>
      <c r="AU43" s="94">
        <f t="shared" si="19"/>
        <v>0</v>
      </c>
      <c r="AV43" s="94">
        <f t="shared" si="20"/>
        <v>0</v>
      </c>
      <c r="AW43" s="94">
        <f t="shared" si="21"/>
        <v>0</v>
      </c>
      <c r="AX43" s="94">
        <f t="shared" si="22"/>
        <v>0</v>
      </c>
      <c r="AY43" s="90">
        <f t="shared" si="23"/>
        <v>0</v>
      </c>
      <c r="AZ43" s="95">
        <f t="shared" si="24"/>
        <v>0</v>
      </c>
      <c r="BA43" s="92">
        <f t="shared" si="25"/>
        <v>0</v>
      </c>
      <c r="BB43" s="80">
        <f>V43 - U43</f>
        <v>0</v>
      </c>
      <c r="BC43" s="83">
        <f>X43 - W43</f>
        <v>0</v>
      </c>
      <c r="BD43" s="83">
        <f>Z43 - Y43</f>
        <v>0</v>
      </c>
      <c r="BE43" s="83">
        <f>AB43 - AA43</f>
        <v>0</v>
      </c>
      <c r="BF43" s="83">
        <f>AD43 - AC43</f>
        <v>0</v>
      </c>
      <c r="BG43" s="83">
        <f>AF43 - AE43</f>
        <v>0</v>
      </c>
      <c r="BH43" s="83">
        <f>AH43 - AG43</f>
        <v>0</v>
      </c>
      <c r="BI43" s="83">
        <f>AJ43 - AI43</f>
        <v>0</v>
      </c>
      <c r="BJ43" s="83">
        <f>AL43 - AK43</f>
        <v>0</v>
      </c>
      <c r="BK43" s="83">
        <f>AN43 - AM43</f>
        <v>0</v>
      </c>
      <c r="BL43" s="96">
        <f>ROUNDUP(SUM(BB43:BK43) * 288, 0) / 288</f>
        <v>0</v>
      </c>
      <c r="BM43" s="71">
        <v>0</v>
      </c>
    </row>
    <row r="44" spans="1:65" s="185" customFormat="1" x14ac:dyDescent="0.25">
      <c r="A44" s="85">
        <v>0</v>
      </c>
      <c r="B44" s="86">
        <v>0</v>
      </c>
      <c r="C44" s="85">
        <v>0</v>
      </c>
      <c r="D44" s="86">
        <v>0</v>
      </c>
      <c r="E44" s="85">
        <v>0</v>
      </c>
      <c r="F44" s="86">
        <v>0</v>
      </c>
      <c r="G44" s="85">
        <v>0</v>
      </c>
      <c r="H44" s="86">
        <v>0</v>
      </c>
      <c r="I44" s="85">
        <v>0</v>
      </c>
      <c r="J44" s="86">
        <v>0</v>
      </c>
      <c r="K44" s="85">
        <v>0</v>
      </c>
      <c r="L44" s="86">
        <v>0</v>
      </c>
      <c r="M44" s="85">
        <v>0</v>
      </c>
      <c r="N44" s="86">
        <v>0</v>
      </c>
      <c r="O44" s="85">
        <v>0</v>
      </c>
      <c r="P44" s="86">
        <v>0</v>
      </c>
      <c r="Q44" s="85">
        <v>0</v>
      </c>
      <c r="R44" s="86">
        <v>0</v>
      </c>
      <c r="S44" s="85">
        <v>0</v>
      </c>
      <c r="T44" s="86">
        <v>0</v>
      </c>
      <c r="U44" s="87">
        <v>0</v>
      </c>
      <c r="V44" s="86">
        <v>0</v>
      </c>
      <c r="W44" s="85">
        <v>0</v>
      </c>
      <c r="X44" s="86">
        <v>0</v>
      </c>
      <c r="Y44" s="85">
        <v>0</v>
      </c>
      <c r="Z44" s="86">
        <v>0</v>
      </c>
      <c r="AA44" s="85">
        <v>0</v>
      </c>
      <c r="AB44" s="86">
        <v>0</v>
      </c>
      <c r="AC44" s="88">
        <v>0</v>
      </c>
      <c r="AD44" s="86">
        <v>0</v>
      </c>
      <c r="AE44" s="88">
        <v>0</v>
      </c>
      <c r="AF44" s="86">
        <v>0</v>
      </c>
      <c r="AG44" s="88">
        <v>0</v>
      </c>
      <c r="AH44" s="86">
        <v>0</v>
      </c>
      <c r="AI44" s="88">
        <v>0</v>
      </c>
      <c r="AJ44" s="86">
        <v>0</v>
      </c>
      <c r="AK44" s="88">
        <v>0</v>
      </c>
      <c r="AL44" s="86">
        <v>0</v>
      </c>
      <c r="AM44" s="85">
        <v>0</v>
      </c>
      <c r="AN44" s="89">
        <v>0</v>
      </c>
      <c r="AO44" s="90">
        <f t="shared" si="13"/>
        <v>0</v>
      </c>
      <c r="AP44" s="91">
        <f t="shared" si="14"/>
        <v>0</v>
      </c>
      <c r="AQ44" s="91">
        <f t="shared" si="15"/>
        <v>0</v>
      </c>
      <c r="AR44" s="92">
        <f t="shared" si="16"/>
        <v>0</v>
      </c>
      <c r="AS44" s="93">
        <f t="shared" si="17"/>
        <v>0</v>
      </c>
      <c r="AT44" s="94">
        <f t="shared" si="18"/>
        <v>0</v>
      </c>
      <c r="AU44" s="94">
        <f t="shared" si="19"/>
        <v>0</v>
      </c>
      <c r="AV44" s="94">
        <f t="shared" si="20"/>
        <v>0</v>
      </c>
      <c r="AW44" s="94">
        <f t="shared" si="21"/>
        <v>0</v>
      </c>
      <c r="AX44" s="94">
        <f t="shared" si="22"/>
        <v>0</v>
      </c>
      <c r="AY44" s="90">
        <f t="shared" si="23"/>
        <v>0</v>
      </c>
      <c r="AZ44" s="95">
        <f t="shared" si="24"/>
        <v>0</v>
      </c>
      <c r="BA44" s="92">
        <f t="shared" si="25"/>
        <v>0</v>
      </c>
      <c r="BB44" s="80">
        <f>V44 - U44</f>
        <v>0</v>
      </c>
      <c r="BC44" s="83">
        <f>X44 - W44</f>
        <v>0</v>
      </c>
      <c r="BD44" s="83">
        <f>Z44 - Y44</f>
        <v>0</v>
      </c>
      <c r="BE44" s="83">
        <f>AB44 - AA44</f>
        <v>0</v>
      </c>
      <c r="BF44" s="83">
        <f>AD44 - AC44</f>
        <v>0</v>
      </c>
      <c r="BG44" s="83">
        <f>AF44 - AE44</f>
        <v>0</v>
      </c>
      <c r="BH44" s="83">
        <f>AH44 - AG44</f>
        <v>0</v>
      </c>
      <c r="BI44" s="83">
        <f>AJ44 - AI44</f>
        <v>0</v>
      </c>
      <c r="BJ44" s="83">
        <f>AL44 - AK44</f>
        <v>0</v>
      </c>
      <c r="BK44" s="83">
        <f>AN44 - AM44</f>
        <v>0</v>
      </c>
      <c r="BL44" s="96">
        <f>ROUNDUP(SUM(BB44:BK44) * 288, 0) / 288</f>
        <v>0</v>
      </c>
      <c r="BM44" s="71">
        <v>0</v>
      </c>
    </row>
    <row r="45" spans="1:65" s="185" customFormat="1" x14ac:dyDescent="0.25">
      <c r="A45" s="85">
        <v>0</v>
      </c>
      <c r="B45" s="86">
        <v>0</v>
      </c>
      <c r="C45" s="85">
        <v>0</v>
      </c>
      <c r="D45" s="86">
        <v>0</v>
      </c>
      <c r="E45" s="85">
        <v>0</v>
      </c>
      <c r="F45" s="86">
        <v>0</v>
      </c>
      <c r="G45" s="85">
        <v>0</v>
      </c>
      <c r="H45" s="86">
        <v>0</v>
      </c>
      <c r="I45" s="85">
        <v>0</v>
      </c>
      <c r="J45" s="86">
        <v>0</v>
      </c>
      <c r="K45" s="85">
        <v>0</v>
      </c>
      <c r="L45" s="86">
        <v>0</v>
      </c>
      <c r="M45" s="85">
        <v>0</v>
      </c>
      <c r="N45" s="86">
        <v>0</v>
      </c>
      <c r="O45" s="85">
        <v>0</v>
      </c>
      <c r="P45" s="86">
        <v>0</v>
      </c>
      <c r="Q45" s="85">
        <v>0</v>
      </c>
      <c r="R45" s="86">
        <v>0</v>
      </c>
      <c r="S45" s="85">
        <v>0</v>
      </c>
      <c r="T45" s="86">
        <v>0</v>
      </c>
      <c r="U45" s="87">
        <v>0</v>
      </c>
      <c r="V45" s="86">
        <v>0</v>
      </c>
      <c r="W45" s="85">
        <v>0</v>
      </c>
      <c r="X45" s="86">
        <v>0</v>
      </c>
      <c r="Y45" s="85">
        <v>0</v>
      </c>
      <c r="Z45" s="86">
        <v>0</v>
      </c>
      <c r="AA45" s="85">
        <v>0</v>
      </c>
      <c r="AB45" s="86">
        <v>0</v>
      </c>
      <c r="AC45" s="88">
        <v>0</v>
      </c>
      <c r="AD45" s="86">
        <v>0</v>
      </c>
      <c r="AE45" s="88">
        <v>0</v>
      </c>
      <c r="AF45" s="86">
        <v>0</v>
      </c>
      <c r="AG45" s="88">
        <v>0</v>
      </c>
      <c r="AH45" s="86">
        <v>0</v>
      </c>
      <c r="AI45" s="88">
        <v>0</v>
      </c>
      <c r="AJ45" s="86">
        <v>0</v>
      </c>
      <c r="AK45" s="88">
        <v>0</v>
      </c>
      <c r="AL45" s="86">
        <v>0</v>
      </c>
      <c r="AM45" s="85">
        <v>0</v>
      </c>
      <c r="AN45" s="89">
        <v>0</v>
      </c>
      <c r="AO45" s="90">
        <f t="shared" si="13"/>
        <v>0</v>
      </c>
      <c r="AP45" s="91">
        <f t="shared" si="14"/>
        <v>0</v>
      </c>
      <c r="AQ45" s="91">
        <f t="shared" si="15"/>
        <v>0</v>
      </c>
      <c r="AR45" s="92">
        <f t="shared" si="16"/>
        <v>0</v>
      </c>
      <c r="AS45" s="93">
        <f t="shared" si="17"/>
        <v>0</v>
      </c>
      <c r="AT45" s="94">
        <f t="shared" si="18"/>
        <v>0</v>
      </c>
      <c r="AU45" s="94">
        <f t="shared" si="19"/>
        <v>0</v>
      </c>
      <c r="AV45" s="94">
        <f t="shared" si="20"/>
        <v>0</v>
      </c>
      <c r="AW45" s="94">
        <f t="shared" si="21"/>
        <v>0</v>
      </c>
      <c r="AX45" s="94">
        <f t="shared" si="22"/>
        <v>0</v>
      </c>
      <c r="AY45" s="90">
        <f t="shared" si="23"/>
        <v>0</v>
      </c>
      <c r="AZ45" s="95">
        <f t="shared" si="24"/>
        <v>0</v>
      </c>
      <c r="BA45" s="92">
        <f t="shared" si="25"/>
        <v>0</v>
      </c>
      <c r="BB45" s="80">
        <f>V45 - U45</f>
        <v>0</v>
      </c>
      <c r="BC45" s="83">
        <f>X45 - W45</f>
        <v>0</v>
      </c>
      <c r="BD45" s="83">
        <f>Z45 - Y45</f>
        <v>0</v>
      </c>
      <c r="BE45" s="83">
        <f>AB45 - AA45</f>
        <v>0</v>
      </c>
      <c r="BF45" s="83">
        <f>AD45 - AC45</f>
        <v>0</v>
      </c>
      <c r="BG45" s="83">
        <f>AF45 - AE45</f>
        <v>0</v>
      </c>
      <c r="BH45" s="83">
        <f>AH45 - AG45</f>
        <v>0</v>
      </c>
      <c r="BI45" s="83">
        <f>AJ45 - AI45</f>
        <v>0</v>
      </c>
      <c r="BJ45" s="83">
        <f>AL45 - AK45</f>
        <v>0</v>
      </c>
      <c r="BK45" s="83">
        <f>AN45 - AM45</f>
        <v>0</v>
      </c>
      <c r="BL45" s="96">
        <f>ROUNDUP(SUM(BB45:BK45) * 288, 0) / 288</f>
        <v>0</v>
      </c>
      <c r="BM45" s="71">
        <v>0</v>
      </c>
    </row>
    <row r="46" spans="1:65" x14ac:dyDescent="0.25">
      <c r="A46" s="97">
        <v>0</v>
      </c>
      <c r="B46" s="98">
        <v>0</v>
      </c>
      <c r="C46" s="97">
        <v>0</v>
      </c>
      <c r="D46" s="98">
        <v>0</v>
      </c>
      <c r="E46" s="97">
        <v>0</v>
      </c>
      <c r="F46" s="98">
        <v>0</v>
      </c>
      <c r="G46" s="97">
        <v>0</v>
      </c>
      <c r="H46" s="98">
        <v>0</v>
      </c>
      <c r="I46" s="97">
        <v>0</v>
      </c>
      <c r="J46" s="98">
        <v>0</v>
      </c>
      <c r="K46" s="97">
        <v>0</v>
      </c>
      <c r="L46" s="98">
        <v>0</v>
      </c>
      <c r="M46" s="97">
        <v>0</v>
      </c>
      <c r="N46" s="98">
        <v>0</v>
      </c>
      <c r="O46" s="97">
        <v>0</v>
      </c>
      <c r="P46" s="98">
        <v>0</v>
      </c>
      <c r="Q46" s="97">
        <v>0</v>
      </c>
      <c r="R46" s="98">
        <v>0</v>
      </c>
      <c r="S46" s="97">
        <v>0</v>
      </c>
      <c r="T46" s="98">
        <v>0</v>
      </c>
      <c r="U46" s="99">
        <v>0</v>
      </c>
      <c r="V46" s="98">
        <v>0</v>
      </c>
      <c r="W46" s="97">
        <v>0</v>
      </c>
      <c r="X46" s="98">
        <v>0</v>
      </c>
      <c r="Y46" s="97">
        <v>0</v>
      </c>
      <c r="Z46" s="98">
        <v>0</v>
      </c>
      <c r="AA46" s="97">
        <v>0</v>
      </c>
      <c r="AB46" s="98">
        <v>0</v>
      </c>
      <c r="AC46" s="100">
        <v>0</v>
      </c>
      <c r="AD46" s="98">
        <v>0</v>
      </c>
      <c r="AE46" s="100">
        <v>0</v>
      </c>
      <c r="AF46" s="98">
        <v>0</v>
      </c>
      <c r="AG46" s="100">
        <v>0</v>
      </c>
      <c r="AH46" s="98">
        <v>0</v>
      </c>
      <c r="AI46" s="100">
        <v>0</v>
      </c>
      <c r="AJ46" s="98">
        <v>0</v>
      </c>
      <c r="AK46" s="100">
        <v>0</v>
      </c>
      <c r="AL46" s="98">
        <v>0</v>
      </c>
      <c r="AM46" s="97">
        <v>0</v>
      </c>
      <c r="AN46" s="101">
        <v>0</v>
      </c>
      <c r="AO46" s="102">
        <f t="shared" si="0"/>
        <v>0</v>
      </c>
      <c r="AP46" s="103">
        <f t="shared" si="1"/>
        <v>0</v>
      </c>
      <c r="AQ46" s="103">
        <f t="shared" si="2"/>
        <v>0</v>
      </c>
      <c r="AR46" s="104">
        <f t="shared" si="3"/>
        <v>0</v>
      </c>
      <c r="AS46" s="105">
        <f t="shared" si="4"/>
        <v>0</v>
      </c>
      <c r="AT46" s="106">
        <f t="shared" si="5"/>
        <v>0</v>
      </c>
      <c r="AU46" s="106">
        <f t="shared" si="6"/>
        <v>0</v>
      </c>
      <c r="AV46" s="106">
        <f t="shared" si="7"/>
        <v>0</v>
      </c>
      <c r="AW46" s="106">
        <f t="shared" si="8"/>
        <v>0</v>
      </c>
      <c r="AX46" s="106">
        <f t="shared" si="9"/>
        <v>0</v>
      </c>
      <c r="AY46" s="102">
        <f t="shared" si="10"/>
        <v>0</v>
      </c>
      <c r="AZ46" s="107">
        <f t="shared" si="11"/>
        <v>0</v>
      </c>
      <c r="BA46" s="104">
        <f t="shared" si="12"/>
        <v>0</v>
      </c>
      <c r="BB46" s="105">
        <f>V46 - U46</f>
        <v>0</v>
      </c>
      <c r="BC46" s="108">
        <f>X46 - W46</f>
        <v>0</v>
      </c>
      <c r="BD46" s="108">
        <f>Z46 - Y46</f>
        <v>0</v>
      </c>
      <c r="BE46" s="108">
        <f>AB46 - AA46</f>
        <v>0</v>
      </c>
      <c r="BF46" s="108">
        <f>AD46 - AC46</f>
        <v>0</v>
      </c>
      <c r="BG46" s="108">
        <f>AF46 - AE46</f>
        <v>0</v>
      </c>
      <c r="BH46" s="108">
        <f>AH46 - AG46</f>
        <v>0</v>
      </c>
      <c r="BI46" s="108">
        <f>AJ46 - AI46</f>
        <v>0</v>
      </c>
      <c r="BJ46" s="108">
        <f>AL46 - AK46</f>
        <v>0</v>
      </c>
      <c r="BK46" s="109">
        <f>AN46 - AM46</f>
        <v>0</v>
      </c>
      <c r="BL46" s="110">
        <f>ROUNDUP(SUM(BB46:BK46) * 288, 0) / 288</f>
        <v>0</v>
      </c>
      <c r="BM46" s="71">
        <v>0</v>
      </c>
    </row>
    <row r="47" spans="1:65" x14ac:dyDescent="0.25">
      <c r="A47" s="72"/>
      <c r="B47" s="73"/>
      <c r="C47" s="72"/>
      <c r="D47" s="73"/>
      <c r="E47" s="72"/>
      <c r="F47" s="73"/>
      <c r="G47" s="72"/>
      <c r="H47" s="73"/>
      <c r="I47" s="72"/>
      <c r="J47" s="73"/>
      <c r="K47" s="72"/>
      <c r="L47" s="73"/>
      <c r="M47" s="72"/>
      <c r="N47" s="73"/>
      <c r="O47" s="72"/>
      <c r="P47" s="73"/>
      <c r="Q47" s="72"/>
      <c r="R47" s="73"/>
      <c r="S47" s="72"/>
      <c r="T47" s="73"/>
      <c r="U47" s="74">
        <f>A47</f>
        <v>0</v>
      </c>
      <c r="V47" s="73">
        <f>IF(AND(C47&gt;0,(C47-B47)&lt;$U$50),IF(AND(E47&gt;0,(E47-D47)&lt;$U$50),IF(AND(G47&gt;0,(G47-F47)&lt;$U$50),IF(AND(I47&gt;0,(I47-H47)&lt;$U$50),IF(AND(K47&gt;0,(K47-J47)&lt;$U$50),IF(AND(M47&gt;0,(M47-L47)&lt;$U$50),IF(AND(O47&gt;0,(O47-N47)&lt;$U$50),P47,N47),L47),J47),H47),F47),D47),B47)</f>
        <v>0</v>
      </c>
      <c r="W47" s="72">
        <f>IF(AND(V47&gt;0,V47=B47),C47,IF(V47=D47,E47,IF(V47=F47,G47,IF(V47=H47,I47,IF(V47=J47,K47,IF(V47=L47,M47,IF(V47=N47,O47,IF(V47=P47,Q47,S47))))))))</f>
        <v>0</v>
      </c>
      <c r="X47" s="73">
        <f>IF(W47=C47,IF(AND(E47&gt;0,(E47-D47)&lt;$U$50),F47,D47),IF(W47=E47,IF(AND(G47&gt;0,(G47-F47)&lt;$U$50),H47,F47),IF(W47=G47,IF(AND(I47&gt;0,(I47-H47)&lt;$U$50),J47,H47),IF(W47=I47,IF(AND(K47&gt;0,(K47-J47)&lt;$U$50),L47,J47),IF(W47=K47,IF(AND(M47&gt;0,(M47-L47)&lt;$U$50),N47,L47),IF(W47=M47,IF(AND(O47&gt;0,(O47-N47)&lt;$U$50),O47,N47),P47))))))</f>
        <v>0</v>
      </c>
      <c r="Y47" s="72">
        <f>IF(AND(X47&gt;0,X47=D47),E47,IF(X47=F47,G47,IF(X47=H47,I47,IF(X47=J47,K47,IF(X47=L47,M47,IF(X47=N47,O47,IF(X47=P47,Q47,S47)))))))</f>
        <v>0</v>
      </c>
      <c r="Z47" s="73">
        <f>IF(Y47=E47,IF(AND(G47&gt;0,(G47-F47)&lt;$U$50),H47,F47),IF(Y47=G47,IF(AND(I47&gt;0,(I47-H47)&lt;$U$50),J47,H47),IF(Y47=I47,IF(AND(K47&gt;0,(K47-J47)&lt;$U$50),L47,J47),IF(Y47=K47,IF(AND(M47&gt;0,(M47-L47)&lt;$U$50),N47,L47),IF(Y47=M47,IF(AND(O47&gt;0,(O47-N47)&lt;$U$50),P47,N47),IF(Y47=O47,IF(AND(Q47&gt;0,(Q47-P47)&lt;$U$50),Q47,P47),R47))))))</f>
        <v>0</v>
      </c>
      <c r="AA47" s="72">
        <f>IF(AND(Z47&gt;0,Z47=F47),G47,IF(Z47=H47,I47,IF(Z47=J47,K47,IF(Z47=L47,M47,IF(Z47=N47,O47,IF(Z47=P47,Q47,S47))))))</f>
        <v>0</v>
      </c>
      <c r="AB47" s="73">
        <f>IF(AA47=G47,IF(AND(I47&gt;0,(I47-H47)&lt;$U$50),J47,H47),IF(AA47=I47,IF(AND(K47&gt;0,(K47-J47)&lt;$U$50),L47,J47),IF(AA47=K47,IF(AND(M47&gt;0,(M47-L47)&lt;$U$50),N47,L47),IF(AA47=M47,IF(AND(O47&gt;0,(O47-N47)&lt;$U$50),P47,N47),IF(AA47=O47,IF(AND(Q47&gt;0,(Q47-P47)&lt;$U$50),R47,P47),IF(AA47=Q47,IF(AND(S47&gt;0,(S47-R47)&lt;$U$50),S47,R47),T47))))))</f>
        <v>0</v>
      </c>
      <c r="AC47" s="75">
        <f>IF(AND(AB47&gt;0,AB47=H47),I47,IF(AB47=J47,K47,IF(AB47=L47,M47,IF(AB47=N47,O47,IF(AB47=P47,Q47,S47)))))</f>
        <v>0</v>
      </c>
      <c r="AD47" s="73">
        <f>IF(AC47=I47,IF(AND(K47&gt;0,(K47-J47)&lt;$U$50),L47,J47),IF(AC47=K47,IF(AND(M47&gt;0,(M47-L47)&lt;$U$50),N47,L47),IF(AC47=M47,IF(AND(O47&gt;0,(O47-N47)&lt;$U$50),P47,N47),IF(AC47=O47,IF(AND(Q47&gt;0,(Q47-P47)&lt;$U$50),R47,P47),IF(AC47=Q47,IF(AND(S47&gt;0,(S47-R47)&lt;$U$50),T47,R47))))))</f>
        <v>0</v>
      </c>
      <c r="AE47" s="75">
        <f>IF(AND(AD47&gt;0,AD47=J47),K47,IF(AD47=L47,M47,IF(AD47=N47,O47,IF(AD47=P47,Q47,S47))))</f>
        <v>0</v>
      </c>
      <c r="AF47" s="73">
        <f>IF(AE47=K47,IF(AND(M47&gt;0,(M47-L47)&lt;$U$50),N47,L47),IF(AE47=M47,IF(AND(O47&gt;0,(O47-N47)&lt;$U$50),P47,N47),IF(AE47=O47,IF(AND(Q47&gt;0,(Q47-P47)&lt;$U$50),R47,P47),IF(AE47=Q47,IF(AND(S47&gt;0,(S47-R47)&lt;$U$50),T47,R47)))))</f>
        <v>0</v>
      </c>
      <c r="AG47" s="75">
        <f>IF(AND(AF47&gt;0,AF47=L47),M47,IF(AF47=N47,O47,IF(AF47=P47,Q47,S47)))</f>
        <v>0</v>
      </c>
      <c r="AH47" s="73">
        <f>IF(AG47=M47,IF(AND(O47&gt;0,(O47-N47)&lt;$U$50),P47,N47),IF(AG47=O47,IF(AND(Q47&gt;0,(Q47-P47)&lt;$U$50),R47,P47),IF(AG47=Q47,IF(AND(S47&gt;0,(S47-R47)&lt;$U$50),T47,R47))))</f>
        <v>0</v>
      </c>
      <c r="AI47" s="75">
        <f>IF(AND(AH47&gt;0,AH47=N47),O47,IF(AH47=P47,Q47,S47))</f>
        <v>0</v>
      </c>
      <c r="AJ47" s="73">
        <f>IF(AI47=O47,IF(AND(Q47&gt;0,(Q47-P47)&lt;$U$50),R47,P47),IF(AI47=Q47,IF(AND(S47&gt;0,(S47-R47)&lt;$U$50),T47,R47)))</f>
        <v>0</v>
      </c>
      <c r="AK47" s="75">
        <f>IF(AND(AJ47&gt;0,AJ47=P47),Q47,S47)</f>
        <v>0</v>
      </c>
      <c r="AL47" s="73">
        <f>IF(AK47=Q47,IF(AND(S47&gt;0,(S47-R47)&lt;$U$50),T47,R47))</f>
        <v>0</v>
      </c>
      <c r="AM47" s="72">
        <f>IF(AND(AL47&gt;0,AL47=R47),S47,0)</f>
        <v>0</v>
      </c>
      <c r="AN47" s="76">
        <f>IF(AM47=S47,T47,0)</f>
        <v>0</v>
      </c>
      <c r="AO47" s="77">
        <f t="shared" si="0"/>
        <v>0</v>
      </c>
      <c r="AP47" s="78">
        <f t="shared" si="1"/>
        <v>0</v>
      </c>
      <c r="AQ47" s="78">
        <f t="shared" si="2"/>
        <v>0</v>
      </c>
      <c r="AR47" s="79">
        <f t="shared" si="3"/>
        <v>0</v>
      </c>
      <c r="AS47" s="80">
        <f t="shared" si="4"/>
        <v>0</v>
      </c>
      <c r="AT47" s="81">
        <f t="shared" si="5"/>
        <v>0</v>
      </c>
      <c r="AU47" s="81">
        <f t="shared" si="6"/>
        <v>0</v>
      </c>
      <c r="AV47" s="81">
        <f t="shared" si="7"/>
        <v>0</v>
      </c>
      <c r="AW47" s="81">
        <f t="shared" si="8"/>
        <v>0</v>
      </c>
      <c r="AX47" s="81">
        <f t="shared" si="9"/>
        <v>0</v>
      </c>
      <c r="AY47" s="111">
        <f t="shared" si="10"/>
        <v>0</v>
      </c>
      <c r="AZ47" s="112">
        <f t="shared" si="11"/>
        <v>0</v>
      </c>
      <c r="BA47" s="113">
        <f t="shared" si="12"/>
        <v>0</v>
      </c>
      <c r="BB47" s="64">
        <f>V47 - U47</f>
        <v>0</v>
      </c>
      <c r="BC47" s="114">
        <f>X47 - W47</f>
        <v>0</v>
      </c>
      <c r="BD47" s="114">
        <f>Z47 - Y47</f>
        <v>0</v>
      </c>
      <c r="BE47" s="114">
        <f>AB47 - AA47</f>
        <v>0</v>
      </c>
      <c r="BF47" s="114">
        <f>AD47 - AC47</f>
        <v>0</v>
      </c>
      <c r="BG47" s="114">
        <f>AF47 - AE47</f>
        <v>0</v>
      </c>
      <c r="BH47" s="114">
        <f>AH47 - AG47</f>
        <v>0</v>
      </c>
      <c r="BI47" s="114">
        <f>AJ47 - AI47</f>
        <v>0</v>
      </c>
      <c r="BJ47" s="114">
        <f>AL47 - AK47</f>
        <v>0</v>
      </c>
      <c r="BK47" s="114">
        <f>AN47 - AM47</f>
        <v>0</v>
      </c>
      <c r="BL47" s="70">
        <f>ROUNDUP(SUM(BB47:BK47) * 288, 0) / 288</f>
        <v>0</v>
      </c>
      <c r="BM47" s="71"/>
    </row>
    <row r="48" spans="1:65" x14ac:dyDescent="0.25">
      <c r="A48" s="72"/>
      <c r="B48" s="73"/>
      <c r="C48" s="72"/>
      <c r="D48" s="73"/>
      <c r="E48" s="72"/>
      <c r="F48" s="73"/>
      <c r="G48" s="72"/>
      <c r="H48" s="73"/>
      <c r="I48" s="72"/>
      <c r="J48" s="73"/>
      <c r="K48" s="72"/>
      <c r="L48" s="73"/>
      <c r="M48" s="72"/>
      <c r="N48" s="73"/>
      <c r="O48" s="72"/>
      <c r="P48" s="73"/>
      <c r="Q48" s="72"/>
      <c r="R48" s="73"/>
      <c r="S48" s="72"/>
      <c r="T48" s="73"/>
      <c r="U48" s="74">
        <f>A48</f>
        <v>0</v>
      </c>
      <c r="V48" s="73">
        <f>IF(AND(C48&gt;0,(C48-B48)&lt;$U$50),IF(AND(E48&gt;0,(E48-D48)&lt;$U$50),IF(AND(G48&gt;0,(G48-F48)&lt;$U$50),IF(AND(I48&gt;0,(I48-H48)&lt;$U$50),IF(AND(K48&gt;0,(K48-J48)&lt;$U$50),IF(AND(M48&gt;0,(M48-L48)&lt;$U$50),IF(AND(O48&gt;0,(O48-N48)&lt;$U$50),P48,N48),L48),J48),H48),F48),D48),B48)</f>
        <v>0</v>
      </c>
      <c r="W48" s="72">
        <f>IF(AND(V48&gt;0,V48=B48),C48,IF(V48=D48,E48,IF(V48=F48,G48,IF(V48=H48,I48,IF(V48=J48,K48,IF(V48=L48,M48,IF(V48=N48,O48,IF(V48=P48,Q48,S48))))))))</f>
        <v>0</v>
      </c>
      <c r="X48" s="73">
        <f>IF(W48=C48,IF(AND(E48&gt;0,(E48-D48)&lt;$U$50),F48,D48),IF(W48=E48,IF(AND(G48&gt;0,(G48-F48)&lt;$U$50),H48,F48),IF(W48=G48,IF(AND(I48&gt;0,(I48-H48)&lt;$U$50),J48,H48),IF(W48=I48,IF(AND(K48&gt;0,(K48-J48)&lt;$U$50),L48,J48),IF(W48=K48,IF(AND(M48&gt;0,(M48-L48)&lt;$U$50),N48,L48),IF(W48=M48,IF(AND(O48&gt;0,(O48-N48)&lt;$U$50),O48,N48),P48))))))</f>
        <v>0</v>
      </c>
      <c r="Y48" s="72">
        <f>IF(AND(X48&gt;0,X48=D48),E48,IF(X48=F48,G48,IF(X48=H48,I48,IF(X48=J48,K48,IF(X48=L48,M48,IF(X48=N48,O48,IF(X48=P48,Q48,S48)))))))</f>
        <v>0</v>
      </c>
      <c r="Z48" s="73">
        <f>IF(Y48=E48,IF(AND(G48&gt;0,(G48-F48)&lt;$U$50),H48,F48),IF(Y48=G48,IF(AND(I48&gt;0,(I48-H48)&lt;$U$50),J48,H48),IF(Y48=I48,IF(AND(K48&gt;0,(K48-J48)&lt;$U$50),L48,J48),IF(Y48=K48,IF(AND(M48&gt;0,(M48-L48)&lt;$U$50),N48,L48),IF(Y48=M48,IF(AND(O48&gt;0,(O48-N48)&lt;$U$50),P48,N48),IF(Y48=O48,IF(AND(Q48&gt;0,(Q48-P48)&lt;$U$50),Q48,P48),R48))))))</f>
        <v>0</v>
      </c>
      <c r="AA48" s="72">
        <f>IF(AND(Z48&gt;0,Z48=F48),G48,IF(Z48=H48,I48,IF(Z48=J48,K48,IF(Z48=L48,M48,IF(Z48=N48,O48,IF(Z48=P48,Q48,S48))))))</f>
        <v>0</v>
      </c>
      <c r="AB48" s="73">
        <f>IF(AA48=G48,IF(AND(I48&gt;0,(I48-H48)&lt;$U$50),J48,H48),IF(AA48=I48,IF(AND(K48&gt;0,(K48-J48)&lt;$U$50),L48,J48),IF(AA48=K48,IF(AND(M48&gt;0,(M48-L48)&lt;$U$50),N48,L48),IF(AA48=M48,IF(AND(O48&gt;0,(O48-N48)&lt;$U$50),P48,N48),IF(AA48=O48,IF(AND(Q48&gt;0,(Q48-P48)&lt;$U$50),R48,P48),IF(AA48=Q48,IF(AND(S48&gt;0,(S48-R48)&lt;$U$50),S48,R48),T48))))))</f>
        <v>0</v>
      </c>
      <c r="AC48" s="75">
        <f>IF(AND(AB48&gt;0,AB48=H48),I48,IF(AB48=J48,K48,IF(AB48=L48,M48,IF(AB48=N48,O48,IF(AB48=P48,Q48,S48)))))</f>
        <v>0</v>
      </c>
      <c r="AD48" s="73">
        <f>IF(AC48=I48,IF(AND(K48&gt;0,(K48-J48)&lt;$U$50),L48,J48),IF(AC48=K48,IF(AND(M48&gt;0,(M48-L48)&lt;$U$50),N48,L48),IF(AC48=M48,IF(AND(O48&gt;0,(O48-N48)&lt;$U$50),P48,N48),IF(AC48=O48,IF(AND(Q48&gt;0,(Q48-P48)&lt;$U$50),R48,P48),IF(AC48=Q48,IF(AND(S48&gt;0,(S48-R48)&lt;$U$50),T48,R48))))))</f>
        <v>0</v>
      </c>
      <c r="AE48" s="75">
        <f>IF(AND(AD48&gt;0,AD48=J48),K48,IF(AD48=L48,M48,IF(AD48=N48,O48,IF(AD48=P48,Q48,S48))))</f>
        <v>0</v>
      </c>
      <c r="AF48" s="73">
        <f>IF(AE48=K48,IF(AND(M48&gt;0,(M48-L48)&lt;$U$50),N48,L48),IF(AE48=M48,IF(AND(O48&gt;0,(O48-N48)&lt;$U$50),P48,N48),IF(AE48=O48,IF(AND(Q48&gt;0,(Q48-P48)&lt;$U$50),R48,P48),IF(AE48=Q48,IF(AND(S48&gt;0,(S48-R48)&lt;$U$50),T48,R48)))))</f>
        <v>0</v>
      </c>
      <c r="AG48" s="75">
        <f>IF(AND(AF48&gt;0,AF48=L48),M48,IF(AF48=N48,O48,IF(AF48=P48,Q48,S48)))</f>
        <v>0</v>
      </c>
      <c r="AH48" s="73">
        <f>IF(AG48=M48,IF(AND(O48&gt;0,(O48-N48)&lt;$U$50),P48,N48),IF(AG48=O48,IF(AND(Q48&gt;0,(Q48-P48)&lt;$U$50),R48,P48),IF(AG48=Q48,IF(AND(S48&gt;0,(S48-R48)&lt;$U$50),T48,R48))))</f>
        <v>0</v>
      </c>
      <c r="AI48" s="75">
        <f>IF(AND(AH48&gt;0,AH48=N48),O48,IF(AH48=P48,Q48,S48))</f>
        <v>0</v>
      </c>
      <c r="AJ48" s="73">
        <f>IF(AI48=O48,IF(AND(Q48&gt;0,(Q48-P48)&lt;$U$50),R48,P48),IF(AI48=Q48,IF(AND(S48&gt;0,(S48-R48)&lt;$U$50),T48,R48)))</f>
        <v>0</v>
      </c>
      <c r="AK48" s="75">
        <f>IF(AND(AJ48&gt;0,AJ48=P48),Q48,S48)</f>
        <v>0</v>
      </c>
      <c r="AL48" s="73">
        <f>IF(AK48=Q48,IF(AND(S48&gt;0,(S48-R48)&lt;$U$50),T48,R48))</f>
        <v>0</v>
      </c>
      <c r="AM48" s="72">
        <f>IF(AND(AL48&gt;0,AL48=R48),S48,0)</f>
        <v>0</v>
      </c>
      <c r="AN48" s="76">
        <f>IF(AM48=S48,T48,0)</f>
        <v>0</v>
      </c>
      <c r="AO48" s="77">
        <f t="shared" si="0"/>
        <v>0</v>
      </c>
      <c r="AP48" s="78">
        <f t="shared" si="1"/>
        <v>0</v>
      </c>
      <c r="AQ48" s="78">
        <f t="shared" si="2"/>
        <v>0</v>
      </c>
      <c r="AR48" s="79">
        <f t="shared" si="3"/>
        <v>0</v>
      </c>
      <c r="AS48" s="80">
        <f t="shared" si="4"/>
        <v>0</v>
      </c>
      <c r="AT48" s="81">
        <f t="shared" si="5"/>
        <v>0</v>
      </c>
      <c r="AU48" s="81">
        <f t="shared" si="6"/>
        <v>0</v>
      </c>
      <c r="AV48" s="81">
        <f t="shared" si="7"/>
        <v>0</v>
      </c>
      <c r="AW48" s="81">
        <f t="shared" si="8"/>
        <v>0</v>
      </c>
      <c r="AX48" s="81">
        <f t="shared" si="9"/>
        <v>0</v>
      </c>
      <c r="AY48" s="77">
        <f t="shared" si="10"/>
        <v>0</v>
      </c>
      <c r="AZ48" s="82">
        <f t="shared" si="11"/>
        <v>0</v>
      </c>
      <c r="BA48" s="79">
        <f t="shared" si="12"/>
        <v>0</v>
      </c>
      <c r="BB48" s="80">
        <f>V48 - U48</f>
        <v>0</v>
      </c>
      <c r="BC48" s="83">
        <f>X48 - W48</f>
        <v>0</v>
      </c>
      <c r="BD48" s="83">
        <f>Z48 - Y48</f>
        <v>0</v>
      </c>
      <c r="BE48" s="83">
        <f>AB48 - AA48</f>
        <v>0</v>
      </c>
      <c r="BF48" s="83">
        <f>AD48 - AC48</f>
        <v>0</v>
      </c>
      <c r="BG48" s="83">
        <f>AF48 - AE48</f>
        <v>0</v>
      </c>
      <c r="BH48" s="83">
        <f>AH48 - AG48</f>
        <v>0</v>
      </c>
      <c r="BI48" s="83">
        <f>AJ48 - AI48</f>
        <v>0</v>
      </c>
      <c r="BJ48" s="83">
        <f>AL48 - AK48</f>
        <v>0</v>
      </c>
      <c r="BK48" s="83">
        <f>AN48 - AM48</f>
        <v>0</v>
      </c>
      <c r="BL48" s="84">
        <f>ROUNDUP(SUM(BB48:BK48) * 288, 0) / 288</f>
        <v>0</v>
      </c>
      <c r="BM48" s="71"/>
    </row>
    <row r="49" spans="1:65" ht="15.75" thickBot="1" x14ac:dyDescent="0.3">
      <c r="A49" s="97"/>
      <c r="B49" s="98"/>
      <c r="C49" s="97"/>
      <c r="D49" s="98"/>
      <c r="E49" s="97"/>
      <c r="F49" s="98"/>
      <c r="G49" s="97"/>
      <c r="H49" s="98"/>
      <c r="I49" s="97"/>
      <c r="J49" s="98"/>
      <c r="K49" s="97"/>
      <c r="L49" s="98"/>
      <c r="M49" s="97"/>
      <c r="N49" s="98"/>
      <c r="O49" s="97"/>
      <c r="P49" s="98"/>
      <c r="Q49" s="97"/>
      <c r="R49" s="98"/>
      <c r="S49" s="97"/>
      <c r="T49" s="98"/>
      <c r="U49" s="99">
        <f>A49</f>
        <v>0</v>
      </c>
      <c r="V49" s="98">
        <f>IF(AND(C49&gt;0,(C49-B49)&lt;$U$50),IF(AND(E49&gt;0,(E49-D49)&lt;$U$50),IF(AND(G49&gt;0,(G49-F49)&lt;$U$50),IF(AND(I49&gt;0,(I49-H49)&lt;$U$50),IF(AND(K49&gt;0,(K49-J49)&lt;$U$50),IF(AND(M49&gt;0,(M49-L49)&lt;$U$50),IF(AND(O49&gt;0,(O49-N49)&lt;$U$50),P49,N49),L49),J49),H49),F49),D49),B49)</f>
        <v>0</v>
      </c>
      <c r="W49" s="97">
        <f>IF(AND(V49&gt;0,V49=B49),C49,IF(V49=D49,E49,IF(V49=F49,G49,IF(V49=H49,I49,IF(V49=J49,K49,IF(V49=L49,M49,IF(V49=N49,O49,IF(V49=P49,Q49,S49))))))))</f>
        <v>0</v>
      </c>
      <c r="X49" s="98">
        <f>IF(W49=C49,IF(AND(E49&gt;0,(E49-D49)&lt;$U$50),F49,D49),IF(W49=E49,IF(AND(G49&gt;0,(G49-F49)&lt;$U$50),H49,F49),IF(W49=G49,IF(AND(I49&gt;0,(I49-H49)&lt;$U$50),J49,H49),IF(W49=I49,IF(AND(K49&gt;0,(K49-J49)&lt;$U$50),L49,J49),IF(W49=K49,IF(AND(M49&gt;0,(M49-L49)&lt;$U$50),N49,L49),IF(W49=M49,IF(AND(O49&gt;0,(O49-N49)&lt;$U$50),O49,N49),P49))))))</f>
        <v>0</v>
      </c>
      <c r="Y49" s="97">
        <f>IF(AND(X49&gt;0,X49=D49),E49,IF(X49=F49,G49,IF(X49=H49,I49,IF(X49=J49,K49,IF(X49=L49,M49,IF(X49=N49,O49,IF(X49=P49,Q49,S49)))))))</f>
        <v>0</v>
      </c>
      <c r="Z49" s="98">
        <f>IF(Y49=E49,IF(AND(G49&gt;0,(G49-F49)&lt;$U$50),H49,F49),IF(Y49=G49,IF(AND(I49&gt;0,(I49-H49)&lt;$U$50),J49,H49),IF(Y49=I49,IF(AND(K49&gt;0,(K49-J49)&lt;$U$50),L49,J49),IF(Y49=K49,IF(AND(M49&gt;0,(M49-L49)&lt;$U$50),N49,L49),IF(Y49=M49,IF(AND(O49&gt;0,(O49-N49)&lt;$U$50),P49,N49),IF(Y49=O49,IF(AND(Q49&gt;0,(Q49-P49)&lt;$U$50),Q49,P49),R49))))))</f>
        <v>0</v>
      </c>
      <c r="AA49" s="97">
        <f>IF(AND(Z49&gt;0,Z49=F49),G49,IF(Z49=H49,I49,IF(Z49=J49,K49,IF(Z49=L49,M49,IF(Z49=N49,O49,IF(Z49=P49,Q49,S49))))))</f>
        <v>0</v>
      </c>
      <c r="AB49" s="98">
        <f>IF(AA49=G49,IF(AND(I49&gt;0,(I49-H49)&lt;$U$50),J49,H49),IF(AA49=I49,IF(AND(K49&gt;0,(K49-J49)&lt;$U$50),L49,J49),IF(AA49=K49,IF(AND(M49&gt;0,(M49-L49)&lt;$U$50),N49,L49),IF(AA49=M49,IF(AND(O49&gt;0,(O49-N49)&lt;$U$50),P49,N49),IF(AA49=O49,IF(AND(Q49&gt;0,(Q49-P49)&lt;$U$50),R49,P49),IF(AA49=Q49,IF(AND(S49&gt;0,(S49-R49)&lt;$U$50),S49,R49),T49))))))</f>
        <v>0</v>
      </c>
      <c r="AC49" s="100">
        <f>IF(AND(AB49&gt;0,AB49=H49),I49,IF(AB49=J49,K49,IF(AB49=L49,M49,IF(AB49=N49,O49,IF(AB49=P49,Q49,S49)))))</f>
        <v>0</v>
      </c>
      <c r="AD49" s="98">
        <f>IF(AC49=I49,IF(AND(K49&gt;0,(K49-J49)&lt;$U$50),L49,J49),IF(AC49=K49,IF(AND(M49&gt;0,(M49-L49)&lt;$U$50),N49,L49),IF(AC49=M49,IF(AND(O49&gt;0,(O49-N49)&lt;$U$50),P49,N49),IF(AC49=O49,IF(AND(Q49&gt;0,(Q49-P49)&lt;$U$50),R49,P49),IF(AC49=Q49,IF(AND(S49&gt;0,(S49-R49)&lt;$U$50),T49,R49))))))</f>
        <v>0</v>
      </c>
      <c r="AE49" s="100">
        <f>IF(AND(AD49&gt;0,AD49=J49),K49,IF(AD49=L49,M49,IF(AD49=N49,O49,IF(AD49=P49,Q49,S49))))</f>
        <v>0</v>
      </c>
      <c r="AF49" s="98">
        <f>IF(AE49=K49,IF(AND(M49&gt;0,(M49-L49)&lt;$U$50),N49,L49),IF(AE49=M49,IF(AND(O49&gt;0,(O49-N49)&lt;$U$50),P49,N49),IF(AE49=O49,IF(AND(Q49&gt;0,(Q49-P49)&lt;$U$50),R49,P49),IF(AE49=Q49,IF(AND(S49&gt;0,(S49-R49)&lt;$U$50),T49,R49)))))</f>
        <v>0</v>
      </c>
      <c r="AG49" s="100">
        <f>IF(AND(AF49&gt;0,AF49=L49),M49,IF(AF49=N49,O49,IF(AF49=P49,Q49,S49)))</f>
        <v>0</v>
      </c>
      <c r="AH49" s="98">
        <f>IF(AG49=M49,IF(AND(O49&gt;0,(O49-N49)&lt;$U$50),P49,N49),IF(AG49=O49,IF(AND(Q49&gt;0,(Q49-P49)&lt;$U$50),R49,P49),IF(AG49=Q49,IF(AND(S49&gt;0,(S49-R49)&lt;$U$50),T49,R49))))</f>
        <v>0</v>
      </c>
      <c r="AI49" s="100">
        <f>IF(AND(AH49&gt;0,AH49=N49),O49,IF(AH49=P49,Q49,S49))</f>
        <v>0</v>
      </c>
      <c r="AJ49" s="98">
        <f>IF(AI49=O49,IF(AND(Q49&gt;0,(Q49-P49)&lt;$U$50),R49,P49),IF(AI49=Q49,IF(AND(S49&gt;0,(S49-R49)&lt;$U$50),T49,R49)))</f>
        <v>0</v>
      </c>
      <c r="AK49" s="100">
        <f>IF(AND(AJ49&gt;0,AJ49=P49),Q49,S49)</f>
        <v>0</v>
      </c>
      <c r="AL49" s="98">
        <f>IF(AK49=Q49,IF(AND(S49&gt;0,(S49-R49)&lt;$U$50),T49,R49))</f>
        <v>0</v>
      </c>
      <c r="AM49" s="97">
        <f>IF(AND(AL49&gt;0,AL49=R49),S49,0)</f>
        <v>0</v>
      </c>
      <c r="AN49" s="101">
        <f>IF(AM49=S49,T49,0)</f>
        <v>0</v>
      </c>
      <c r="AO49" s="102">
        <f t="shared" si="0"/>
        <v>0</v>
      </c>
      <c r="AP49" s="103">
        <f t="shared" si="1"/>
        <v>0</v>
      </c>
      <c r="AQ49" s="103">
        <f t="shared" si="2"/>
        <v>0</v>
      </c>
      <c r="AR49" s="104">
        <f t="shared" si="3"/>
        <v>0</v>
      </c>
      <c r="AS49" s="105">
        <f t="shared" si="4"/>
        <v>0</v>
      </c>
      <c r="AT49" s="106">
        <f t="shared" si="5"/>
        <v>0</v>
      </c>
      <c r="AU49" s="106">
        <f t="shared" si="6"/>
        <v>0</v>
      </c>
      <c r="AV49" s="106">
        <f t="shared" si="7"/>
        <v>0</v>
      </c>
      <c r="AW49" s="106">
        <f t="shared" si="8"/>
        <v>0</v>
      </c>
      <c r="AX49" s="106">
        <f t="shared" si="9"/>
        <v>0</v>
      </c>
      <c r="AY49" s="90">
        <f t="shared" si="10"/>
        <v>0</v>
      </c>
      <c r="AZ49" s="95">
        <f t="shared" si="11"/>
        <v>0</v>
      </c>
      <c r="BA49" s="92">
        <f t="shared" si="12"/>
        <v>0</v>
      </c>
      <c r="BB49" s="80">
        <f>V49 - U49</f>
        <v>0</v>
      </c>
      <c r="BC49" s="83">
        <f>X49 - W49</f>
        <v>0</v>
      </c>
      <c r="BD49" s="83">
        <f>Z49 - Y49</f>
        <v>0</v>
      </c>
      <c r="BE49" s="83">
        <f>AB49 - AA49</f>
        <v>0</v>
      </c>
      <c r="BF49" s="83">
        <f>AD49 - AC49</f>
        <v>0</v>
      </c>
      <c r="BG49" s="83">
        <f>AF49 - AE49</f>
        <v>0</v>
      </c>
      <c r="BH49" s="83">
        <f>AH49 - AG49</f>
        <v>0</v>
      </c>
      <c r="BI49" s="83">
        <f>AJ49 - AI49</f>
        <v>0</v>
      </c>
      <c r="BJ49" s="83">
        <f>AL49 - AK49</f>
        <v>0</v>
      </c>
      <c r="BK49" s="83">
        <f>AN49 - AM49</f>
        <v>0</v>
      </c>
      <c r="BL49" s="84">
        <f>ROUNDUP(SUM(BB49:BK49) * 288, 0) / 288</f>
        <v>0</v>
      </c>
      <c r="BM49" s="71"/>
    </row>
    <row r="50" spans="1:65" ht="16.5" thickTop="1" thickBot="1" x14ac:dyDescent="0.3">
      <c r="U50" s="41">
        <v>1.3888888888888888E-2</v>
      </c>
      <c r="AM50" s="115"/>
      <c r="AT50" s="116" t="s">
        <v>70</v>
      </c>
      <c r="AU50" s="116" t="s">
        <v>71</v>
      </c>
      <c r="AV50" s="116" t="s">
        <v>72</v>
      </c>
      <c r="AW50" s="116" t="s">
        <v>73</v>
      </c>
      <c r="AX50" s="116"/>
      <c r="AY50" s="117">
        <f>SUM(AY5:AY49)</f>
        <v>0</v>
      </c>
      <c r="AZ50" s="118">
        <f>SUM(AZ5:AZ49)</f>
        <v>0</v>
      </c>
      <c r="BA50" s="119">
        <f>SUM(BA5:BA49)</f>
        <v>0</v>
      </c>
      <c r="BB50" s="120" t="str">
        <f t="shared" ref="BB50:BL50" si="26">TRUNC(SUM(BB5:BB49)*24,0) &amp; ":" &amp; RIGHT("00"&amp;ROUND(((SUM(BB5:BB49)*24)-TRUNC(SUM(BB5:BB49)*24,0))*60,2),2)</f>
        <v>51:45</v>
      </c>
      <c r="BC50" s="121" t="str">
        <f t="shared" si="26"/>
        <v>24:55</v>
      </c>
      <c r="BD50" s="121" t="str">
        <f t="shared" si="26"/>
        <v>0:51</v>
      </c>
      <c r="BE50" s="121" t="str">
        <f t="shared" si="26"/>
        <v>0:00</v>
      </c>
      <c r="BF50" s="121" t="str">
        <f t="shared" si="26"/>
        <v>0:00</v>
      </c>
      <c r="BG50" s="121" t="str">
        <f t="shared" si="26"/>
        <v>0:00</v>
      </c>
      <c r="BH50" s="121" t="str">
        <f t="shared" si="26"/>
        <v>0:00</v>
      </c>
      <c r="BI50" s="121" t="str">
        <f t="shared" si="26"/>
        <v>0:00</v>
      </c>
      <c r="BJ50" s="121" t="str">
        <f t="shared" si="26"/>
        <v>0:00</v>
      </c>
      <c r="BK50" s="122" t="str">
        <f t="shared" si="26"/>
        <v>0:00</v>
      </c>
      <c r="BL50" s="123" t="str">
        <f t="shared" si="26"/>
        <v>78:05</v>
      </c>
      <c r="BM50" s="124"/>
    </row>
    <row r="52" spans="1:65" x14ac:dyDescent="0.25">
      <c r="C52" s="477"/>
      <c r="D52" s="477"/>
    </row>
  </sheetData>
  <mergeCells count="30">
    <mergeCell ref="AY3:BA3"/>
    <mergeCell ref="W3:X3"/>
    <mergeCell ref="Y3:Z3"/>
    <mergeCell ref="AA3:AB3"/>
    <mergeCell ref="AC3:AD3"/>
    <mergeCell ref="AE3:AF3"/>
    <mergeCell ref="AG3:AH3"/>
    <mergeCell ref="C52:D52"/>
    <mergeCell ref="AI3:AJ3"/>
    <mergeCell ref="AK3:AL3"/>
    <mergeCell ref="AM3:AN3"/>
    <mergeCell ref="AO3:AR3"/>
    <mergeCell ref="K3:L3"/>
    <mergeCell ref="M3:N3"/>
    <mergeCell ref="AO2:BA2"/>
    <mergeCell ref="BB2:BL2"/>
    <mergeCell ref="A3:B3"/>
    <mergeCell ref="C3:D3"/>
    <mergeCell ref="E3:F3"/>
    <mergeCell ref="G3:H3"/>
    <mergeCell ref="I3:J3"/>
    <mergeCell ref="O3:P3"/>
    <mergeCell ref="Q3:R3"/>
    <mergeCell ref="S3:T3"/>
    <mergeCell ref="U3:V3"/>
    <mergeCell ref="A2:G2"/>
    <mergeCell ref="H2:T2"/>
    <mergeCell ref="U2:AN2"/>
    <mergeCell ref="BB3:BL3"/>
    <mergeCell ref="AS3:AX3"/>
  </mergeCells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H118"/>
  <sheetViews>
    <sheetView workbookViewId="0">
      <selection activeCell="A11" sqref="A11"/>
    </sheetView>
  </sheetViews>
  <sheetFormatPr baseColWidth="10" defaultRowHeight="15" x14ac:dyDescent="0.25"/>
  <cols>
    <col min="1" max="1" width="43.85546875" customWidth="1"/>
    <col min="2" max="2" width="38" customWidth="1"/>
    <col min="3" max="3" width="12.42578125" customWidth="1"/>
    <col min="7" max="7" width="27.140625" customWidth="1"/>
    <col min="8" max="8" width="37.42578125" customWidth="1"/>
  </cols>
  <sheetData>
    <row r="1" spans="1:8" x14ac:dyDescent="0.25">
      <c r="A1" t="s">
        <v>108</v>
      </c>
      <c r="B1" t="s">
        <v>12</v>
      </c>
      <c r="C1" t="s">
        <v>122</v>
      </c>
      <c r="G1" s="158" t="s">
        <v>108</v>
      </c>
      <c r="H1" s="158" t="s">
        <v>12</v>
      </c>
    </row>
    <row r="2" spans="1:8" s="157" customFormat="1" x14ac:dyDescent="0.25">
      <c r="A2" s="157" t="s">
        <v>110</v>
      </c>
      <c r="B2" s="157" t="s">
        <v>109</v>
      </c>
      <c r="C2" s="157">
        <v>0.3</v>
      </c>
      <c r="G2" s="157" t="s">
        <v>149</v>
      </c>
      <c r="H2" s="157" t="s">
        <v>150</v>
      </c>
    </row>
    <row r="3" spans="1:8" s="157" customFormat="1" x14ac:dyDescent="0.25">
      <c r="A3" s="157" t="s">
        <v>111</v>
      </c>
      <c r="B3" s="157" t="s">
        <v>130</v>
      </c>
      <c r="C3" s="157">
        <v>0.2</v>
      </c>
      <c r="G3" s="157" t="s">
        <v>151</v>
      </c>
      <c r="H3" s="157" t="s">
        <v>119</v>
      </c>
    </row>
    <row r="4" spans="1:8" s="157" customFormat="1" x14ac:dyDescent="0.25">
      <c r="A4" s="157" t="s">
        <v>112</v>
      </c>
      <c r="B4" s="157" t="s">
        <v>113</v>
      </c>
      <c r="C4" s="157">
        <v>0.5</v>
      </c>
      <c r="G4" s="157" t="s">
        <v>153</v>
      </c>
      <c r="H4" s="157" t="s">
        <v>154</v>
      </c>
    </row>
    <row r="5" spans="1:8" s="157" customFormat="1" x14ac:dyDescent="0.25">
      <c r="A5" s="157" t="s">
        <v>114</v>
      </c>
      <c r="B5" s="157" t="s">
        <v>123</v>
      </c>
      <c r="C5" s="157">
        <v>0.6</v>
      </c>
      <c r="G5" s="157" t="s">
        <v>153</v>
      </c>
      <c r="H5" s="157" t="s">
        <v>160</v>
      </c>
    </row>
    <row r="6" spans="1:8" s="157" customFormat="1" x14ac:dyDescent="0.25">
      <c r="A6" s="157" t="s">
        <v>115</v>
      </c>
      <c r="B6" s="157" t="s">
        <v>124</v>
      </c>
      <c r="C6" s="157">
        <v>0.35</v>
      </c>
      <c r="G6" s="157" t="s">
        <v>161</v>
      </c>
      <c r="H6" s="157" t="s">
        <v>162</v>
      </c>
    </row>
    <row r="7" spans="1:8" s="157" customFormat="1" x14ac:dyDescent="0.25">
      <c r="A7" s="157" t="s">
        <v>116</v>
      </c>
      <c r="B7" s="157" t="s">
        <v>117</v>
      </c>
      <c r="C7" s="157">
        <v>0.25</v>
      </c>
      <c r="G7" s="157" t="s">
        <v>163</v>
      </c>
      <c r="H7" s="157" t="s">
        <v>164</v>
      </c>
    </row>
    <row r="8" spans="1:8" s="157" customFormat="1" x14ac:dyDescent="0.25">
      <c r="A8" s="157" t="s">
        <v>118</v>
      </c>
      <c r="B8" s="157" t="s">
        <v>119</v>
      </c>
      <c r="C8" s="157">
        <v>0.5</v>
      </c>
      <c r="G8" s="157" t="s">
        <v>165</v>
      </c>
      <c r="H8" s="157" t="s">
        <v>166</v>
      </c>
    </row>
    <row r="9" spans="1:8" s="157" customFormat="1" x14ac:dyDescent="0.25">
      <c r="A9" s="157" t="s">
        <v>125</v>
      </c>
      <c r="B9" s="157" t="s">
        <v>126</v>
      </c>
      <c r="C9" s="157">
        <v>6.5</v>
      </c>
      <c r="G9" s="157" t="s">
        <v>153</v>
      </c>
      <c r="H9" s="157" t="s">
        <v>167</v>
      </c>
    </row>
    <row r="10" spans="1:8" s="157" customFormat="1" x14ac:dyDescent="0.25">
      <c r="A10" s="157" t="s">
        <v>153</v>
      </c>
      <c r="B10" s="157" t="s">
        <v>127</v>
      </c>
      <c r="C10" s="157">
        <v>1.5</v>
      </c>
      <c r="G10" s="157" t="s">
        <v>168</v>
      </c>
      <c r="H10" s="157" t="s">
        <v>169</v>
      </c>
    </row>
    <row r="11" spans="1:8" s="157" customFormat="1" x14ac:dyDescent="0.25">
      <c r="A11" s="157" t="s">
        <v>129</v>
      </c>
      <c r="B11" s="157" t="s">
        <v>128</v>
      </c>
      <c r="C11" s="157">
        <v>2.5</v>
      </c>
      <c r="G11" s="157" t="s">
        <v>170</v>
      </c>
      <c r="H11" s="157" t="s">
        <v>171</v>
      </c>
    </row>
    <row r="12" spans="1:8" s="157" customFormat="1" x14ac:dyDescent="0.25">
      <c r="A12" s="157" t="s">
        <v>131</v>
      </c>
      <c r="B12" s="157" t="s">
        <v>132</v>
      </c>
      <c r="C12" s="157">
        <v>32.5</v>
      </c>
      <c r="G12" s="157" t="s">
        <v>161</v>
      </c>
      <c r="H12" s="157" t="s">
        <v>172</v>
      </c>
    </row>
    <row r="13" spans="1:8" s="157" customFormat="1" x14ac:dyDescent="0.25">
      <c r="A13" s="157" t="s">
        <v>133</v>
      </c>
      <c r="B13" s="157" t="s">
        <v>134</v>
      </c>
      <c r="C13" s="157">
        <v>0.25</v>
      </c>
      <c r="G13" s="157" t="s">
        <v>125</v>
      </c>
      <c r="H13" s="157" t="s">
        <v>173</v>
      </c>
    </row>
    <row r="14" spans="1:8" s="157" customFormat="1" x14ac:dyDescent="0.25">
      <c r="A14" s="157" t="s">
        <v>135</v>
      </c>
      <c r="B14" s="157" t="s">
        <v>136</v>
      </c>
      <c r="C14" s="157">
        <v>1.1000000000000001</v>
      </c>
      <c r="G14" s="157" t="s">
        <v>161</v>
      </c>
      <c r="H14" s="157" t="s">
        <v>174</v>
      </c>
    </row>
    <row r="15" spans="1:8" x14ac:dyDescent="0.25">
      <c r="G15" t="s">
        <v>175</v>
      </c>
      <c r="H15" t="s">
        <v>176</v>
      </c>
    </row>
    <row r="16" spans="1:8" x14ac:dyDescent="0.25">
      <c r="G16" t="s">
        <v>177</v>
      </c>
      <c r="H16" t="s">
        <v>178</v>
      </c>
    </row>
    <row r="17" spans="7:8" x14ac:dyDescent="0.25">
      <c r="G17" t="s">
        <v>179</v>
      </c>
      <c r="H17" t="s">
        <v>180</v>
      </c>
    </row>
    <row r="18" spans="7:8" x14ac:dyDescent="0.25">
      <c r="G18" t="s">
        <v>181</v>
      </c>
      <c r="H18" t="s">
        <v>182</v>
      </c>
    </row>
    <row r="19" spans="7:8" x14ac:dyDescent="0.25">
      <c r="G19" t="s">
        <v>179</v>
      </c>
      <c r="H19" t="s">
        <v>183</v>
      </c>
    </row>
    <row r="20" spans="7:8" x14ac:dyDescent="0.25">
      <c r="G20" t="s">
        <v>161</v>
      </c>
      <c r="H20" t="s">
        <v>184</v>
      </c>
    </row>
    <row r="21" spans="7:8" x14ac:dyDescent="0.25">
      <c r="G21" t="s">
        <v>185</v>
      </c>
      <c r="H21" t="s">
        <v>186</v>
      </c>
    </row>
    <row r="22" spans="7:8" x14ac:dyDescent="0.25">
      <c r="G22" t="s">
        <v>187</v>
      </c>
      <c r="H22" t="s">
        <v>188</v>
      </c>
    </row>
    <row r="23" spans="7:8" x14ac:dyDescent="0.25">
      <c r="G23" t="s">
        <v>189</v>
      </c>
      <c r="H23" t="s">
        <v>190</v>
      </c>
    </row>
    <row r="24" spans="7:8" x14ac:dyDescent="0.25">
      <c r="G24" t="s">
        <v>191</v>
      </c>
      <c r="H24" t="s">
        <v>192</v>
      </c>
    </row>
    <row r="25" spans="7:8" x14ac:dyDescent="0.25">
      <c r="G25" t="s">
        <v>193</v>
      </c>
      <c r="H25" t="s">
        <v>194</v>
      </c>
    </row>
    <row r="26" spans="7:8" x14ac:dyDescent="0.25">
      <c r="G26" t="s">
        <v>193</v>
      </c>
      <c r="H26" t="s">
        <v>195</v>
      </c>
    </row>
    <row r="27" spans="7:8" x14ac:dyDescent="0.25">
      <c r="G27" t="s">
        <v>196</v>
      </c>
      <c r="H27" t="s">
        <v>197</v>
      </c>
    </row>
    <row r="28" spans="7:8" x14ac:dyDescent="0.25">
      <c r="G28" t="s">
        <v>198</v>
      </c>
      <c r="H28" t="s">
        <v>199</v>
      </c>
    </row>
    <row r="29" spans="7:8" x14ac:dyDescent="0.25">
      <c r="G29" t="s">
        <v>161</v>
      </c>
      <c r="H29" t="s">
        <v>200</v>
      </c>
    </row>
    <row r="30" spans="7:8" x14ac:dyDescent="0.25">
      <c r="G30" t="s">
        <v>125</v>
      </c>
      <c r="H30" t="s">
        <v>201</v>
      </c>
    </row>
    <row r="31" spans="7:8" x14ac:dyDescent="0.25">
      <c r="G31" t="s">
        <v>151</v>
      </c>
      <c r="H31" t="s">
        <v>202</v>
      </c>
    </row>
    <row r="32" spans="7:8" x14ac:dyDescent="0.25">
      <c r="G32" t="s">
        <v>175</v>
      </c>
      <c r="H32" t="s">
        <v>203</v>
      </c>
    </row>
    <row r="33" spans="7:8" x14ac:dyDescent="0.25">
      <c r="G33" t="s">
        <v>181</v>
      </c>
      <c r="H33" t="s">
        <v>204</v>
      </c>
    </row>
    <row r="34" spans="7:8" x14ac:dyDescent="0.25">
      <c r="G34" t="s">
        <v>193</v>
      </c>
      <c r="H34" t="s">
        <v>205</v>
      </c>
    </row>
    <row r="35" spans="7:8" x14ac:dyDescent="0.25">
      <c r="G35" t="s">
        <v>196</v>
      </c>
      <c r="H35" t="s">
        <v>206</v>
      </c>
    </row>
    <row r="36" spans="7:8" x14ac:dyDescent="0.25">
      <c r="G36" t="s">
        <v>207</v>
      </c>
      <c r="H36" t="s">
        <v>208</v>
      </c>
    </row>
    <row r="37" spans="7:8" x14ac:dyDescent="0.25">
      <c r="G37" t="s">
        <v>191</v>
      </c>
      <c r="H37" t="s">
        <v>209</v>
      </c>
    </row>
    <row r="38" spans="7:8" x14ac:dyDescent="0.25">
      <c r="G38" t="s">
        <v>179</v>
      </c>
      <c r="H38" t="s">
        <v>210</v>
      </c>
    </row>
    <row r="39" spans="7:8" x14ac:dyDescent="0.25">
      <c r="G39" t="s">
        <v>211</v>
      </c>
      <c r="H39" t="s">
        <v>212</v>
      </c>
    </row>
    <row r="40" spans="7:8" x14ac:dyDescent="0.25">
      <c r="G40" t="s">
        <v>196</v>
      </c>
      <c r="H40" t="s">
        <v>213</v>
      </c>
    </row>
    <row r="41" spans="7:8" x14ac:dyDescent="0.25">
      <c r="G41" t="s">
        <v>214</v>
      </c>
      <c r="H41" t="s">
        <v>215</v>
      </c>
    </row>
    <row r="42" spans="7:8" x14ac:dyDescent="0.25">
      <c r="G42" t="s">
        <v>163</v>
      </c>
      <c r="H42" t="s">
        <v>216</v>
      </c>
    </row>
    <row r="43" spans="7:8" x14ac:dyDescent="0.25">
      <c r="G43" t="s">
        <v>217</v>
      </c>
      <c r="H43" t="s">
        <v>218</v>
      </c>
    </row>
    <row r="44" spans="7:8" x14ac:dyDescent="0.25">
      <c r="G44" t="s">
        <v>153</v>
      </c>
      <c r="H44" t="s">
        <v>219</v>
      </c>
    </row>
    <row r="45" spans="7:8" x14ac:dyDescent="0.25">
      <c r="G45" t="s">
        <v>220</v>
      </c>
      <c r="H45" t="s">
        <v>221</v>
      </c>
    </row>
    <row r="46" spans="7:8" x14ac:dyDescent="0.25">
      <c r="G46" t="s">
        <v>222</v>
      </c>
      <c r="H46" t="s">
        <v>223</v>
      </c>
    </row>
    <row r="47" spans="7:8" x14ac:dyDescent="0.25">
      <c r="G47" t="s">
        <v>224</v>
      </c>
      <c r="H47" t="s">
        <v>225</v>
      </c>
    </row>
    <row r="48" spans="7:8" x14ac:dyDescent="0.25">
      <c r="G48" t="s">
        <v>193</v>
      </c>
      <c r="H48" t="s">
        <v>226</v>
      </c>
    </row>
    <row r="49" spans="7:8" x14ac:dyDescent="0.25">
      <c r="G49" t="s">
        <v>191</v>
      </c>
      <c r="H49" t="s">
        <v>227</v>
      </c>
    </row>
    <row r="50" spans="7:8" x14ac:dyDescent="0.25">
      <c r="G50" t="s">
        <v>228</v>
      </c>
      <c r="H50" t="s">
        <v>229</v>
      </c>
    </row>
    <row r="51" spans="7:8" x14ac:dyDescent="0.25">
      <c r="G51" t="s">
        <v>179</v>
      </c>
      <c r="H51" t="s">
        <v>230</v>
      </c>
    </row>
    <row r="52" spans="7:8" x14ac:dyDescent="0.25">
      <c r="G52" t="s">
        <v>179</v>
      </c>
      <c r="H52" t="s">
        <v>231</v>
      </c>
    </row>
    <row r="53" spans="7:8" x14ac:dyDescent="0.25">
      <c r="G53" t="s">
        <v>196</v>
      </c>
      <c r="H53" t="s">
        <v>232</v>
      </c>
    </row>
    <row r="54" spans="7:8" x14ac:dyDescent="0.25">
      <c r="G54" t="s">
        <v>181</v>
      </c>
      <c r="H54" t="s">
        <v>233</v>
      </c>
    </row>
    <row r="55" spans="7:8" x14ac:dyDescent="0.25">
      <c r="G55" t="s">
        <v>125</v>
      </c>
      <c r="H55" t="s">
        <v>234</v>
      </c>
    </row>
    <row r="56" spans="7:8" x14ac:dyDescent="0.25">
      <c r="G56" t="s">
        <v>235</v>
      </c>
      <c r="H56" t="s">
        <v>236</v>
      </c>
    </row>
    <row r="57" spans="7:8" x14ac:dyDescent="0.25">
      <c r="G57" t="s">
        <v>161</v>
      </c>
      <c r="H57" t="s">
        <v>237</v>
      </c>
    </row>
    <row r="58" spans="7:8" x14ac:dyDescent="0.25">
      <c r="G58" t="s">
        <v>238</v>
      </c>
      <c r="H58" t="s">
        <v>239</v>
      </c>
    </row>
    <row r="59" spans="7:8" x14ac:dyDescent="0.25">
      <c r="G59" t="s">
        <v>224</v>
      </c>
      <c r="H59" t="s">
        <v>240</v>
      </c>
    </row>
    <row r="60" spans="7:8" x14ac:dyDescent="0.25">
      <c r="G60" t="s">
        <v>224</v>
      </c>
      <c r="H60" t="s">
        <v>241</v>
      </c>
    </row>
    <row r="61" spans="7:8" x14ac:dyDescent="0.25">
      <c r="G61" t="s">
        <v>165</v>
      </c>
      <c r="H61" t="s">
        <v>242</v>
      </c>
    </row>
    <row r="62" spans="7:8" x14ac:dyDescent="0.25">
      <c r="G62" t="s">
        <v>189</v>
      </c>
      <c r="H62" t="s">
        <v>243</v>
      </c>
    </row>
    <row r="63" spans="7:8" x14ac:dyDescent="0.25">
      <c r="G63" t="s">
        <v>224</v>
      </c>
      <c r="H63" t="s">
        <v>244</v>
      </c>
    </row>
    <row r="64" spans="7:8" x14ac:dyDescent="0.25">
      <c r="G64" t="s">
        <v>224</v>
      </c>
      <c r="H64" t="s">
        <v>245</v>
      </c>
    </row>
    <row r="65" spans="7:8" x14ac:dyDescent="0.25">
      <c r="G65" t="s">
        <v>125</v>
      </c>
      <c r="H65" t="s">
        <v>246</v>
      </c>
    </row>
    <row r="66" spans="7:8" x14ac:dyDescent="0.25">
      <c r="G66" t="s">
        <v>161</v>
      </c>
      <c r="H66" t="s">
        <v>248</v>
      </c>
    </row>
    <row r="67" spans="7:8" x14ac:dyDescent="0.25">
      <c r="G67" t="s">
        <v>249</v>
      </c>
      <c r="H67" t="s">
        <v>250</v>
      </c>
    </row>
    <row r="68" spans="7:8" x14ac:dyDescent="0.25">
      <c r="G68" t="s">
        <v>251</v>
      </c>
      <c r="H68" t="s">
        <v>252</v>
      </c>
    </row>
    <row r="69" spans="7:8" x14ac:dyDescent="0.25">
      <c r="G69" t="s">
        <v>263</v>
      </c>
      <c r="H69" t="s">
        <v>264</v>
      </c>
    </row>
    <row r="70" spans="7:8" x14ac:dyDescent="0.25">
      <c r="G70" t="s">
        <v>265</v>
      </c>
      <c r="H70" t="s">
        <v>266</v>
      </c>
    </row>
    <row r="71" spans="7:8" x14ac:dyDescent="0.25">
      <c r="G71" t="s">
        <v>125</v>
      </c>
      <c r="H71" t="s">
        <v>268</v>
      </c>
    </row>
    <row r="72" spans="7:8" x14ac:dyDescent="0.25">
      <c r="G72" t="s">
        <v>269</v>
      </c>
      <c r="H72" t="s">
        <v>270</v>
      </c>
    </row>
    <row r="73" spans="7:8" x14ac:dyDescent="0.25">
      <c r="G73" t="s">
        <v>224</v>
      </c>
      <c r="H73" t="s">
        <v>273</v>
      </c>
    </row>
    <row r="74" spans="7:8" x14ac:dyDescent="0.25">
      <c r="G74" t="s">
        <v>275</v>
      </c>
      <c r="H74" t="s">
        <v>276</v>
      </c>
    </row>
    <row r="75" spans="7:8" x14ac:dyDescent="0.25">
      <c r="G75" t="s">
        <v>153</v>
      </c>
      <c r="H75" t="s">
        <v>277</v>
      </c>
    </row>
    <row r="76" spans="7:8" x14ac:dyDescent="0.25">
      <c r="G76" t="s">
        <v>278</v>
      </c>
      <c r="H76" t="s">
        <v>279</v>
      </c>
    </row>
    <row r="77" spans="7:8" x14ac:dyDescent="0.25">
      <c r="G77" t="s">
        <v>179</v>
      </c>
      <c r="H77" t="s">
        <v>280</v>
      </c>
    </row>
    <row r="78" spans="7:8" x14ac:dyDescent="0.25">
      <c r="G78" t="s">
        <v>214</v>
      </c>
      <c r="H78" t="s">
        <v>281</v>
      </c>
    </row>
    <row r="79" spans="7:8" x14ac:dyDescent="0.25">
      <c r="G79" t="s">
        <v>282</v>
      </c>
      <c r="H79" t="s">
        <v>283</v>
      </c>
    </row>
    <row r="80" spans="7:8" x14ac:dyDescent="0.25">
      <c r="G80" t="s">
        <v>207</v>
      </c>
      <c r="H80" t="s">
        <v>284</v>
      </c>
    </row>
    <row r="81" spans="7:8" x14ac:dyDescent="0.25">
      <c r="G81" t="s">
        <v>193</v>
      </c>
      <c r="H81" t="s">
        <v>285</v>
      </c>
    </row>
    <row r="82" spans="7:8" x14ac:dyDescent="0.25">
      <c r="G82" t="s">
        <v>286</v>
      </c>
      <c r="H82" t="s">
        <v>287</v>
      </c>
    </row>
    <row r="83" spans="7:8" x14ac:dyDescent="0.25">
      <c r="G83" t="s">
        <v>196</v>
      </c>
      <c r="H83" t="s">
        <v>288</v>
      </c>
    </row>
    <row r="84" spans="7:8" x14ac:dyDescent="0.25">
      <c r="G84" t="s">
        <v>193</v>
      </c>
      <c r="H84" t="s">
        <v>289</v>
      </c>
    </row>
    <row r="85" spans="7:8" x14ac:dyDescent="0.25">
      <c r="G85" t="s">
        <v>181</v>
      </c>
      <c r="H85" t="s">
        <v>290</v>
      </c>
    </row>
    <row r="86" spans="7:8" x14ac:dyDescent="0.25">
      <c r="G86" t="s">
        <v>163</v>
      </c>
      <c r="H86" t="s">
        <v>291</v>
      </c>
    </row>
    <row r="87" spans="7:8" x14ac:dyDescent="0.25">
      <c r="G87" t="s">
        <v>161</v>
      </c>
      <c r="H87" t="s">
        <v>292</v>
      </c>
    </row>
    <row r="88" spans="7:8" x14ac:dyDescent="0.25">
      <c r="G88" t="s">
        <v>161</v>
      </c>
      <c r="H88" t="s">
        <v>293</v>
      </c>
    </row>
    <row r="89" spans="7:8" x14ac:dyDescent="0.25">
      <c r="G89" t="s">
        <v>163</v>
      </c>
      <c r="H89" t="s">
        <v>294</v>
      </c>
    </row>
    <row r="90" spans="7:8" x14ac:dyDescent="0.25">
      <c r="G90" t="s">
        <v>193</v>
      </c>
      <c r="H90" t="s">
        <v>295</v>
      </c>
    </row>
    <row r="91" spans="7:8" x14ac:dyDescent="0.25">
      <c r="G91" t="s">
        <v>191</v>
      </c>
      <c r="H91" t="s">
        <v>296</v>
      </c>
    </row>
    <row r="92" spans="7:8" x14ac:dyDescent="0.25">
      <c r="G92" t="s">
        <v>193</v>
      </c>
      <c r="H92" t="s">
        <v>299</v>
      </c>
    </row>
    <row r="93" spans="7:8" x14ac:dyDescent="0.25">
      <c r="G93" t="s">
        <v>300</v>
      </c>
      <c r="H93" t="s">
        <v>301</v>
      </c>
    </row>
    <row r="94" spans="7:8" x14ac:dyDescent="0.25">
      <c r="G94" t="s">
        <v>302</v>
      </c>
      <c r="H94" t="s">
        <v>303</v>
      </c>
    </row>
    <row r="95" spans="7:8" x14ac:dyDescent="0.25">
      <c r="G95" t="s">
        <v>196</v>
      </c>
      <c r="H95" t="s">
        <v>304</v>
      </c>
    </row>
    <row r="96" spans="7:8" x14ac:dyDescent="0.25">
      <c r="G96" t="s">
        <v>305</v>
      </c>
      <c r="H96" t="s">
        <v>306</v>
      </c>
    </row>
    <row r="97" spans="7:8" x14ac:dyDescent="0.25">
      <c r="G97" t="s">
        <v>179</v>
      </c>
      <c r="H97" t="s">
        <v>307</v>
      </c>
    </row>
    <row r="98" spans="7:8" x14ac:dyDescent="0.25">
      <c r="G98" t="s">
        <v>161</v>
      </c>
      <c r="H98" t="s">
        <v>308</v>
      </c>
    </row>
    <row r="99" spans="7:8" x14ac:dyDescent="0.25">
      <c r="G99" t="s">
        <v>309</v>
      </c>
      <c r="H99" t="s">
        <v>310</v>
      </c>
    </row>
    <row r="100" spans="7:8" x14ac:dyDescent="0.25">
      <c r="G100" t="s">
        <v>282</v>
      </c>
      <c r="H100" t="s">
        <v>311</v>
      </c>
    </row>
    <row r="101" spans="7:8" x14ac:dyDescent="0.25">
      <c r="G101" t="s">
        <v>196</v>
      </c>
      <c r="H101" t="s">
        <v>312</v>
      </c>
    </row>
    <row r="102" spans="7:8" x14ac:dyDescent="0.25">
      <c r="G102" t="s">
        <v>185</v>
      </c>
      <c r="H102" t="s">
        <v>313</v>
      </c>
    </row>
    <row r="103" spans="7:8" x14ac:dyDescent="0.25">
      <c r="G103" t="s">
        <v>153</v>
      </c>
      <c r="H103" t="s">
        <v>314</v>
      </c>
    </row>
    <row r="104" spans="7:8" x14ac:dyDescent="0.25">
      <c r="G104" t="s">
        <v>235</v>
      </c>
      <c r="H104" t="s">
        <v>322</v>
      </c>
    </row>
    <row r="105" spans="7:8" x14ac:dyDescent="0.25">
      <c r="G105" t="s">
        <v>323</v>
      </c>
      <c r="H105" t="s">
        <v>324</v>
      </c>
    </row>
    <row r="106" spans="7:8" x14ac:dyDescent="0.25">
      <c r="G106" t="s">
        <v>153</v>
      </c>
      <c r="H106" t="s">
        <v>325</v>
      </c>
    </row>
    <row r="107" spans="7:8" x14ac:dyDescent="0.25">
      <c r="G107" t="s">
        <v>326</v>
      </c>
      <c r="H107" t="s">
        <v>327</v>
      </c>
    </row>
    <row r="108" spans="7:8" x14ac:dyDescent="0.25">
      <c r="G108" t="s">
        <v>161</v>
      </c>
      <c r="H108" t="s">
        <v>328</v>
      </c>
    </row>
    <row r="109" spans="7:8" x14ac:dyDescent="0.25">
      <c r="G109" t="s">
        <v>224</v>
      </c>
      <c r="H109" t="s">
        <v>329</v>
      </c>
    </row>
    <row r="110" spans="7:8" x14ac:dyDescent="0.25">
      <c r="G110" t="s">
        <v>189</v>
      </c>
      <c r="H110" t="s">
        <v>330</v>
      </c>
    </row>
    <row r="111" spans="7:8" x14ac:dyDescent="0.25">
      <c r="G111" t="s">
        <v>282</v>
      </c>
      <c r="H111" t="s">
        <v>331</v>
      </c>
    </row>
    <row r="112" spans="7:8" x14ac:dyDescent="0.25">
      <c r="G112" t="s">
        <v>179</v>
      </c>
      <c r="H112" t="s">
        <v>332</v>
      </c>
    </row>
    <row r="113" spans="7:8" x14ac:dyDescent="0.25">
      <c r="G113" t="s">
        <v>179</v>
      </c>
      <c r="H113" t="s">
        <v>333</v>
      </c>
    </row>
    <row r="114" spans="7:8" x14ac:dyDescent="0.25">
      <c r="G114" t="s">
        <v>191</v>
      </c>
      <c r="H114" t="s">
        <v>334</v>
      </c>
    </row>
    <row r="115" spans="7:8" x14ac:dyDescent="0.25">
      <c r="G115" t="s">
        <v>179</v>
      </c>
      <c r="H115" t="s">
        <v>335</v>
      </c>
    </row>
    <row r="116" spans="7:8" x14ac:dyDescent="0.25">
      <c r="G116" t="s">
        <v>196</v>
      </c>
      <c r="H116" t="s">
        <v>336</v>
      </c>
    </row>
    <row r="117" spans="7:8" x14ac:dyDescent="0.25">
      <c r="G117" t="s">
        <v>326</v>
      </c>
      <c r="H117" t="s">
        <v>337</v>
      </c>
    </row>
    <row r="118" spans="7:8" x14ac:dyDescent="0.25">
      <c r="G118" t="s">
        <v>179</v>
      </c>
      <c r="H118" t="s">
        <v>338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>
    <pageSetUpPr fitToPage="1"/>
  </sheetPr>
  <dimension ref="A1:Q41"/>
  <sheetViews>
    <sheetView topLeftCell="B1" workbookViewId="0">
      <selection activeCell="T18" sqref="T18"/>
    </sheetView>
  </sheetViews>
  <sheetFormatPr baseColWidth="10" defaultRowHeight="15" x14ac:dyDescent="0.25"/>
  <cols>
    <col min="1" max="1" width="12.28515625" style="24" hidden="1" customWidth="1"/>
    <col min="2" max="2" width="13.140625" style="24" customWidth="1"/>
    <col min="3" max="3" width="7.28515625" style="24" customWidth="1"/>
    <col min="4" max="4" width="6.7109375" style="245" customWidth="1"/>
    <col min="5" max="5" width="8.140625" style="24" customWidth="1"/>
    <col min="6" max="8" width="8.42578125" style="24" customWidth="1"/>
    <col min="9" max="9" width="5.28515625" style="24" customWidth="1"/>
    <col min="10" max="12" width="8.42578125" style="24" customWidth="1"/>
    <col min="13" max="13" width="5.28515625" style="24" customWidth="1"/>
    <col min="14" max="14" width="8.140625" style="24" customWidth="1"/>
    <col min="15" max="15" width="8.7109375" style="24" customWidth="1"/>
    <col min="16" max="16" width="12.85546875" style="245" customWidth="1"/>
    <col min="17" max="17" width="12.28515625" style="24" hidden="1" customWidth="1"/>
    <col min="18" max="16384" width="11.42578125" style="24"/>
  </cols>
  <sheetData>
    <row r="1" spans="1:17" ht="15" customHeight="1" x14ac:dyDescent="0.25">
      <c r="A1" s="24" t="s">
        <v>267</v>
      </c>
      <c r="B1" s="518" t="s">
        <v>297</v>
      </c>
      <c r="C1" s="518"/>
      <c r="D1" s="518"/>
      <c r="E1" s="518"/>
      <c r="F1" s="518"/>
      <c r="G1" s="518"/>
      <c r="H1" s="518"/>
      <c r="I1" s="518"/>
      <c r="J1" s="518"/>
      <c r="K1" s="518"/>
      <c r="L1" s="518"/>
      <c r="M1" s="518"/>
      <c r="N1" s="518"/>
      <c r="O1" s="518"/>
      <c r="P1" s="518"/>
      <c r="Q1" s="24" t="s">
        <v>272</v>
      </c>
    </row>
    <row r="2" spans="1:17" ht="15" customHeight="1" x14ac:dyDescent="0.25">
      <c r="B2" s="519" t="s">
        <v>159</v>
      </c>
      <c r="C2" s="519"/>
      <c r="D2" s="519"/>
      <c r="E2" s="519"/>
      <c r="F2" s="519"/>
      <c r="G2" s="519"/>
      <c r="H2" s="519"/>
      <c r="I2" s="519"/>
      <c r="J2" s="519"/>
      <c r="K2" s="519"/>
      <c r="L2" s="519"/>
      <c r="M2" s="519"/>
      <c r="N2" s="519"/>
      <c r="O2" s="519"/>
      <c r="P2" s="519"/>
    </row>
    <row r="3" spans="1:17" ht="15" customHeight="1" x14ac:dyDescent="0.25">
      <c r="B3" s="329" t="s">
        <v>86</v>
      </c>
      <c r="C3" s="327" t="s">
        <v>158</v>
      </c>
      <c r="D3" s="328"/>
      <c r="E3" s="306"/>
      <c r="F3" s="306"/>
      <c r="G3" s="306"/>
      <c r="H3" s="306"/>
      <c r="I3" s="306"/>
      <c r="J3" s="306"/>
      <c r="K3" s="306"/>
      <c r="L3" s="306"/>
      <c r="M3" s="306"/>
      <c r="N3" s="306"/>
      <c r="O3" s="306"/>
      <c r="P3" s="306"/>
    </row>
    <row r="4" spans="1:17" ht="15" customHeight="1" x14ac:dyDescent="0.3">
      <c r="B4" s="329" t="s">
        <v>87</v>
      </c>
      <c r="C4" s="306"/>
      <c r="D4" s="340">
        <f>Inter!I24</f>
        <v>0</v>
      </c>
      <c r="E4" s="306"/>
      <c r="F4" s="306"/>
      <c r="G4" s="306"/>
      <c r="H4" s="306"/>
      <c r="I4" s="306"/>
      <c r="J4" s="306"/>
      <c r="K4" s="329" t="s">
        <v>317</v>
      </c>
      <c r="L4" s="306"/>
      <c r="M4" s="306"/>
      <c r="N4" s="306"/>
      <c r="O4" s="306"/>
      <c r="P4" s="306"/>
    </row>
    <row r="5" spans="1:17" ht="15" customHeight="1" thickBot="1" x14ac:dyDescent="0.3">
      <c r="B5" s="306"/>
      <c r="C5" s="306"/>
      <c r="D5" s="306"/>
      <c r="E5" s="306"/>
      <c r="F5" s="306"/>
      <c r="G5" s="306"/>
      <c r="H5" s="306"/>
      <c r="I5" s="306"/>
      <c r="J5" s="306"/>
      <c r="K5" s="306"/>
      <c r="L5" s="306"/>
      <c r="M5" s="306"/>
      <c r="N5" s="306"/>
      <c r="O5" s="306"/>
      <c r="P5" s="306"/>
    </row>
    <row r="6" spans="1:17" ht="15" customHeight="1" thickBot="1" x14ac:dyDescent="0.3">
      <c r="B6" s="306"/>
      <c r="C6" s="543" t="s">
        <v>88</v>
      </c>
      <c r="D6" s="536" t="s">
        <v>247</v>
      </c>
      <c r="E6" s="546" t="s">
        <v>89</v>
      </c>
      <c r="F6" s="546" t="s">
        <v>4</v>
      </c>
      <c r="G6" s="549"/>
      <c r="H6" s="549"/>
      <c r="I6" s="530" t="s">
        <v>90</v>
      </c>
      <c r="J6" s="551" t="s">
        <v>4</v>
      </c>
      <c r="K6" s="549"/>
      <c r="L6" s="549"/>
      <c r="M6" s="530" t="s">
        <v>90</v>
      </c>
      <c r="N6" s="533" t="s">
        <v>91</v>
      </c>
      <c r="O6" s="539" t="s">
        <v>155</v>
      </c>
      <c r="P6" s="540" t="s">
        <v>156</v>
      </c>
    </row>
    <row r="7" spans="1:17" ht="15" customHeight="1" thickBot="1" x14ac:dyDescent="0.3">
      <c r="B7" s="306"/>
      <c r="C7" s="544"/>
      <c r="D7" s="537"/>
      <c r="E7" s="547"/>
      <c r="F7" s="550"/>
      <c r="G7" s="550"/>
      <c r="H7" s="550"/>
      <c r="I7" s="531"/>
      <c r="J7" s="552"/>
      <c r="K7" s="550"/>
      <c r="L7" s="550"/>
      <c r="M7" s="531"/>
      <c r="N7" s="534"/>
      <c r="O7" s="539"/>
      <c r="P7" s="541"/>
    </row>
    <row r="8" spans="1:17" ht="15" customHeight="1" thickBot="1" x14ac:dyDescent="0.3">
      <c r="B8" s="306"/>
      <c r="C8" s="544"/>
      <c r="D8" s="537"/>
      <c r="E8" s="547"/>
      <c r="F8" s="550"/>
      <c r="G8" s="550"/>
      <c r="H8" s="550"/>
      <c r="I8" s="531"/>
      <c r="J8" s="552"/>
      <c r="K8" s="550"/>
      <c r="L8" s="550"/>
      <c r="M8" s="531"/>
      <c r="N8" s="534"/>
      <c r="O8" s="539"/>
      <c r="P8" s="542"/>
    </row>
    <row r="9" spans="1:17" ht="15" customHeight="1" thickBot="1" x14ac:dyDescent="0.3">
      <c r="B9" s="7"/>
      <c r="C9" s="545"/>
      <c r="D9" s="538"/>
      <c r="E9" s="548"/>
      <c r="F9" s="333" t="s">
        <v>57</v>
      </c>
      <c r="G9" s="333" t="s">
        <v>58</v>
      </c>
      <c r="H9" s="333" t="s">
        <v>92</v>
      </c>
      <c r="I9" s="532"/>
      <c r="J9" s="304" t="s">
        <v>57</v>
      </c>
      <c r="K9" s="333" t="s">
        <v>58</v>
      </c>
      <c r="L9" s="333" t="s">
        <v>92</v>
      </c>
      <c r="M9" s="532"/>
      <c r="N9" s="535"/>
      <c r="O9" s="539"/>
      <c r="P9" s="307" t="s">
        <v>157</v>
      </c>
    </row>
    <row r="10" spans="1:17" ht="15" customHeight="1" thickBot="1" x14ac:dyDescent="0.3">
      <c r="B10" s="520" t="s">
        <v>79</v>
      </c>
      <c r="C10" s="521"/>
      <c r="D10" s="555"/>
      <c r="E10" s="524">
        <v>0.36874999999999997</v>
      </c>
      <c r="F10" s="262">
        <v>0.54375000000000007</v>
      </c>
      <c r="G10" s="262">
        <v>0.5854166666666667</v>
      </c>
      <c r="H10" s="263" t="s">
        <v>321</v>
      </c>
      <c r="I10" s="264" t="s">
        <v>320</v>
      </c>
      <c r="J10" s="265"/>
      <c r="K10" s="262"/>
      <c r="L10" s="263"/>
      <c r="M10" s="264"/>
      <c r="N10" s="527">
        <v>0.70138888888888884</v>
      </c>
      <c r="O10" s="515">
        <v>0.33263888888888887</v>
      </c>
      <c r="P10" s="516"/>
    </row>
    <row r="11" spans="1:17" ht="15" customHeight="1" thickBot="1" x14ac:dyDescent="0.3">
      <c r="B11" s="520"/>
      <c r="C11" s="522"/>
      <c r="D11" s="556"/>
      <c r="E11" s="525"/>
      <c r="F11" s="330"/>
      <c r="G11" s="330"/>
      <c r="H11" s="331"/>
      <c r="I11" s="266"/>
      <c r="J11" s="332"/>
      <c r="K11" s="330"/>
      <c r="L11" s="331"/>
      <c r="M11" s="266"/>
      <c r="N11" s="528"/>
      <c r="O11" s="515"/>
      <c r="P11" s="516"/>
    </row>
    <row r="12" spans="1:17" ht="15" customHeight="1" thickBot="1" x14ac:dyDescent="0.3">
      <c r="B12" s="520"/>
      <c r="C12" s="523"/>
      <c r="D12" s="557"/>
      <c r="E12" s="526"/>
      <c r="F12" s="267"/>
      <c r="G12" s="267"/>
      <c r="H12" s="268"/>
      <c r="I12" s="269"/>
      <c r="J12" s="270"/>
      <c r="K12" s="267"/>
      <c r="L12" s="268"/>
      <c r="M12" s="269"/>
      <c r="N12" s="529"/>
      <c r="O12" s="515"/>
      <c r="P12" s="516"/>
    </row>
    <row r="13" spans="1:17" ht="15" customHeight="1" thickBot="1" x14ac:dyDescent="0.3">
      <c r="B13" s="520" t="s">
        <v>80</v>
      </c>
      <c r="C13" s="553"/>
      <c r="D13" s="555"/>
      <c r="E13" s="524"/>
      <c r="F13" s="262"/>
      <c r="G13" s="262"/>
      <c r="H13" s="263"/>
      <c r="I13" s="264"/>
      <c r="J13" s="265"/>
      <c r="K13" s="262"/>
      <c r="L13" s="263"/>
      <c r="M13" s="264"/>
      <c r="N13" s="554"/>
      <c r="O13" s="515"/>
      <c r="P13" s="516"/>
    </row>
    <row r="14" spans="1:17" ht="15" customHeight="1" thickBot="1" x14ac:dyDescent="0.3">
      <c r="B14" s="520"/>
      <c r="C14" s="522"/>
      <c r="D14" s="556"/>
      <c r="E14" s="525"/>
      <c r="F14" s="330"/>
      <c r="G14" s="330"/>
      <c r="H14" s="331"/>
      <c r="I14" s="266"/>
      <c r="J14" s="332"/>
      <c r="K14" s="330"/>
      <c r="L14" s="331"/>
      <c r="M14" s="266"/>
      <c r="N14" s="528"/>
      <c r="O14" s="515"/>
      <c r="P14" s="516"/>
    </row>
    <row r="15" spans="1:17" ht="15" customHeight="1" thickBot="1" x14ac:dyDescent="0.3">
      <c r="B15" s="520"/>
      <c r="C15" s="523"/>
      <c r="D15" s="557"/>
      <c r="E15" s="526"/>
      <c r="F15" s="267"/>
      <c r="G15" s="267"/>
      <c r="H15" s="268"/>
      <c r="I15" s="269"/>
      <c r="J15" s="270"/>
      <c r="K15" s="267"/>
      <c r="L15" s="268"/>
      <c r="M15" s="269"/>
      <c r="N15" s="529"/>
      <c r="O15" s="515"/>
      <c r="P15" s="516"/>
    </row>
    <row r="16" spans="1:17" ht="15" customHeight="1" thickBot="1" x14ac:dyDescent="0.3">
      <c r="B16" s="520" t="s">
        <v>81</v>
      </c>
      <c r="C16" s="553"/>
      <c r="D16" s="555"/>
      <c r="E16" s="524"/>
      <c r="F16" s="262"/>
      <c r="G16" s="262"/>
      <c r="H16" s="263"/>
      <c r="I16" s="264"/>
      <c r="J16" s="265"/>
      <c r="K16" s="262"/>
      <c r="L16" s="263"/>
      <c r="M16" s="264"/>
      <c r="N16" s="554"/>
      <c r="O16" s="517"/>
      <c r="P16" s="514"/>
    </row>
    <row r="17" spans="2:16" ht="15" customHeight="1" thickBot="1" x14ac:dyDescent="0.3">
      <c r="B17" s="520"/>
      <c r="C17" s="522"/>
      <c r="D17" s="556"/>
      <c r="E17" s="525"/>
      <c r="F17" s="330"/>
      <c r="G17" s="330"/>
      <c r="H17" s="331"/>
      <c r="I17" s="266"/>
      <c r="J17" s="332"/>
      <c r="K17" s="330"/>
      <c r="L17" s="331"/>
      <c r="M17" s="266"/>
      <c r="N17" s="528"/>
      <c r="O17" s="517"/>
      <c r="P17" s="514"/>
    </row>
    <row r="18" spans="2:16" ht="15" customHeight="1" thickBot="1" x14ac:dyDescent="0.3">
      <c r="B18" s="520"/>
      <c r="C18" s="523"/>
      <c r="D18" s="557"/>
      <c r="E18" s="526"/>
      <c r="F18" s="267"/>
      <c r="G18" s="267"/>
      <c r="H18" s="268"/>
      <c r="I18" s="269"/>
      <c r="J18" s="270"/>
      <c r="K18" s="267"/>
      <c r="L18" s="268"/>
      <c r="M18" s="269"/>
      <c r="N18" s="529"/>
      <c r="O18" s="517"/>
      <c r="P18" s="514"/>
    </row>
    <row r="19" spans="2:16" ht="15" customHeight="1" thickBot="1" x14ac:dyDescent="0.3">
      <c r="B19" s="520" t="s">
        <v>82</v>
      </c>
      <c r="C19" s="553"/>
      <c r="D19" s="555"/>
      <c r="E19" s="524"/>
      <c r="F19" s="262"/>
      <c r="G19" s="262"/>
      <c r="H19" s="263"/>
      <c r="I19" s="264"/>
      <c r="J19" s="265"/>
      <c r="K19" s="262"/>
      <c r="L19" s="263"/>
      <c r="M19" s="264"/>
      <c r="N19" s="554"/>
      <c r="O19" s="517"/>
      <c r="P19" s="514"/>
    </row>
    <row r="20" spans="2:16" ht="15" customHeight="1" thickBot="1" x14ac:dyDescent="0.3">
      <c r="B20" s="520"/>
      <c r="C20" s="522"/>
      <c r="D20" s="556"/>
      <c r="E20" s="525"/>
      <c r="F20" s="330"/>
      <c r="G20" s="330"/>
      <c r="H20" s="331"/>
      <c r="I20" s="266"/>
      <c r="J20" s="332"/>
      <c r="K20" s="330"/>
      <c r="L20" s="331"/>
      <c r="M20" s="266"/>
      <c r="N20" s="528"/>
      <c r="O20" s="517"/>
      <c r="P20" s="514"/>
    </row>
    <row r="21" spans="2:16" ht="15" customHeight="1" thickBot="1" x14ac:dyDescent="0.3">
      <c r="B21" s="520"/>
      <c r="C21" s="523"/>
      <c r="D21" s="557"/>
      <c r="E21" s="526"/>
      <c r="F21" s="267"/>
      <c r="G21" s="267"/>
      <c r="H21" s="268"/>
      <c r="I21" s="269"/>
      <c r="J21" s="270"/>
      <c r="K21" s="267"/>
      <c r="L21" s="268"/>
      <c r="M21" s="269"/>
      <c r="N21" s="529"/>
      <c r="O21" s="517"/>
      <c r="P21" s="514"/>
    </row>
    <row r="22" spans="2:16" ht="15" customHeight="1" thickBot="1" x14ac:dyDescent="0.3">
      <c r="B22" s="520" t="s">
        <v>83</v>
      </c>
      <c r="C22" s="553"/>
      <c r="D22" s="555"/>
      <c r="E22" s="524"/>
      <c r="F22" s="262"/>
      <c r="G22" s="262"/>
      <c r="H22" s="263"/>
      <c r="I22" s="264"/>
      <c r="J22" s="265"/>
      <c r="K22" s="262"/>
      <c r="L22" s="263"/>
      <c r="M22" s="264"/>
      <c r="N22" s="554"/>
      <c r="O22" s="515"/>
      <c r="P22" s="516"/>
    </row>
    <row r="23" spans="2:16" ht="15" customHeight="1" thickBot="1" x14ac:dyDescent="0.3">
      <c r="B23" s="520"/>
      <c r="C23" s="522"/>
      <c r="D23" s="556"/>
      <c r="E23" s="525"/>
      <c r="F23" s="330"/>
      <c r="G23" s="330"/>
      <c r="H23" s="331"/>
      <c r="I23" s="266"/>
      <c r="J23" s="332"/>
      <c r="K23" s="330"/>
      <c r="L23" s="331"/>
      <c r="M23" s="266"/>
      <c r="N23" s="528"/>
      <c r="O23" s="515"/>
      <c r="P23" s="516"/>
    </row>
    <row r="24" spans="2:16" ht="15" customHeight="1" thickBot="1" x14ac:dyDescent="0.3">
      <c r="B24" s="520"/>
      <c r="C24" s="523"/>
      <c r="D24" s="557"/>
      <c r="E24" s="526"/>
      <c r="F24" s="267"/>
      <c r="G24" s="267"/>
      <c r="H24" s="268"/>
      <c r="I24" s="269"/>
      <c r="J24" s="270"/>
      <c r="K24" s="267"/>
      <c r="L24" s="268"/>
      <c r="M24" s="269"/>
      <c r="N24" s="529"/>
      <c r="O24" s="515"/>
      <c r="P24" s="516"/>
    </row>
    <row r="25" spans="2:16" ht="15" customHeight="1" thickBot="1" x14ac:dyDescent="0.3">
      <c r="B25" s="520" t="s">
        <v>84</v>
      </c>
      <c r="C25" s="553"/>
      <c r="D25" s="555"/>
      <c r="E25" s="524"/>
      <c r="F25" s="262"/>
      <c r="G25" s="262"/>
      <c r="H25" s="263"/>
      <c r="I25" s="264"/>
      <c r="J25" s="265"/>
      <c r="K25" s="262"/>
      <c r="L25" s="263"/>
      <c r="M25" s="264"/>
      <c r="N25" s="554"/>
      <c r="O25" s="517"/>
      <c r="P25" s="514"/>
    </row>
    <row r="26" spans="2:16" ht="15" customHeight="1" thickBot="1" x14ac:dyDescent="0.3">
      <c r="B26" s="520"/>
      <c r="C26" s="522"/>
      <c r="D26" s="556"/>
      <c r="E26" s="525"/>
      <c r="F26" s="330"/>
      <c r="G26" s="330"/>
      <c r="H26" s="331"/>
      <c r="I26" s="266"/>
      <c r="J26" s="332"/>
      <c r="K26" s="330"/>
      <c r="L26" s="331"/>
      <c r="M26" s="266"/>
      <c r="N26" s="528"/>
      <c r="O26" s="517"/>
      <c r="P26" s="514"/>
    </row>
    <row r="27" spans="2:16" ht="15" customHeight="1" thickBot="1" x14ac:dyDescent="0.3">
      <c r="B27" s="520"/>
      <c r="C27" s="523"/>
      <c r="D27" s="557"/>
      <c r="E27" s="526"/>
      <c r="F27" s="267"/>
      <c r="G27" s="267"/>
      <c r="H27" s="268"/>
      <c r="I27" s="269"/>
      <c r="J27" s="270"/>
      <c r="K27" s="267"/>
      <c r="L27" s="268"/>
      <c r="M27" s="269"/>
      <c r="N27" s="529"/>
      <c r="O27" s="517"/>
      <c r="P27" s="514"/>
    </row>
    <row r="28" spans="2:16" ht="15" customHeight="1" thickBot="1" x14ac:dyDescent="0.3">
      <c r="B28" s="520" t="s">
        <v>85</v>
      </c>
      <c r="C28" s="553"/>
      <c r="D28" s="555"/>
      <c r="E28" s="524"/>
      <c r="F28" s="262"/>
      <c r="G28" s="262"/>
      <c r="H28" s="263"/>
      <c r="I28" s="264"/>
      <c r="J28" s="265"/>
      <c r="K28" s="262"/>
      <c r="L28" s="263"/>
      <c r="M28" s="264"/>
      <c r="N28" s="554"/>
      <c r="O28" s="517"/>
      <c r="P28" s="514"/>
    </row>
    <row r="29" spans="2:16" ht="15" customHeight="1" thickBot="1" x14ac:dyDescent="0.3">
      <c r="B29" s="520"/>
      <c r="C29" s="522"/>
      <c r="D29" s="556"/>
      <c r="E29" s="525"/>
      <c r="F29" s="330"/>
      <c r="G29" s="330"/>
      <c r="H29" s="331"/>
      <c r="I29" s="266"/>
      <c r="J29" s="332"/>
      <c r="K29" s="330"/>
      <c r="L29" s="331"/>
      <c r="M29" s="266"/>
      <c r="N29" s="528"/>
      <c r="O29" s="517"/>
      <c r="P29" s="514"/>
    </row>
    <row r="30" spans="2:16" ht="15" customHeight="1" thickBot="1" x14ac:dyDescent="0.3">
      <c r="B30" s="520"/>
      <c r="C30" s="523"/>
      <c r="D30" s="557"/>
      <c r="E30" s="526"/>
      <c r="F30" s="267"/>
      <c r="G30" s="267"/>
      <c r="H30" s="268"/>
      <c r="I30" s="269"/>
      <c r="J30" s="270"/>
      <c r="K30" s="267"/>
      <c r="L30" s="268"/>
      <c r="M30" s="269"/>
      <c r="N30" s="529"/>
      <c r="O30" s="517"/>
      <c r="P30" s="514"/>
    </row>
    <row r="31" spans="2:16" ht="15" customHeight="1" thickBot="1" x14ac:dyDescent="0.3">
      <c r="B31" s="28"/>
      <c r="C31" s="28"/>
      <c r="D31" s="28"/>
      <c r="E31" s="28"/>
      <c r="F31" s="28"/>
      <c r="G31" s="28"/>
      <c r="H31" s="28"/>
      <c r="I31" s="28"/>
      <c r="J31" s="28"/>
      <c r="K31" s="28"/>
      <c r="L31" s="28"/>
      <c r="M31" s="28"/>
      <c r="N31" s="334" t="s">
        <v>253</v>
      </c>
      <c r="O31" s="253">
        <v>0.33263888888888887</v>
      </c>
      <c r="P31" s="28"/>
    </row>
    <row r="32" spans="2:16" ht="15" customHeight="1" x14ac:dyDescent="0.25">
      <c r="B32" s="335" t="s">
        <v>93</v>
      </c>
      <c r="C32" s="306"/>
      <c r="D32" s="306"/>
      <c r="E32" s="306"/>
      <c r="F32" s="306"/>
      <c r="G32" s="306"/>
      <c r="H32" s="306"/>
      <c r="I32" s="306"/>
      <c r="J32" s="306"/>
      <c r="K32" s="306"/>
      <c r="L32" s="306"/>
      <c r="M32" s="306"/>
      <c r="N32" s="306"/>
      <c r="O32" s="306"/>
      <c r="P32" s="306"/>
    </row>
    <row r="33" spans="2:17" ht="15" customHeight="1" x14ac:dyDescent="0.25">
      <c r="B33" s="335" t="s">
        <v>94</v>
      </c>
      <c r="C33" s="306"/>
      <c r="D33" s="306"/>
      <c r="E33" s="306"/>
      <c r="F33" s="306"/>
      <c r="G33" s="306"/>
      <c r="H33" s="306"/>
      <c r="I33" s="306"/>
      <c r="J33" s="306"/>
      <c r="K33" s="306"/>
      <c r="L33" s="306"/>
      <c r="M33" s="306"/>
      <c r="N33" s="306"/>
      <c r="O33" s="306"/>
      <c r="P33" s="306"/>
    </row>
    <row r="34" spans="2:17" ht="15" customHeight="1" x14ac:dyDescent="0.25">
      <c r="B34" s="305"/>
      <c r="C34" s="305"/>
      <c r="D34" s="305"/>
      <c r="E34" s="305"/>
      <c r="F34" s="305"/>
      <c r="G34" s="305"/>
      <c r="H34" s="305"/>
      <c r="I34" s="305"/>
      <c r="J34" s="305"/>
      <c r="K34" s="305"/>
      <c r="L34" s="305"/>
      <c r="M34" s="305"/>
      <c r="N34" s="305"/>
      <c r="O34" s="305"/>
      <c r="P34" s="305"/>
    </row>
    <row r="35" spans="2:17" ht="15" customHeight="1" x14ac:dyDescent="0.25">
      <c r="B35" s="558" t="s">
        <v>95</v>
      </c>
      <c r="C35" s="559"/>
      <c r="D35" s="559"/>
      <c r="E35" s="559"/>
      <c r="F35" s="559"/>
      <c r="G35" s="559"/>
      <c r="H35" s="559"/>
      <c r="I35" s="559"/>
      <c r="J35" s="559"/>
      <c r="K35" s="560"/>
      <c r="L35" s="558" t="s">
        <v>96</v>
      </c>
      <c r="M35" s="561"/>
      <c r="N35" s="561"/>
      <c r="O35" s="561"/>
      <c r="P35" s="562"/>
    </row>
    <row r="36" spans="2:17" ht="15" customHeight="1" x14ac:dyDescent="0.25">
      <c r="B36" s="563"/>
      <c r="C36" s="564"/>
      <c r="D36" s="564"/>
      <c r="E36" s="564"/>
      <c r="F36" s="564"/>
      <c r="G36" s="564"/>
      <c r="H36" s="564"/>
      <c r="I36" s="564"/>
      <c r="J36" s="564"/>
      <c r="K36" s="565"/>
      <c r="L36" s="572" t="s">
        <v>97</v>
      </c>
      <c r="M36" s="573"/>
      <c r="N36" s="574"/>
      <c r="O36" s="572" t="s">
        <v>98</v>
      </c>
      <c r="P36" s="575"/>
    </row>
    <row r="37" spans="2:17" ht="15" customHeight="1" x14ac:dyDescent="0.25">
      <c r="B37" s="566"/>
      <c r="C37" s="567"/>
      <c r="D37" s="567"/>
      <c r="E37" s="567"/>
      <c r="F37" s="567"/>
      <c r="G37" s="567"/>
      <c r="H37" s="567"/>
      <c r="I37" s="567"/>
      <c r="J37" s="567"/>
      <c r="K37" s="568"/>
      <c r="L37" s="563"/>
      <c r="M37" s="564"/>
      <c r="N37" s="565"/>
      <c r="O37" s="576"/>
      <c r="P37" s="577"/>
    </row>
    <row r="38" spans="2:17" ht="15" customHeight="1" x14ac:dyDescent="0.25">
      <c r="B38" s="566"/>
      <c r="C38" s="567"/>
      <c r="D38" s="567"/>
      <c r="E38" s="567"/>
      <c r="F38" s="567"/>
      <c r="G38" s="567"/>
      <c r="H38" s="567"/>
      <c r="I38" s="567"/>
      <c r="J38" s="567"/>
      <c r="K38" s="568"/>
      <c r="L38" s="566"/>
      <c r="M38" s="567"/>
      <c r="N38" s="568"/>
      <c r="O38" s="578"/>
      <c r="P38" s="579"/>
    </row>
    <row r="39" spans="2:17" ht="15" customHeight="1" x14ac:dyDescent="0.25">
      <c r="B39" s="566"/>
      <c r="C39" s="567"/>
      <c r="D39" s="567"/>
      <c r="E39" s="567"/>
      <c r="F39" s="567"/>
      <c r="G39" s="567"/>
      <c r="H39" s="567"/>
      <c r="I39" s="567"/>
      <c r="J39" s="567"/>
      <c r="K39" s="568"/>
      <c r="L39" s="566"/>
      <c r="M39" s="567"/>
      <c r="N39" s="568"/>
      <c r="O39" s="578"/>
      <c r="P39" s="579"/>
    </row>
    <row r="40" spans="2:17" ht="15" customHeight="1" x14ac:dyDescent="0.25">
      <c r="B40" s="569"/>
      <c r="C40" s="570"/>
      <c r="D40" s="570"/>
      <c r="E40" s="570"/>
      <c r="F40" s="570"/>
      <c r="G40" s="570"/>
      <c r="H40" s="570"/>
      <c r="I40" s="570"/>
      <c r="J40" s="570"/>
      <c r="K40" s="571"/>
      <c r="L40" s="569"/>
      <c r="M40" s="570"/>
      <c r="N40" s="571"/>
      <c r="O40" s="580"/>
      <c r="P40" s="581"/>
      <c r="Q40" s="24" t="s">
        <v>272</v>
      </c>
    </row>
    <row r="41" spans="2:17" ht="15" customHeight="1" x14ac:dyDescent="0.25"/>
  </sheetData>
  <mergeCells count="68">
    <mergeCell ref="B36:K40"/>
    <mergeCell ref="L36:N36"/>
    <mergeCell ref="L37:N40"/>
    <mergeCell ref="O36:P36"/>
    <mergeCell ref="O37:P40"/>
    <mergeCell ref="B28:B30"/>
    <mergeCell ref="C28:C30"/>
    <mergeCell ref="E28:E30"/>
    <mergeCell ref="N28:N30"/>
    <mergeCell ref="B35:K35"/>
    <mergeCell ref="D28:D30"/>
    <mergeCell ref="L35:P35"/>
    <mergeCell ref="O28:O30"/>
    <mergeCell ref="B22:B24"/>
    <mergeCell ref="C22:C24"/>
    <mergeCell ref="E22:E24"/>
    <mergeCell ref="N22:N24"/>
    <mergeCell ref="B25:B27"/>
    <mergeCell ref="C25:C27"/>
    <mergeCell ref="E25:E27"/>
    <mergeCell ref="N25:N27"/>
    <mergeCell ref="D22:D24"/>
    <mergeCell ref="D25:D27"/>
    <mergeCell ref="B16:B18"/>
    <mergeCell ref="C16:C18"/>
    <mergeCell ref="E16:E18"/>
    <mergeCell ref="N16:N18"/>
    <mergeCell ref="B19:B21"/>
    <mergeCell ref="C19:C21"/>
    <mergeCell ref="E19:E21"/>
    <mergeCell ref="N19:N21"/>
    <mergeCell ref="D16:D18"/>
    <mergeCell ref="D19:D21"/>
    <mergeCell ref="B13:B15"/>
    <mergeCell ref="C13:C15"/>
    <mergeCell ref="E13:E15"/>
    <mergeCell ref="N13:N15"/>
    <mergeCell ref="D10:D12"/>
    <mergeCell ref="D13:D15"/>
    <mergeCell ref="B1:P1"/>
    <mergeCell ref="B2:P2"/>
    <mergeCell ref="B10:B12"/>
    <mergeCell ref="C10:C12"/>
    <mergeCell ref="E10:E12"/>
    <mergeCell ref="N10:N12"/>
    <mergeCell ref="M6:M9"/>
    <mergeCell ref="N6:N9"/>
    <mergeCell ref="D6:D9"/>
    <mergeCell ref="O6:O9"/>
    <mergeCell ref="P6:P8"/>
    <mergeCell ref="C6:C9"/>
    <mergeCell ref="E6:E9"/>
    <mergeCell ref="F6:H8"/>
    <mergeCell ref="I6:I9"/>
    <mergeCell ref="J6:L8"/>
    <mergeCell ref="P25:P27"/>
    <mergeCell ref="P28:P30"/>
    <mergeCell ref="O22:O24"/>
    <mergeCell ref="P10:P12"/>
    <mergeCell ref="P13:P15"/>
    <mergeCell ref="P16:P18"/>
    <mergeCell ref="P19:P21"/>
    <mergeCell ref="P22:P24"/>
    <mergeCell ref="O10:O12"/>
    <mergeCell ref="O13:O15"/>
    <mergeCell ref="O16:O18"/>
    <mergeCell ref="O19:O21"/>
    <mergeCell ref="O25:O27"/>
  </mergeCells>
  <pageMargins left="0.7" right="0.7" top="0.75" bottom="0.75" header="0.3" footer="0.3"/>
  <pageSetup paperSize="9" scale="69" fitToHeight="0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/>
  <dimension ref="A1:N20"/>
  <sheetViews>
    <sheetView topLeftCell="B1" workbookViewId="0">
      <selection activeCell="Q22" sqref="Q22"/>
    </sheetView>
  </sheetViews>
  <sheetFormatPr baseColWidth="10" defaultRowHeight="21.95" customHeight="1" x14ac:dyDescent="0.2"/>
  <cols>
    <col min="1" max="1" width="7.42578125" style="159" hidden="1" customWidth="1"/>
    <col min="2" max="2" width="4.85546875" style="159" customWidth="1"/>
    <col min="3" max="3" width="3" style="159" customWidth="1"/>
    <col min="4" max="13" width="9.28515625" style="159" customWidth="1"/>
    <col min="14" max="14" width="7.42578125" style="159" hidden="1" customWidth="1"/>
    <col min="15" max="16384" width="11.42578125" style="159"/>
  </cols>
  <sheetData>
    <row r="1" spans="1:14" ht="21.95" customHeight="1" x14ac:dyDescent="0.25">
      <c r="A1" s="159" t="s">
        <v>267</v>
      </c>
      <c r="B1" s="582" t="s">
        <v>139</v>
      </c>
      <c r="C1" s="582"/>
      <c r="D1" s="582"/>
      <c r="E1" s="582"/>
      <c r="F1" s="582"/>
      <c r="G1" s="582"/>
      <c r="H1" s="582"/>
      <c r="I1" s="582"/>
      <c r="J1" s="582"/>
      <c r="K1" s="582"/>
      <c r="L1" s="582"/>
      <c r="M1" s="582"/>
      <c r="N1" s="159" t="s">
        <v>267</v>
      </c>
    </row>
    <row r="2" spans="1:14" ht="21.95" customHeight="1" x14ac:dyDescent="0.2">
      <c r="B2" s="310"/>
      <c r="C2" s="310"/>
      <c r="D2" s="310"/>
      <c r="E2" s="310"/>
      <c r="F2" s="310"/>
      <c r="G2" s="310"/>
      <c r="H2" s="310"/>
      <c r="I2" s="310"/>
      <c r="J2" s="310"/>
      <c r="K2" s="310"/>
      <c r="L2" s="310"/>
      <c r="M2" s="310"/>
      <c r="N2" s="160"/>
    </row>
    <row r="3" spans="1:14" ht="21.95" customHeight="1" x14ac:dyDescent="0.25">
      <c r="B3" s="324"/>
      <c r="C3" s="309"/>
      <c r="D3" s="583">
        <f>Inter!I24</f>
        <v>0</v>
      </c>
      <c r="E3" s="583"/>
      <c r="F3" s="583"/>
      <c r="G3" s="583"/>
      <c r="H3" s="311"/>
      <c r="I3" s="312"/>
      <c r="J3" s="313"/>
      <c r="K3" s="309"/>
      <c r="L3" s="314"/>
      <c r="M3" s="312" t="s">
        <v>317</v>
      </c>
      <c r="N3" s="160"/>
    </row>
    <row r="4" spans="1:14" ht="21.95" customHeight="1" x14ac:dyDescent="0.25">
      <c r="B4" s="324"/>
      <c r="C4" s="315"/>
      <c r="D4" s="316"/>
      <c r="E4" s="310"/>
      <c r="F4" s="309"/>
      <c r="G4" s="309"/>
      <c r="H4" s="309"/>
      <c r="I4" s="309"/>
      <c r="J4" s="309"/>
      <c r="K4" s="312"/>
      <c r="L4" s="311"/>
      <c r="M4" s="316"/>
      <c r="N4" s="160"/>
    </row>
    <row r="5" spans="1:14" ht="21.95" customHeight="1" x14ac:dyDescent="0.2">
      <c r="B5" s="325" t="e">
        <f>DATEVALUE("1/"&amp;#REF!&amp;"/"&amp;#REF!)</f>
        <v>#REF!</v>
      </c>
      <c r="C5" s="309"/>
      <c r="D5" s="584">
        <v>1</v>
      </c>
      <c r="E5" s="584"/>
      <c r="F5" s="584">
        <v>2</v>
      </c>
      <c r="G5" s="584"/>
      <c r="H5" s="584">
        <v>3</v>
      </c>
      <c r="I5" s="584"/>
      <c r="J5" s="584">
        <v>4</v>
      </c>
      <c r="K5" s="584"/>
      <c r="L5" s="584">
        <v>5</v>
      </c>
      <c r="M5" s="584"/>
      <c r="N5" s="160"/>
    </row>
    <row r="6" spans="1:14" ht="21.95" customHeight="1" x14ac:dyDescent="0.2">
      <c r="B6" s="326"/>
      <c r="C6" s="319"/>
      <c r="D6" s="320" t="s">
        <v>57</v>
      </c>
      <c r="E6" s="317" t="s">
        <v>58</v>
      </c>
      <c r="F6" s="320" t="s">
        <v>57</v>
      </c>
      <c r="G6" s="317" t="s">
        <v>58</v>
      </c>
      <c r="H6" s="320" t="s">
        <v>57</v>
      </c>
      <c r="I6" s="317" t="s">
        <v>58</v>
      </c>
      <c r="J6" s="320" t="s">
        <v>57</v>
      </c>
      <c r="K6" s="317" t="s">
        <v>58</v>
      </c>
      <c r="L6" s="320" t="s">
        <v>57</v>
      </c>
      <c r="M6" s="317" t="s">
        <v>58</v>
      </c>
      <c r="N6" s="160"/>
    </row>
    <row r="7" spans="1:14" ht="21.95" customHeight="1" x14ac:dyDescent="0.2">
      <c r="B7" s="161" t="s">
        <v>142</v>
      </c>
      <c r="C7" s="162">
        <v>5</v>
      </c>
      <c r="D7" s="239">
        <v>0.27083333333333331</v>
      </c>
      <c r="E7" s="240">
        <v>0.4826388888888889</v>
      </c>
      <c r="F7" s="239">
        <v>0.6777777777777777</v>
      </c>
      <c r="G7" s="240">
        <v>0.74305555555555547</v>
      </c>
      <c r="H7" s="239"/>
      <c r="I7" s="240"/>
      <c r="J7" s="239"/>
      <c r="K7" s="240"/>
      <c r="L7" s="239"/>
      <c r="M7" s="240"/>
      <c r="N7" s="160"/>
    </row>
    <row r="8" spans="1:14" ht="21.95" customHeight="1" x14ac:dyDescent="0.2">
      <c r="B8" s="163" t="s">
        <v>143</v>
      </c>
      <c r="C8" s="164">
        <v>6</v>
      </c>
      <c r="D8" s="241"/>
      <c r="E8" s="242"/>
      <c r="F8" s="241"/>
      <c r="G8" s="242"/>
      <c r="H8" s="241"/>
      <c r="I8" s="242"/>
      <c r="J8" s="241"/>
      <c r="K8" s="242"/>
      <c r="L8" s="241"/>
      <c r="M8" s="242"/>
      <c r="N8" s="160"/>
    </row>
    <row r="9" spans="1:14" ht="21.95" customHeight="1" x14ac:dyDescent="0.2">
      <c r="B9" s="163" t="s">
        <v>144</v>
      </c>
      <c r="C9" s="164">
        <v>7</v>
      </c>
      <c r="D9" s="241"/>
      <c r="E9" s="242"/>
      <c r="F9" s="241"/>
      <c r="G9" s="242"/>
      <c r="H9" s="241"/>
      <c r="I9" s="242"/>
      <c r="J9" s="241"/>
      <c r="K9" s="242"/>
      <c r="L9" s="241"/>
      <c r="M9" s="242"/>
      <c r="N9" s="160"/>
    </row>
    <row r="10" spans="1:14" ht="21.95" customHeight="1" x14ac:dyDescent="0.2">
      <c r="B10" s="163" t="s">
        <v>145</v>
      </c>
      <c r="C10" s="164">
        <v>8</v>
      </c>
      <c r="D10" s="241"/>
      <c r="E10" s="242"/>
      <c r="F10" s="241"/>
      <c r="G10" s="242"/>
      <c r="H10" s="241"/>
      <c r="I10" s="242"/>
      <c r="J10" s="241"/>
      <c r="K10" s="242"/>
      <c r="L10" s="241"/>
      <c r="M10" s="242"/>
      <c r="N10" s="160"/>
    </row>
    <row r="11" spans="1:14" ht="21.95" customHeight="1" x14ac:dyDescent="0.2">
      <c r="B11" s="163" t="s">
        <v>146</v>
      </c>
      <c r="C11" s="164">
        <v>9</v>
      </c>
      <c r="D11" s="241"/>
      <c r="E11" s="242"/>
      <c r="F11" s="241"/>
      <c r="G11" s="242"/>
      <c r="H11" s="241"/>
      <c r="I11" s="242"/>
      <c r="J11" s="241"/>
      <c r="K11" s="242"/>
      <c r="L11" s="241"/>
      <c r="M11" s="242"/>
      <c r="N11" s="160"/>
    </row>
    <row r="12" spans="1:14" ht="21.95" customHeight="1" x14ac:dyDescent="0.2">
      <c r="B12" s="163" t="s">
        <v>147</v>
      </c>
      <c r="C12" s="164">
        <v>10</v>
      </c>
      <c r="D12" s="241"/>
      <c r="E12" s="242"/>
      <c r="F12" s="241"/>
      <c r="G12" s="242"/>
      <c r="H12" s="241"/>
      <c r="I12" s="242"/>
      <c r="J12" s="241"/>
      <c r="K12" s="242"/>
      <c r="L12" s="241"/>
      <c r="M12" s="242"/>
      <c r="N12" s="160"/>
    </row>
    <row r="13" spans="1:14" ht="21.95" customHeight="1" x14ac:dyDescent="0.2">
      <c r="B13" s="165" t="s">
        <v>148</v>
      </c>
      <c r="C13" s="166">
        <v>11</v>
      </c>
      <c r="D13" s="243"/>
      <c r="E13" s="244"/>
      <c r="F13" s="243"/>
      <c r="G13" s="244"/>
      <c r="H13" s="243"/>
      <c r="I13" s="244"/>
      <c r="J13" s="243"/>
      <c r="K13" s="244"/>
      <c r="L13" s="243"/>
      <c r="M13" s="244"/>
      <c r="N13" s="160"/>
    </row>
    <row r="14" spans="1:14" ht="21.95" customHeight="1" x14ac:dyDescent="0.2">
      <c r="B14" s="321"/>
      <c r="C14" s="322"/>
      <c r="D14" s="323"/>
      <c r="E14" s="323"/>
      <c r="F14" s="323"/>
      <c r="G14" s="323"/>
      <c r="H14" s="323"/>
      <c r="I14" s="323"/>
      <c r="J14" s="323"/>
      <c r="K14" s="323"/>
      <c r="L14" s="323"/>
      <c r="M14" s="323"/>
      <c r="N14" s="160"/>
    </row>
    <row r="15" spans="1:14" ht="21.95" customHeight="1" x14ac:dyDescent="0.2">
      <c r="B15" s="309"/>
      <c r="C15" s="308"/>
      <c r="D15" s="309"/>
      <c r="E15" s="309"/>
      <c r="F15" s="309"/>
      <c r="G15" s="309"/>
      <c r="H15" s="318" t="s">
        <v>140</v>
      </c>
      <c r="I15" s="318"/>
      <c r="J15" s="318"/>
      <c r="K15" s="318" t="s">
        <v>141</v>
      </c>
      <c r="L15" s="318"/>
      <c r="M15" s="309"/>
      <c r="N15" s="160"/>
    </row>
    <row r="16" spans="1:14" ht="21.95" customHeight="1" x14ac:dyDescent="0.2">
      <c r="B16" s="309"/>
      <c r="C16" s="308"/>
      <c r="D16" s="309"/>
      <c r="E16" s="309"/>
      <c r="F16" s="309"/>
      <c r="G16" s="309"/>
      <c r="H16" s="318"/>
      <c r="I16" s="318"/>
      <c r="J16" s="318"/>
      <c r="K16" s="318"/>
      <c r="L16" s="318"/>
      <c r="M16" s="309"/>
    </row>
    <row r="17" spans="2:14" ht="21.95" customHeight="1" x14ac:dyDescent="0.2">
      <c r="B17" s="309"/>
      <c r="C17" s="309"/>
      <c r="D17" s="309"/>
      <c r="E17" s="309"/>
      <c r="F17" s="309"/>
      <c r="G17" s="309"/>
      <c r="H17" s="309"/>
      <c r="I17" s="310"/>
      <c r="J17" s="309"/>
      <c r="K17" s="309"/>
      <c r="L17" s="309"/>
      <c r="M17" s="309"/>
    </row>
    <row r="18" spans="2:14" ht="21.95" customHeight="1" x14ac:dyDescent="0.2">
      <c r="B18" s="309"/>
      <c r="C18" s="309"/>
      <c r="D18" s="309"/>
      <c r="E18" s="309"/>
      <c r="F18" s="309"/>
      <c r="G18" s="309"/>
      <c r="H18" s="309"/>
      <c r="I18" s="309"/>
      <c r="J18" s="309"/>
      <c r="K18" s="309"/>
      <c r="L18" s="309"/>
      <c r="M18" s="309"/>
    </row>
    <row r="19" spans="2:14" ht="21.95" customHeight="1" x14ac:dyDescent="0.2">
      <c r="B19" s="309"/>
      <c r="C19" s="309"/>
      <c r="D19" s="309"/>
      <c r="E19" s="309"/>
      <c r="F19" s="309"/>
      <c r="G19" s="309"/>
      <c r="H19" s="309"/>
      <c r="I19" s="309"/>
      <c r="J19" s="309"/>
      <c r="K19" s="309"/>
      <c r="L19" s="309"/>
      <c r="M19" s="309"/>
    </row>
    <row r="20" spans="2:14" ht="21.95" customHeight="1" x14ac:dyDescent="0.2">
      <c r="B20" s="309"/>
      <c r="C20" s="309"/>
      <c r="D20" s="309"/>
      <c r="E20" s="309"/>
      <c r="F20" s="309"/>
      <c r="G20" s="309"/>
      <c r="H20" s="309"/>
      <c r="I20" s="309"/>
      <c r="J20" s="309"/>
      <c r="K20" s="309"/>
      <c r="L20" s="309"/>
      <c r="M20" s="309"/>
      <c r="N20" s="159" t="s">
        <v>274</v>
      </c>
    </row>
  </sheetData>
  <sheetProtection selectLockedCells="1"/>
  <mergeCells count="7">
    <mergeCell ref="B1:M1"/>
    <mergeCell ref="D3:G3"/>
    <mergeCell ref="D5:E5"/>
    <mergeCell ref="F5:G5"/>
    <mergeCell ref="H5:I5"/>
    <mergeCell ref="J5:K5"/>
    <mergeCell ref="L5:M5"/>
  </mergeCells>
  <dataValidations count="1">
    <dataValidation type="list" allowBlank="1" showInputMessage="1" showErrorMessage="1" sqref="K4">
      <formula1>#REF!</formula1>
    </dataValidation>
  </dataValidations>
  <printOptions horizontalCentered="1" verticalCentered="1"/>
  <pageMargins left="0" right="0" top="0.39370078740157483" bottom="0.39370078740157483" header="0.31496062992125984" footer="0.31496062992125984"/>
  <pageSetup paperSize="9"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I87"/>
  <sheetViews>
    <sheetView workbookViewId="0">
      <pane ySplit="1" topLeftCell="A2" activePane="bottomLeft" state="frozen"/>
      <selection pane="bottomLeft" activeCell="L22" sqref="L22"/>
    </sheetView>
  </sheetViews>
  <sheetFormatPr baseColWidth="10" defaultRowHeight="15" x14ac:dyDescent="0.25"/>
  <cols>
    <col min="1" max="1" width="13.42578125" style="34" customWidth="1"/>
    <col min="2" max="4" width="11.42578125" style="34"/>
    <col min="5" max="5" width="30.42578125" style="34" customWidth="1"/>
    <col min="7" max="7" width="13.42578125" style="34" customWidth="1"/>
    <col min="8" max="8" width="11.42578125" style="343"/>
    <col min="9" max="9" width="14.85546875" style="346" customWidth="1"/>
  </cols>
  <sheetData>
    <row r="1" spans="1:9" ht="15.75" thickBot="1" x14ac:dyDescent="0.3">
      <c r="A1" s="35" t="s">
        <v>48</v>
      </c>
      <c r="B1" s="35" t="s">
        <v>49</v>
      </c>
      <c r="C1" s="35" t="s">
        <v>2</v>
      </c>
      <c r="D1" s="35" t="s">
        <v>3</v>
      </c>
      <c r="E1" s="35" t="s">
        <v>12</v>
      </c>
      <c r="G1" s="35" t="s">
        <v>48</v>
      </c>
      <c r="H1" s="16" t="s">
        <v>2</v>
      </c>
      <c r="I1" s="344" t="s">
        <v>105</v>
      </c>
    </row>
    <row r="2" spans="1:9" x14ac:dyDescent="0.25">
      <c r="A2" s="33"/>
      <c r="B2" s="33"/>
      <c r="C2" s="36"/>
      <c r="D2" s="37"/>
      <c r="E2" s="33"/>
      <c r="G2" s="33"/>
      <c r="H2" s="341"/>
      <c r="I2" s="345"/>
    </row>
    <row r="3" spans="1:9" x14ac:dyDescent="0.25">
      <c r="C3" s="38"/>
      <c r="D3" s="39"/>
      <c r="H3" s="342"/>
    </row>
    <row r="4" spans="1:9" x14ac:dyDescent="0.25">
      <c r="C4" s="38"/>
      <c r="D4" s="39"/>
      <c r="H4" s="342"/>
    </row>
    <row r="5" spans="1:9" x14ac:dyDescent="0.25">
      <c r="C5" s="38"/>
      <c r="D5" s="39"/>
      <c r="H5" s="342"/>
    </row>
    <row r="6" spans="1:9" x14ac:dyDescent="0.25">
      <c r="C6" s="38"/>
      <c r="D6" s="39"/>
      <c r="H6" s="342"/>
    </row>
    <row r="7" spans="1:9" x14ac:dyDescent="0.25">
      <c r="C7" s="38"/>
      <c r="D7" s="39"/>
      <c r="H7" s="342"/>
    </row>
    <row r="8" spans="1:9" x14ac:dyDescent="0.25">
      <c r="C8" s="38"/>
      <c r="D8" s="39"/>
      <c r="H8" s="342"/>
    </row>
    <row r="9" spans="1:9" x14ac:dyDescent="0.25">
      <c r="C9" s="38"/>
      <c r="D9" s="39"/>
      <c r="H9" s="342"/>
    </row>
    <row r="10" spans="1:9" x14ac:dyDescent="0.25">
      <c r="C10" s="38"/>
      <c r="D10" s="39"/>
      <c r="H10" s="342"/>
    </row>
    <row r="11" spans="1:9" x14ac:dyDescent="0.25">
      <c r="C11" s="38"/>
      <c r="D11" s="39"/>
      <c r="H11" s="342"/>
    </row>
    <row r="12" spans="1:9" x14ac:dyDescent="0.25">
      <c r="C12" s="38"/>
      <c r="D12" s="39"/>
      <c r="H12" s="342"/>
    </row>
    <row r="13" spans="1:9" x14ac:dyDescent="0.25">
      <c r="C13" s="38"/>
      <c r="D13" s="39"/>
      <c r="H13" s="342"/>
    </row>
    <row r="14" spans="1:9" x14ac:dyDescent="0.25">
      <c r="C14" s="38"/>
      <c r="D14" s="39"/>
      <c r="H14" s="342"/>
    </row>
    <row r="15" spans="1:9" x14ac:dyDescent="0.25">
      <c r="C15" s="38"/>
      <c r="D15" s="39"/>
      <c r="H15" s="342"/>
    </row>
    <row r="16" spans="1:9" x14ac:dyDescent="0.25">
      <c r="C16" s="38"/>
      <c r="D16" s="39"/>
      <c r="H16" s="342"/>
    </row>
    <row r="17" spans="3:8" x14ac:dyDescent="0.25">
      <c r="C17" s="38"/>
      <c r="D17" s="39"/>
      <c r="H17" s="342"/>
    </row>
    <row r="18" spans="3:8" x14ac:dyDescent="0.25">
      <c r="C18" s="38"/>
      <c r="D18" s="39"/>
      <c r="H18" s="342"/>
    </row>
    <row r="19" spans="3:8" x14ac:dyDescent="0.25">
      <c r="C19" s="38"/>
      <c r="D19" s="39"/>
      <c r="H19" s="342"/>
    </row>
    <row r="20" spans="3:8" x14ac:dyDescent="0.25">
      <c r="C20" s="38"/>
      <c r="D20" s="39"/>
      <c r="H20" s="342"/>
    </row>
    <row r="21" spans="3:8" x14ac:dyDescent="0.25">
      <c r="C21" s="38"/>
      <c r="D21" s="39"/>
      <c r="H21" s="342"/>
    </row>
    <row r="22" spans="3:8" x14ac:dyDescent="0.25">
      <c r="C22" s="38"/>
      <c r="D22" s="39"/>
      <c r="H22" s="342"/>
    </row>
    <row r="23" spans="3:8" x14ac:dyDescent="0.25">
      <c r="C23" s="38"/>
      <c r="D23" s="39"/>
      <c r="H23" s="342"/>
    </row>
    <row r="24" spans="3:8" x14ac:dyDescent="0.25">
      <c r="C24" s="38"/>
      <c r="D24" s="39"/>
      <c r="H24" s="342"/>
    </row>
    <row r="25" spans="3:8" x14ac:dyDescent="0.25">
      <c r="C25" s="38"/>
      <c r="D25" s="39"/>
      <c r="H25" s="342"/>
    </row>
    <row r="26" spans="3:8" x14ac:dyDescent="0.25">
      <c r="C26" s="38"/>
      <c r="D26" s="39"/>
      <c r="H26" s="342"/>
    </row>
    <row r="27" spans="3:8" x14ac:dyDescent="0.25">
      <c r="C27" s="38"/>
      <c r="D27" s="39"/>
      <c r="H27" s="342"/>
    </row>
    <row r="28" spans="3:8" x14ac:dyDescent="0.25">
      <c r="C28" s="38"/>
      <c r="D28" s="39"/>
      <c r="H28" s="342"/>
    </row>
    <row r="29" spans="3:8" x14ac:dyDescent="0.25">
      <c r="C29" s="38"/>
      <c r="D29" s="39"/>
      <c r="H29" s="342"/>
    </row>
    <row r="30" spans="3:8" x14ac:dyDescent="0.25">
      <c r="C30" s="38"/>
      <c r="D30" s="39"/>
      <c r="H30" s="342"/>
    </row>
    <row r="31" spans="3:8" x14ac:dyDescent="0.25">
      <c r="C31" s="38"/>
      <c r="D31" s="39"/>
      <c r="H31" s="342"/>
    </row>
    <row r="32" spans="3:8" x14ac:dyDescent="0.25">
      <c r="C32" s="38"/>
      <c r="D32" s="39"/>
      <c r="H32" s="342"/>
    </row>
    <row r="33" spans="3:8" x14ac:dyDescent="0.25">
      <c r="C33" s="38"/>
      <c r="D33" s="39"/>
      <c r="H33" s="342"/>
    </row>
    <row r="34" spans="3:8" x14ac:dyDescent="0.25">
      <c r="C34" s="38"/>
      <c r="D34" s="39"/>
      <c r="H34" s="342"/>
    </row>
    <row r="35" spans="3:8" x14ac:dyDescent="0.25">
      <c r="C35" s="38"/>
      <c r="D35" s="39"/>
      <c r="H35" s="342"/>
    </row>
    <row r="36" spans="3:8" x14ac:dyDescent="0.25">
      <c r="C36" s="38"/>
      <c r="D36" s="39"/>
      <c r="H36" s="342"/>
    </row>
    <row r="37" spans="3:8" x14ac:dyDescent="0.25">
      <c r="C37" s="38"/>
      <c r="D37" s="39"/>
      <c r="H37" s="342"/>
    </row>
    <row r="38" spans="3:8" x14ac:dyDescent="0.25">
      <c r="C38" s="38"/>
      <c r="D38" s="39"/>
      <c r="H38" s="342"/>
    </row>
    <row r="39" spans="3:8" x14ac:dyDescent="0.25">
      <c r="C39" s="38"/>
      <c r="D39" s="39"/>
      <c r="H39" s="342"/>
    </row>
    <row r="40" spans="3:8" x14ac:dyDescent="0.25">
      <c r="C40" s="38"/>
      <c r="D40" s="39"/>
      <c r="H40" s="342"/>
    </row>
    <row r="41" spans="3:8" x14ac:dyDescent="0.25">
      <c r="C41" s="38"/>
      <c r="D41" s="39"/>
      <c r="H41" s="342"/>
    </row>
    <row r="42" spans="3:8" x14ac:dyDescent="0.25">
      <c r="C42" s="38"/>
      <c r="D42" s="39"/>
      <c r="H42" s="342"/>
    </row>
    <row r="43" spans="3:8" x14ac:dyDescent="0.25">
      <c r="C43" s="38"/>
      <c r="D43" s="39"/>
      <c r="H43" s="342"/>
    </row>
    <row r="44" spans="3:8" x14ac:dyDescent="0.25">
      <c r="C44" s="38"/>
      <c r="D44" s="39"/>
      <c r="H44" s="342"/>
    </row>
    <row r="45" spans="3:8" x14ac:dyDescent="0.25">
      <c r="C45" s="38"/>
      <c r="D45" s="39"/>
      <c r="H45" s="342"/>
    </row>
    <row r="46" spans="3:8" x14ac:dyDescent="0.25">
      <c r="C46" s="38"/>
      <c r="D46" s="39"/>
      <c r="H46" s="342"/>
    </row>
    <row r="47" spans="3:8" x14ac:dyDescent="0.25">
      <c r="C47" s="38"/>
      <c r="D47" s="39"/>
      <c r="H47" s="342"/>
    </row>
    <row r="48" spans="3:8" x14ac:dyDescent="0.25">
      <c r="C48" s="38"/>
      <c r="D48" s="39"/>
      <c r="H48" s="342"/>
    </row>
    <row r="49" spans="3:8" x14ac:dyDescent="0.25">
      <c r="C49" s="38"/>
      <c r="D49" s="39"/>
      <c r="H49" s="342"/>
    </row>
    <row r="50" spans="3:8" x14ac:dyDescent="0.25">
      <c r="C50" s="38"/>
      <c r="D50" s="39"/>
      <c r="H50" s="342"/>
    </row>
    <row r="51" spans="3:8" x14ac:dyDescent="0.25">
      <c r="C51" s="38"/>
      <c r="D51" s="39"/>
      <c r="H51" s="342"/>
    </row>
    <row r="52" spans="3:8" x14ac:dyDescent="0.25">
      <c r="C52" s="38"/>
      <c r="D52" s="39"/>
      <c r="H52" s="342"/>
    </row>
    <row r="53" spans="3:8" x14ac:dyDescent="0.25">
      <c r="C53" s="38"/>
      <c r="D53" s="39"/>
      <c r="H53" s="342"/>
    </row>
    <row r="54" spans="3:8" x14ac:dyDescent="0.25">
      <c r="C54" s="38"/>
      <c r="D54" s="39"/>
      <c r="H54" s="342"/>
    </row>
    <row r="55" spans="3:8" x14ac:dyDescent="0.25">
      <c r="C55" s="38"/>
      <c r="D55" s="39"/>
      <c r="H55" s="342"/>
    </row>
    <row r="56" spans="3:8" x14ac:dyDescent="0.25">
      <c r="C56" s="38"/>
      <c r="D56" s="39"/>
      <c r="H56" s="342"/>
    </row>
    <row r="57" spans="3:8" x14ac:dyDescent="0.25">
      <c r="C57" s="38"/>
      <c r="D57" s="39"/>
      <c r="H57" s="342"/>
    </row>
    <row r="58" spans="3:8" x14ac:dyDescent="0.25">
      <c r="C58" s="38"/>
      <c r="D58" s="39"/>
      <c r="H58" s="342"/>
    </row>
    <row r="59" spans="3:8" x14ac:dyDescent="0.25">
      <c r="C59" s="38"/>
      <c r="D59" s="39"/>
      <c r="H59" s="342"/>
    </row>
    <row r="60" spans="3:8" x14ac:dyDescent="0.25">
      <c r="C60" s="38"/>
      <c r="D60" s="39"/>
      <c r="H60" s="342"/>
    </row>
    <row r="61" spans="3:8" x14ac:dyDescent="0.25">
      <c r="C61" s="38"/>
      <c r="D61" s="39"/>
      <c r="H61" s="342"/>
    </row>
    <row r="62" spans="3:8" x14ac:dyDescent="0.25">
      <c r="C62" s="38"/>
      <c r="D62" s="39"/>
      <c r="H62" s="342"/>
    </row>
    <row r="63" spans="3:8" x14ac:dyDescent="0.25">
      <c r="C63" s="38"/>
      <c r="D63" s="39"/>
      <c r="H63" s="342"/>
    </row>
    <row r="64" spans="3:8" x14ac:dyDescent="0.25">
      <c r="C64" s="38"/>
      <c r="D64" s="39"/>
      <c r="H64" s="342"/>
    </row>
    <row r="65" spans="3:8" x14ac:dyDescent="0.25">
      <c r="C65" s="38"/>
      <c r="D65" s="39"/>
      <c r="H65" s="342"/>
    </row>
    <row r="66" spans="3:8" x14ac:dyDescent="0.25">
      <c r="C66" s="38"/>
      <c r="D66" s="39"/>
      <c r="H66" s="342"/>
    </row>
    <row r="67" spans="3:8" x14ac:dyDescent="0.25">
      <c r="C67" s="38"/>
      <c r="D67" s="39"/>
      <c r="H67" s="342"/>
    </row>
    <row r="68" spans="3:8" x14ac:dyDescent="0.25">
      <c r="C68" s="38"/>
      <c r="D68" s="39"/>
      <c r="H68" s="342"/>
    </row>
    <row r="69" spans="3:8" x14ac:dyDescent="0.25">
      <c r="C69" s="38"/>
      <c r="D69" s="39"/>
      <c r="H69" s="342"/>
    </row>
    <row r="70" spans="3:8" x14ac:dyDescent="0.25">
      <c r="C70" s="38"/>
      <c r="D70" s="39"/>
      <c r="H70" s="342"/>
    </row>
    <row r="71" spans="3:8" x14ac:dyDescent="0.25">
      <c r="C71" s="38"/>
      <c r="D71" s="39"/>
      <c r="H71" s="342"/>
    </row>
    <row r="72" spans="3:8" x14ac:dyDescent="0.25">
      <c r="C72" s="38"/>
      <c r="D72" s="39"/>
      <c r="H72" s="342"/>
    </row>
    <row r="73" spans="3:8" x14ac:dyDescent="0.25">
      <c r="C73" s="38"/>
      <c r="D73" s="39"/>
      <c r="H73" s="342"/>
    </row>
    <row r="74" spans="3:8" x14ac:dyDescent="0.25">
      <c r="C74" s="38"/>
      <c r="D74" s="39"/>
      <c r="H74" s="342"/>
    </row>
    <row r="75" spans="3:8" x14ac:dyDescent="0.25">
      <c r="C75" s="38"/>
      <c r="D75" s="39"/>
      <c r="H75" s="342"/>
    </row>
    <row r="76" spans="3:8" x14ac:dyDescent="0.25">
      <c r="C76" s="38"/>
      <c r="D76" s="39"/>
      <c r="H76" s="342"/>
    </row>
    <row r="77" spans="3:8" x14ac:dyDescent="0.25">
      <c r="C77" s="38"/>
      <c r="D77" s="39"/>
      <c r="H77" s="342"/>
    </row>
    <row r="78" spans="3:8" x14ac:dyDescent="0.25">
      <c r="C78" s="38"/>
      <c r="D78" s="39"/>
      <c r="H78" s="342"/>
    </row>
    <row r="79" spans="3:8" x14ac:dyDescent="0.25">
      <c r="C79" s="38"/>
      <c r="D79" s="39"/>
      <c r="H79" s="342"/>
    </row>
    <row r="80" spans="3:8" x14ac:dyDescent="0.25">
      <c r="C80" s="38"/>
      <c r="D80" s="39"/>
      <c r="H80" s="342"/>
    </row>
    <row r="81" spans="3:8" x14ac:dyDescent="0.25">
      <c r="C81" s="38"/>
      <c r="D81" s="39"/>
      <c r="H81" s="342"/>
    </row>
    <row r="82" spans="3:8" x14ac:dyDescent="0.25">
      <c r="C82" s="38"/>
      <c r="D82" s="39"/>
      <c r="H82" s="342"/>
    </row>
    <row r="83" spans="3:8" x14ac:dyDescent="0.25">
      <c r="C83" s="38"/>
      <c r="D83" s="39"/>
    </row>
    <row r="84" spans="3:8" x14ac:dyDescent="0.25">
      <c r="C84" s="38"/>
      <c r="D84" s="39"/>
    </row>
    <row r="85" spans="3:8" x14ac:dyDescent="0.25">
      <c r="C85" s="38"/>
      <c r="D85" s="39"/>
    </row>
    <row r="86" spans="3:8" x14ac:dyDescent="0.25">
      <c r="C86" s="38"/>
      <c r="D86" s="39"/>
    </row>
    <row r="87" spans="3:8" x14ac:dyDescent="0.25">
      <c r="C87" s="38"/>
      <c r="D87" s="39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9</vt:i4>
      </vt:variant>
      <vt:variant>
        <vt:lpstr>Plages nommées</vt:lpstr>
      </vt:variant>
      <vt:variant>
        <vt:i4>2</vt:i4>
      </vt:variant>
    </vt:vector>
  </HeadingPairs>
  <TitlesOfParts>
    <vt:vector size="11" baseType="lpstr">
      <vt:lpstr>Inter</vt:lpstr>
      <vt:lpstr>Édition Pointages</vt:lpstr>
      <vt:lpstr>Gestion</vt:lpstr>
      <vt:lpstr>Saisie</vt:lpstr>
      <vt:lpstr>Calcul</vt:lpstr>
      <vt:lpstr>GPS_Data</vt:lpstr>
      <vt:lpstr>FHebdo</vt:lpstr>
      <vt:lpstr>FHebdo_O</vt:lpstr>
      <vt:lpstr>Archives</vt:lpstr>
      <vt:lpstr>test</vt:lpstr>
      <vt:lpstr>FHebdo_O!Zone_d_impression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Utilisateur Windows</dc:creator>
  <cp:lastModifiedBy>Utilisateur Windows</cp:lastModifiedBy>
  <cp:lastPrinted>2026-01-30T19:17:55Z</cp:lastPrinted>
  <dcterms:created xsi:type="dcterms:W3CDTF">2024-10-06T20:00:42Z</dcterms:created>
  <dcterms:modified xsi:type="dcterms:W3CDTF">2026-04-02T22:40:27Z</dcterms:modified>
</cp:coreProperties>
</file>