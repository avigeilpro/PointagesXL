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L40" i="93" s="1"/>
  <c r="BB40" i="93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L19" i="93" s="1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T34" i="93" s="1"/>
  <c r="AP34" i="93"/>
  <c r="AO34" i="93"/>
  <c r="AW33" i="93"/>
  <c r="AX33" i="93" s="1"/>
  <c r="AU33" i="93"/>
  <c r="AV33" i="93" s="1"/>
  <c r="AQ33" i="93" s="1"/>
  <c r="AS33" i="93"/>
  <c r="AP33" i="93"/>
  <c r="AO33" i="93"/>
  <c r="AW32" i="93"/>
  <c r="AX32" i="93" s="1"/>
  <c r="AU32" i="93"/>
  <c r="AV32" i="93" s="1"/>
  <c r="AS32" i="93"/>
  <c r="AT32" i="93" s="1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W29" i="93"/>
  <c r="AX29" i="93" s="1"/>
  <c r="AU29" i="93"/>
  <c r="AV29" i="93" s="1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Q31" i="93" l="1"/>
  <c r="AU12" i="93"/>
  <c r="AV12" i="93" s="1"/>
  <c r="AW12" i="93" s="1"/>
  <c r="AX12" i="93" s="1"/>
  <c r="AU8" i="93"/>
  <c r="AV8" i="93" s="1"/>
  <c r="AW8" i="93" s="1"/>
  <c r="AX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2" i="93"/>
  <c r="AR17" i="93"/>
  <c r="AQ35" i="93"/>
  <c r="AQ38" i="93"/>
  <c r="AQ10" i="93"/>
  <c r="AQ32" i="93"/>
  <c r="AR35" i="93"/>
  <c r="AR38" i="93"/>
  <c r="AR10" i="93"/>
  <c r="AQ11" i="93"/>
  <c r="AZ10" i="93"/>
  <c r="AZ26" i="93"/>
  <c r="AZ8" i="93"/>
  <c r="AQ25" i="93"/>
  <c r="AZ24" i="93"/>
  <c r="AR25" i="93"/>
  <c r="AQ8" i="93"/>
  <c r="AZ18" i="93"/>
  <c r="AR33" i="93"/>
  <c r="AQ27" i="93"/>
  <c r="AQ30" i="93"/>
  <c r="AR27" i="93"/>
  <c r="AR30" i="93"/>
  <c r="AQ34" i="93"/>
  <c r="AQ29" i="93"/>
  <c r="AR34" i="93"/>
  <c r="AZ36" i="93"/>
  <c r="AR26" i="93"/>
  <c r="AR29" i="93"/>
  <c r="AZ31" i="93"/>
  <c r="AZ32" i="93"/>
  <c r="AR36" i="93"/>
  <c r="AR11" i="93"/>
  <c r="AQ17" i="93"/>
  <c r="AR18" i="93"/>
  <c r="AR28" i="93"/>
  <c r="AT17" i="93"/>
  <c r="AZ17" i="93" s="1"/>
  <c r="AQ18" i="93"/>
  <c r="AT29" i="93"/>
  <c r="AZ29" i="93" s="1"/>
  <c r="AR31" i="93"/>
  <c r="AY31" i="93" s="1"/>
  <c r="AR32" i="93"/>
  <c r="AQ36" i="93"/>
  <c r="AR37" i="93"/>
  <c r="AT21" i="93"/>
  <c r="AR24" i="93"/>
  <c r="AQ28" i="93"/>
  <c r="AZ34" i="93"/>
  <c r="AT13" i="93"/>
  <c r="AQ20" i="93"/>
  <c r="AT33" i="93"/>
  <c r="AZ33" i="93" s="1"/>
  <c r="AZ39" i="93"/>
  <c r="AQ24" i="93"/>
  <c r="AZ37" i="93"/>
  <c r="AR8" i="93"/>
  <c r="AQ12" i="93"/>
  <c r="AQ26" i="93"/>
  <c r="BA10" i="93"/>
  <c r="AZ28" i="93"/>
  <c r="BA26" i="93"/>
  <c r="BA32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Y10" i="93"/>
  <c r="AT11" i="93"/>
  <c r="AZ11" i="93" s="1"/>
  <c r="AT19" i="93"/>
  <c r="AT27" i="93"/>
  <c r="AZ27" i="93" s="1"/>
  <c r="AT35" i="93"/>
  <c r="AZ35" i="93" s="1"/>
  <c r="BA37" i="93"/>
  <c r="AY39" i="93"/>
  <c r="BA34" i="93"/>
  <c r="BA31" i="93"/>
  <c r="BA39" i="93"/>
  <c r="BA12" i="93"/>
  <c r="AT15" i="93"/>
  <c r="BA28" i="93"/>
  <c r="BA36" i="93"/>
  <c r="AY34" i="93" l="1"/>
  <c r="AZ20" i="93"/>
  <c r="BA20" i="93"/>
  <c r="AY12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8" i="93"/>
  <c r="AY17" i="93"/>
  <c r="AY25" i="93"/>
  <c r="AY32" i="93"/>
  <c r="AY28" i="93"/>
  <c r="AY37" i="93"/>
  <c r="AY24" i="93"/>
  <c r="AY36" i="93"/>
  <c r="AY29" i="93"/>
  <c r="BA35" i="93"/>
  <c r="AY33" i="93"/>
  <c r="BA33" i="93"/>
  <c r="BA29" i="93"/>
  <c r="AY38" i="93"/>
  <c r="BA17" i="93"/>
  <c r="AY11" i="93"/>
  <c r="BA11" i="93"/>
  <c r="AY35" i="93"/>
  <c r="BA38" i="93"/>
  <c r="BA27" i="93"/>
  <c r="BA30" i="93"/>
  <c r="AY30" i="93"/>
  <c r="AY27" i="93"/>
  <c r="AV14" i="93" l="1"/>
  <c r="AW14" i="93"/>
  <c r="AX14" i="93" s="1"/>
  <c r="AR14" i="93" s="1"/>
  <c r="AX23" i="93"/>
  <c r="AR23" i="93" s="1"/>
  <c r="AY23" i="93" s="1"/>
  <c r="AZ23" i="93"/>
  <c r="BA23" i="93"/>
  <c r="AZ14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BA16" i="93"/>
  <c r="AV13" i="93"/>
  <c r="AW13" i="93" s="1"/>
  <c r="AX13" i="93" s="1"/>
  <c r="AR13" i="93" s="1"/>
  <c r="BA9" i="93" l="1"/>
  <c r="BA5" i="93"/>
  <c r="BA7" i="93"/>
  <c r="AZ22" i="93"/>
  <c r="AZ19" i="93"/>
  <c r="AQ15" i="93"/>
  <c r="AQ21" i="93"/>
  <c r="AY21" i="93" s="1"/>
  <c r="BA21" i="93"/>
  <c r="AQ19" i="93"/>
  <c r="AY19" i="93" s="1"/>
  <c r="BA19" i="93"/>
  <c r="AQ22" i="93"/>
  <c r="AY22" i="93" s="1"/>
  <c r="BA22" i="93"/>
  <c r="AQ14" i="93"/>
  <c r="AY14" i="93" s="1"/>
  <c r="BA14" i="93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15" i="93" l="1"/>
  <c r="AZ43" i="93" s="1"/>
  <c r="BA15" i="93"/>
  <c r="BA43" i="93" s="1"/>
  <c r="AY15" i="93"/>
  <c r="AY43" i="93" s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<sst xmlns="http://schemas.openxmlformats.org/spreadsheetml/2006/main" count="274" uniqueCount="156">
  <si>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</si>
  <si>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</si>
  <si>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</si>
  <si>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</si>
  <si>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</si>
  <si>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</si>
  <si>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</si>
  <si>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</si>
  <si>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</si>
  <si>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</si>
  <si>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</si>
  <si>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</si>
  <si>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</si>
  <si>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</si>
  <si>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</si>
  <si>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</si>
  <si>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</si>
  <si>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</si>
  <si>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</si>
  <si>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</si>
  <si>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</si>
  <si>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</si>
  <si>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</si>
  <si>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</si>
  <si>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</si>
  <si>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</si>
  <si>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</si>
  <si>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</si>
  <si>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</si>
  <si>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</si>
  <si>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</si>
  <si>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</si>
  <si>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</si>
  <si>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</si>
  <si>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</si>
  <si>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</si>
  <si>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</si>
  <si>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</si>
  <si>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</si>
  <si>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</si>
  <si>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</si>
  <si>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</si>
  <si>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</si>
  <si>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</si>
  <si>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</si>
  <si>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</si>
  <si>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</si>
  <si>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</si>
  <si>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</si>
  <si>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</si>
  <si>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</si>
  <si>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</si>
  <si>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</si>
  <si>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</si>
  <si>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</si>
  <si>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</si>
  <si>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</si>
  <si>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</si>
  <si>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</si>
  <si>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</si>
  <si>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</si>
  <si>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</si>
  <si>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</si>
  <si>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</si>
  <si>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</si>
  <si>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</si>
  <si>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</si>
  <si>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</si>
  <si>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</si>
  <si>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</si>
  <si>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</si>
  <si>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</si>
  <si>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</si>
  <si>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</si>
  <si>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</si>
  <si>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</si>
  <si>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</si>
  <si>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</si>
  <si>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</si>
  <si>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</si>
  <si>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</si>
  <si>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</si>
  <si>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</si>
  <si>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</si>
  <si>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</si>
  <si>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</si>
  <si>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</si>
  <si>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</si>
  <si>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</si>
  <si>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</si>
  <si>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</si>
  <si>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</si>
  <si>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</si>
  <si>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</si>
  <si>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</si>
  <si>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</si>
  <si>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</si>
  <si>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</si>
  <si>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</si>
  <si>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</si>
  <si>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</si>
  <si>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</si>
  <si>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</si>
  <si>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</si>
  <si>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</si>
  <si>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</si>
  <si>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</si>
  <si>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</si>
  <si>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</si>
  <si>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</si>
  <si>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</si>
  <si>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</si>
  <si>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</si>
  <si>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</si>
  <si>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</si>
  <si>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</si>
  <si>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</si>
  <si>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</si>
  <si>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</si>
  <si>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</si>
  <si>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</si>
  <si>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</si>
  <si>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</si>
  <si>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</si>
  <si>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</si>
  <si>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</si>
  <si>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</si>
  <si>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</si>
  <si>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</si>
  <si>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</si>
  <si>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</si>
  <si>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</si>
  <si>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</si>
  <si>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</si>
  <si>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</si>
  <si>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</si>
  <si>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</si>
  <si>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</si>
  <si>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</si>
  <si>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</si>
  <si>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</si>
  <si>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</si>
  <si>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</si>
  <si>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</si>
  <si>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</si>
  <si>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</si>
  <si>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</si>
  <si>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</si>
  <si>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</si>
  <si>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</si>
  <si>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</si>
  <si>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</si>
  <si>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</si>
  <si>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</si>
  <si>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PR</t>
  </si>
  <si>
    <t>Semaine n° 38 du 15/09/2025 au 21/09/2025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</si>
</sst>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13" fillId="12" borderId="53" xfId="0" applyFont="1" applyFill="1" applyBorder="1" applyAlignment="1">
      <alignment horizontal="right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C-CD3D-4296-B37B-F94A0980C87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D-CD3D-4296-B37B-F94A0980C87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E-CD3D-4296-B37B-F94A0980C87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F-CD3D-4296-B37B-F94A0980C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AI22" sqref="AI22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87" t="s">
        <v>153</v>
      </c>
      <c r="O1" s="387"/>
      <c r="P1" s="387"/>
      <c r="Q1" s="125"/>
      <c r="S1" s="387">
        <v>2025</v>
      </c>
      <c r="T1" s="387"/>
      <c r="X1" s="24" t="s">
        <v>75</v>
      </c>
      <c r="AA1" s="341"/>
      <c r="AB1" s="341"/>
      <c r="AC1" s="26"/>
      <c r="AD1" s="26"/>
      <c r="AE1" s="26"/>
    </row>
    <row r="2" spans="3:40" ht="15.75" thickBot="1" x14ac:dyDescent="0.3">
      <c r="E2" s="388" t="s">
        <v>76</v>
      </c>
      <c r="F2" s="389"/>
      <c r="G2" s="390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91"/>
      <c r="J23" s="392"/>
      <c r="K23" s="392"/>
      <c r="L23" s="392"/>
      <c r="M23" s="392"/>
      <c r="N23" s="393"/>
      <c r="Q23" s="310"/>
      <c r="R23" s="394" t="s">
        <v>77</v>
      </c>
      <c r="S23" s="378"/>
      <c r="T23" s="378"/>
      <c r="U23" s="378"/>
      <c r="V23" s="379"/>
    </row>
    <row r="24" spans="2:40" ht="15.75" thickBot="1" x14ac:dyDescent="0.3">
      <c r="B24" s="395" t="s">
        <v>78</v>
      </c>
      <c r="C24" s="396"/>
      <c r="D24" s="396"/>
      <c r="E24" s="396"/>
      <c r="F24" s="396"/>
      <c r="G24" s="396"/>
      <c r="H24" s="396"/>
      <c r="I24" s="397"/>
      <c r="J24" s="397"/>
      <c r="K24" s="397"/>
      <c r="L24" s="397"/>
      <c r="M24" s="397"/>
      <c r="N24" s="397"/>
      <c r="O24" s="396"/>
      <c r="P24" s="396"/>
      <c r="Q24" s="397"/>
      <c r="R24" s="396"/>
      <c r="S24" s="396"/>
      <c r="T24" s="396"/>
      <c r="U24" s="396"/>
      <c r="V24" s="396"/>
      <c r="W24" s="398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99">
        <v>1</v>
      </c>
      <c r="E25" s="399"/>
      <c r="F25" s="399">
        <v>2</v>
      </c>
      <c r="G25" s="399"/>
      <c r="H25" s="399">
        <v>3</v>
      </c>
      <c r="I25" s="399"/>
      <c r="J25" s="399">
        <v>4</v>
      </c>
      <c r="K25" s="399"/>
      <c r="L25" s="399">
        <v>5</v>
      </c>
      <c r="M25" s="385"/>
      <c r="N25" s="385">
        <v>6</v>
      </c>
      <c r="O25" s="386"/>
      <c r="P25" s="385">
        <v>7</v>
      </c>
      <c r="Q25" s="386"/>
      <c r="R25" s="385">
        <v>8</v>
      </c>
      <c r="S25" s="386"/>
      <c r="T25" s="385">
        <v>9</v>
      </c>
      <c r="U25" s="386"/>
      <c r="V25" s="385">
        <v>10</v>
      </c>
      <c r="W25" s="384"/>
      <c r="X25" s="371" t="s">
        <v>113</v>
      </c>
      <c r="Y25" s="372"/>
      <c r="Z25" s="373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83" t="s">
        <v>103</v>
      </c>
      <c r="AD26" s="384"/>
      <c r="AE26" s="383" t="s">
        <v>104</v>
      </c>
      <c r="AF26" s="384"/>
      <c r="AG26" s="376" t="s">
        <v>105</v>
      </c>
      <c r="AH26" s="376"/>
      <c r="AI26" s="376" t="s">
        <v>106</v>
      </c>
      <c r="AJ26" s="376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8"/>
      <c r="AB27" s="311"/>
      <c r="AC27" s="349"/>
      <c r="AD27" s="350"/>
      <c r="AE27" s="357" t="str">
        <f>TRUNC(SUM(AC27:AC33)*24,0) &amp; "h" &amp; RIGHT("00"&amp;ROUND(((SUM(AC27:AC33)*24)-TRUNC(SUM(AC27:AC33)*24,0))*60,2),2)</f>
        <v>0h00</v>
      </c>
      <c r="AF27" s="358"/>
      <c r="AG27" s="380"/>
      <c r="AH27" s="380"/>
      <c r="AI27" s="357" t="str">
        <f>TRUNC(SUM(AG27:AG33)*24,0) &amp; "h" &amp; RIGHT("00"&amp;ROUND(((SUM(AG27:AG33)*24)-TRUNC(SUM(AG27:AG33)*24,0))*60,2),2)</f>
        <v>0h00</v>
      </c>
      <c r="AJ27" s="358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47"/>
      <c r="AD28" s="348"/>
      <c r="AE28" s="359"/>
      <c r="AF28" s="360"/>
      <c r="AG28" s="344"/>
      <c r="AH28" s="344"/>
      <c r="AI28" s="359"/>
      <c r="AJ28" s="360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45"/>
      <c r="AD29" s="346"/>
      <c r="AE29" s="361"/>
      <c r="AF29" s="362"/>
      <c r="AG29" s="374"/>
      <c r="AH29" s="374"/>
      <c r="AI29" s="361"/>
      <c r="AJ29" s="362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47"/>
      <c r="AD30" s="348"/>
      <c r="AE30" s="359"/>
      <c r="AF30" s="360"/>
      <c r="AG30" s="344"/>
      <c r="AH30" s="344"/>
      <c r="AI30" s="359"/>
      <c r="AJ30" s="360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45"/>
      <c r="AD31" s="346"/>
      <c r="AE31" s="361"/>
      <c r="AF31" s="362"/>
      <c r="AG31" s="374"/>
      <c r="AH31" s="374"/>
      <c r="AI31" s="361"/>
      <c r="AJ31" s="362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47"/>
      <c r="AD32" s="348"/>
      <c r="AE32" s="359"/>
      <c r="AF32" s="360"/>
      <c r="AG32" s="344"/>
      <c r="AH32" s="344"/>
      <c r="AI32" s="359"/>
      <c r="AJ32" s="360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51"/>
      <c r="AD33" s="352"/>
      <c r="AE33" s="363"/>
      <c r="AF33" s="364"/>
      <c r="AG33" s="374"/>
      <c r="AH33" s="374"/>
      <c r="AI33" s="363"/>
      <c r="AJ33" s="364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53"/>
      <c r="AD34" s="354"/>
      <c r="AE34" s="365" t="str">
        <f>TRUNC(SUM(AC34:AC40)*24,0) &amp; "h" &amp; RIGHT("00"&amp;ROUND(((SUM(AC34:AC40)*24)-TRUNC(SUM(AC34:AC40)*24,0))*60,2),2)</f>
        <v>0h00</v>
      </c>
      <c r="AF34" s="366"/>
      <c r="AG34" s="344"/>
      <c r="AH34" s="344"/>
      <c r="AI34" s="365" t="str">
        <f>TRUNC(SUM(AG34:AG40)*24,0) &amp; "h" &amp; RIGHT("00"&amp;ROUND(((SUM(AG34:AG40)*24)-TRUNC(SUM(AG34:AG40)*24,0))*60,2),2)</f>
        <v>0h00</v>
      </c>
      <c r="AJ34" s="366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45"/>
      <c r="AD35" s="346"/>
      <c r="AE35" s="361"/>
      <c r="AF35" s="362"/>
      <c r="AG35" s="374"/>
      <c r="AH35" s="374"/>
      <c r="AI35" s="361"/>
      <c r="AJ35" s="362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47"/>
      <c r="AD36" s="348"/>
      <c r="AE36" s="359"/>
      <c r="AF36" s="360"/>
      <c r="AG36" s="344"/>
      <c r="AH36" s="344"/>
      <c r="AI36" s="359"/>
      <c r="AJ36" s="360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45"/>
      <c r="AD37" s="346"/>
      <c r="AE37" s="361"/>
      <c r="AF37" s="362"/>
      <c r="AG37" s="374"/>
      <c r="AH37" s="374"/>
      <c r="AI37" s="361"/>
      <c r="AJ37" s="362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47"/>
      <c r="AD38" s="348"/>
      <c r="AE38" s="359"/>
      <c r="AF38" s="360"/>
      <c r="AG38" s="344"/>
      <c r="AH38" s="344"/>
      <c r="AI38" s="359"/>
      <c r="AJ38" s="360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45"/>
      <c r="AD39" s="346"/>
      <c r="AE39" s="361"/>
      <c r="AF39" s="362"/>
      <c r="AG39" s="374"/>
      <c r="AH39" s="374"/>
      <c r="AI39" s="361"/>
      <c r="AJ39" s="362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81"/>
      <c r="AD40" s="382"/>
      <c r="AE40" s="367"/>
      <c r="AF40" s="368"/>
      <c r="AG40" s="344"/>
      <c r="AH40" s="344"/>
      <c r="AI40" s="367"/>
      <c r="AJ40" s="368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55"/>
      <c r="AD41" s="356"/>
      <c r="AE41" s="357" t="str">
        <f>TRUNC(SUM(AC41:AC47)*24,0) &amp; "h" &amp; RIGHT("00"&amp;ROUND(((SUM(AC41:AC47)*24)-TRUNC(SUM(AC41:AC47)*24,0))*60,2),2)</f>
        <v>0h00</v>
      </c>
      <c r="AF41" s="358"/>
      <c r="AG41" s="374"/>
      <c r="AH41" s="374"/>
      <c r="AI41" s="357" t="str">
        <f>TRUNC(SUM(AG41:AG47)*24,0) &amp; "h" &amp; RIGHT("00"&amp;ROUND(((SUM(AG41:AG47)*24)-TRUNC(SUM(AG41:AG47)*24,0))*60,2),2)</f>
        <v>0h00</v>
      </c>
      <c r="AJ41" s="358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47"/>
      <c r="AD42" s="348"/>
      <c r="AE42" s="359"/>
      <c r="AF42" s="360"/>
      <c r="AG42" s="344"/>
      <c r="AH42" s="344"/>
      <c r="AI42" s="359"/>
      <c r="AJ42" s="360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45"/>
      <c r="AD43" s="346"/>
      <c r="AE43" s="361"/>
      <c r="AF43" s="362"/>
      <c r="AG43" s="374"/>
      <c r="AH43" s="374"/>
      <c r="AI43" s="361"/>
      <c r="AJ43" s="362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47"/>
      <c r="AD44" s="348"/>
      <c r="AE44" s="359"/>
      <c r="AF44" s="360"/>
      <c r="AG44" s="344"/>
      <c r="AH44" s="344"/>
      <c r="AI44" s="359"/>
      <c r="AJ44" s="360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45"/>
      <c r="AD45" s="346"/>
      <c r="AE45" s="361"/>
      <c r="AF45" s="362"/>
      <c r="AG45" s="374"/>
      <c r="AH45" s="374"/>
      <c r="AI45" s="361"/>
      <c r="AJ45" s="362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47"/>
      <c r="AD46" s="348"/>
      <c r="AE46" s="359"/>
      <c r="AF46" s="360"/>
      <c r="AG46" s="344"/>
      <c r="AH46" s="344"/>
      <c r="AI46" s="359"/>
      <c r="AJ46" s="360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51"/>
      <c r="AD47" s="352"/>
      <c r="AE47" s="363"/>
      <c r="AF47" s="364"/>
      <c r="AG47" s="374"/>
      <c r="AH47" s="374"/>
      <c r="AI47" s="363"/>
      <c r="AJ47" s="364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53"/>
      <c r="AD48" s="354"/>
      <c r="AE48" s="365" t="str">
        <f>TRUNC(SUM(AC48:AC54)*24,0) &amp; "h" &amp; RIGHT("00"&amp;ROUND(((SUM(AC48:AC54)*24)-TRUNC(SUM(AC48:AC54)*24,0))*60,2),2)</f>
        <v>0h00</v>
      </c>
      <c r="AF48" s="366"/>
      <c r="AG48" s="344"/>
      <c r="AH48" s="344"/>
      <c r="AI48" s="365" t="str">
        <f>TRUNC(SUM(AG48:AG54)*24,0) &amp; "h" &amp; RIGHT("00"&amp;ROUND(((SUM(AG48:AG54)*24)-TRUNC(SUM(AG48:AG54)*24,0))*60,2),2)</f>
        <v>0h00</v>
      </c>
      <c r="AJ48" s="366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45"/>
      <c r="AD49" s="346"/>
      <c r="AE49" s="361"/>
      <c r="AF49" s="362"/>
      <c r="AG49" s="374"/>
      <c r="AH49" s="374"/>
      <c r="AI49" s="361"/>
      <c r="AJ49" s="362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47"/>
      <c r="AD50" s="348"/>
      <c r="AE50" s="359"/>
      <c r="AF50" s="360"/>
      <c r="AG50" s="344"/>
      <c r="AH50" s="344"/>
      <c r="AI50" s="359"/>
      <c r="AJ50" s="360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45"/>
      <c r="AD51" s="346"/>
      <c r="AE51" s="361"/>
      <c r="AF51" s="362"/>
      <c r="AG51" s="374"/>
      <c r="AH51" s="374"/>
      <c r="AI51" s="361"/>
      <c r="AJ51" s="362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47"/>
      <c r="AD52" s="348"/>
      <c r="AE52" s="359"/>
      <c r="AF52" s="360"/>
      <c r="AG52" s="344"/>
      <c r="AH52" s="344"/>
      <c r="AI52" s="359"/>
      <c r="AJ52" s="360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45"/>
      <c r="AD53" s="346"/>
      <c r="AE53" s="361"/>
      <c r="AF53" s="362"/>
      <c r="AG53" s="374"/>
      <c r="AH53" s="374"/>
      <c r="AI53" s="361"/>
      <c r="AJ53" s="362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81"/>
      <c r="AD54" s="382"/>
      <c r="AE54" s="367"/>
      <c r="AF54" s="368"/>
      <c r="AG54" s="344"/>
      <c r="AH54" s="344"/>
      <c r="AI54" s="367"/>
      <c r="AJ54" s="368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55"/>
      <c r="AD55" s="356"/>
      <c r="AE55" s="357" t="str">
        <f>TRUNC(SUM(AC55:AC61)*24,0) &amp; "h" &amp; RIGHT("00"&amp;ROUND(((SUM(AC55:AC61)*24)-TRUNC(SUM(AC55:AC61)*24,0))*60,2),2)</f>
        <v>0h00</v>
      </c>
      <c r="AF55" s="358"/>
      <c r="AG55" s="374"/>
      <c r="AH55" s="374"/>
      <c r="AI55" s="357" t="str">
        <f>TRUNC(SUM(AG55:AG61)*24,0) &amp; "h" &amp; RIGHT("00"&amp;ROUND(((SUM(AG55:AG61)*24)-TRUNC(SUM(AG55:AG61)*24,0))*60,2),2)</f>
        <v>0h00</v>
      </c>
      <c r="AJ55" s="358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47"/>
      <c r="AD56" s="348"/>
      <c r="AE56" s="359"/>
      <c r="AF56" s="360"/>
      <c r="AG56" s="344"/>
      <c r="AH56" s="344"/>
      <c r="AI56" s="359"/>
      <c r="AJ56" s="360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45"/>
      <c r="AD57" s="346"/>
      <c r="AE57" s="361"/>
      <c r="AF57" s="362"/>
      <c r="AG57" s="374"/>
      <c r="AH57" s="374"/>
      <c r="AI57" s="361"/>
      <c r="AJ57" s="362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47"/>
      <c r="AD58" s="348"/>
      <c r="AE58" s="359"/>
      <c r="AF58" s="360"/>
      <c r="AG58" s="344"/>
      <c r="AH58" s="344"/>
      <c r="AI58" s="359"/>
      <c r="AJ58" s="360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45"/>
      <c r="AD59" s="346"/>
      <c r="AE59" s="361"/>
      <c r="AF59" s="362"/>
      <c r="AG59" s="374"/>
      <c r="AH59" s="374"/>
      <c r="AI59" s="361"/>
      <c r="AJ59" s="362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47"/>
      <c r="AD60" s="348"/>
      <c r="AE60" s="359"/>
      <c r="AF60" s="360"/>
      <c r="AG60" s="344"/>
      <c r="AH60" s="344"/>
      <c r="AI60" s="359"/>
      <c r="AJ60" s="360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69"/>
      <c r="AD61" s="370"/>
      <c r="AE61" s="361"/>
      <c r="AF61" s="362"/>
      <c r="AG61" s="375"/>
      <c r="AH61" s="375"/>
      <c r="AI61" s="361"/>
      <c r="AJ61" s="362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38" t="s">
        <v>129</v>
      </c>
      <c r="W62" s="338"/>
      <c r="X62" s="338"/>
      <c r="Y62" s="338"/>
      <c r="Z62" s="338"/>
      <c r="AA62" s="322"/>
      <c r="AB62" s="322">
        <f>MAX(AB27:AB61)</f>
        <v>0</v>
      </c>
      <c r="AC62" s="339"/>
      <c r="AD62" s="339"/>
      <c r="AE62" s="342" t="str">
        <f>TRUNC(SUM(AC27:AC61)*24,0) &amp; "h" &amp; RIGHT("00"&amp;ROUND(((SUM(AC27:AC61)*24)-TRUNC(SUM(AC27:AC61)*24,0))*60,2),2)</f>
        <v>0h00</v>
      </c>
      <c r="AF62" s="342"/>
      <c r="AG62" s="340"/>
      <c r="AH62" s="340"/>
      <c r="AI62" s="343" t="str">
        <f>TRUNC(SUM(AG27:AG61)*24,0) &amp; "h" &amp; RIGHT("00"&amp;ROUND(((SUM(AG27:AG61)*24)-TRUNC(SUM(AG27:AG61)*24,0))*60,2),2)</f>
        <v>0h00</v>
      </c>
      <c r="AJ62" s="343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41" t="s">
        <v>155</v>
      </c>
      <c r="F66" s="341"/>
      <c r="G66" s="341"/>
      <c r="H66" s="341"/>
      <c r="I66" s="341"/>
      <c r="J66" s="341"/>
      <c r="K66" s="341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77" t="s">
        <v>108</v>
      </c>
      <c r="F68" s="378"/>
      <c r="G68" s="378"/>
      <c r="H68" s="378"/>
      <c r="I68" s="378"/>
      <c r="J68" s="378"/>
      <c r="K68" s="379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3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408"/>
      <c r="F2" s="408"/>
      <c r="G2" s="408"/>
      <c r="H2" s="408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00"/>
      <c r="F4" s="400"/>
      <c r="G4" s="400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04" t="s">
        <v>12</v>
      </c>
      <c r="I9" s="405"/>
      <c r="O9" s="323"/>
      <c r="P9" s="324"/>
      <c r="Q9" s="325"/>
      <c r="R9" s="326"/>
      <c r="S9" s="327"/>
    </row>
    <row r="10" spans="4:28" ht="15.75" thickBot="1" x14ac:dyDescent="0.3">
      <c r="D10" s="23"/>
      <c r="E10" s="292"/>
      <c r="F10" s="293"/>
      <c r="G10" s="294"/>
      <c r="H10" s="406"/>
      <c r="I10" s="407"/>
      <c r="O10" s="329"/>
      <c r="P10" s="330"/>
      <c r="Q10" s="331"/>
      <c r="R10" s="332"/>
      <c r="S10" s="333"/>
    </row>
    <row r="11" spans="4:28" x14ac:dyDescent="0.25">
      <c r="O11" s="329"/>
      <c r="P11" s="330"/>
      <c r="Q11" s="331"/>
      <c r="R11" s="332"/>
      <c r="S11" s="333"/>
    </row>
    <row r="12" spans="4:28" x14ac:dyDescent="0.25">
      <c r="O12" s="329"/>
      <c r="P12" s="330"/>
      <c r="Q12" s="331"/>
      <c r="R12" s="332"/>
      <c r="S12" s="333"/>
    </row>
    <row r="13" spans="4:28" x14ac:dyDescent="0.25">
      <c r="O13" s="329"/>
      <c r="P13" s="330"/>
      <c r="Q13" s="331"/>
      <c r="R13" s="332"/>
      <c r="S13" s="333"/>
    </row>
    <row r="14" spans="4:28" x14ac:dyDescent="0.25">
      <c r="O14" s="329"/>
      <c r="P14" s="330"/>
      <c r="Q14" s="331"/>
      <c r="R14" s="332"/>
      <c r="S14" s="333"/>
    </row>
    <row r="15" spans="4:28" x14ac:dyDescent="0.25">
      <c r="O15" s="329"/>
      <c r="P15" s="330"/>
      <c r="Q15" s="331"/>
      <c r="R15" s="332"/>
      <c r="S15" s="333"/>
    </row>
    <row r="16" spans="4:28" ht="15.75" thickBot="1" x14ac:dyDescent="0.3">
      <c r="O16" s="329"/>
      <c r="P16" s="330"/>
      <c r="Q16" s="331"/>
      <c r="R16" s="332"/>
      <c r="S16" s="333"/>
    </row>
    <row r="17" spans="4:19" ht="15.75" thickBot="1" x14ac:dyDescent="0.3">
      <c r="D17" s="401" t="s">
        <v>17</v>
      </c>
      <c r="E17" s="402"/>
      <c r="F17" s="402"/>
      <c r="G17" s="403"/>
      <c r="O17" s="329"/>
      <c r="P17" s="330"/>
      <c r="Q17" s="331"/>
      <c r="R17" s="332"/>
      <c r="S17" s="333"/>
    </row>
    <row r="18" spans="4:19" x14ac:dyDescent="0.25">
      <c r="D18" s="5"/>
      <c r="G18" s="6"/>
      <c r="O18" s="329"/>
      <c r="P18" s="330"/>
      <c r="Q18" s="331"/>
      <c r="R18" s="332"/>
      <c r="S18" s="333"/>
    </row>
    <row r="19" spans="4:19" x14ac:dyDescent="0.25">
      <c r="D19" s="5" t="s">
        <v>18</v>
      </c>
      <c r="E19" s="1"/>
      <c r="G19" s="6"/>
      <c r="O19" s="329"/>
      <c r="P19" s="330"/>
      <c r="Q19" s="331"/>
      <c r="R19" s="332"/>
      <c r="S19" s="333"/>
    </row>
    <row r="20" spans="4:19" ht="15.75" thickBot="1" x14ac:dyDescent="0.3">
      <c r="D20" s="16" t="s">
        <v>19</v>
      </c>
      <c r="E20" s="17"/>
      <c r="F20" s="7"/>
      <c r="G20" s="8"/>
      <c r="O20" s="329"/>
      <c r="P20" s="330"/>
      <c r="Q20" s="331"/>
      <c r="R20" s="332"/>
      <c r="S20" s="333"/>
    </row>
    <row r="21" spans="4:19" x14ac:dyDescent="0.25">
      <c r="O21" s="329"/>
      <c r="P21" s="330"/>
      <c r="Q21" s="331"/>
      <c r="R21" s="332"/>
      <c r="S21" s="333"/>
    </row>
    <row r="22" spans="4:19" x14ac:dyDescent="0.25">
      <c r="E22" s="40"/>
      <c r="O22" s="329"/>
      <c r="P22" s="330"/>
      <c r="Q22" s="331"/>
      <c r="R22" s="332"/>
      <c r="S22" s="333"/>
    </row>
    <row r="23" spans="4:19" x14ac:dyDescent="0.25">
      <c r="O23" s="329"/>
      <c r="P23" s="330"/>
      <c r="Q23" s="331"/>
      <c r="R23" s="332"/>
      <c r="S23" s="333"/>
    </row>
    <row r="24" spans="4:19" x14ac:dyDescent="0.25">
      <c r="O24" s="329"/>
      <c r="P24" s="330"/>
      <c r="Q24" s="331"/>
      <c r="R24" s="332"/>
      <c r="S24" s="333"/>
    </row>
    <row r="25" spans="4:19" x14ac:dyDescent="0.25">
      <c r="O25" s="329"/>
      <c r="P25" s="330"/>
      <c r="Q25" s="331"/>
      <c r="R25" s="332"/>
      <c r="S25" s="333"/>
    </row>
    <row r="26" spans="4:19" x14ac:dyDescent="0.25">
      <c r="O26" s="329"/>
      <c r="P26" s="330"/>
      <c r="Q26" s="331"/>
      <c r="R26" s="332"/>
      <c r="S26" s="333"/>
    </row>
    <row r="27" spans="4:19" x14ac:dyDescent="0.25">
      <c r="O27" s="329"/>
      <c r="P27" s="330"/>
      <c r="Q27" s="331"/>
      <c r="R27" s="332"/>
      <c r="S27" s="333"/>
    </row>
    <row r="28" spans="4:19" x14ac:dyDescent="0.25">
      <c r="O28" s="329"/>
      <c r="P28" s="330"/>
      <c r="Q28" s="331"/>
      <c r="R28" s="332"/>
      <c r="S28" s="333"/>
    </row>
    <row r="29" spans="4:19" x14ac:dyDescent="0.25">
      <c r="O29" s="329"/>
      <c r="P29" s="330"/>
      <c r="Q29" s="331"/>
      <c r="R29" s="332"/>
      <c r="S29" s="333"/>
    </row>
    <row r="30" spans="4:19" x14ac:dyDescent="0.25">
      <c r="O30" s="329"/>
      <c r="P30" s="330"/>
      <c r="Q30" s="331"/>
      <c r="R30" s="332"/>
      <c r="S30" s="333"/>
    </row>
    <row r="31" spans="4:19" x14ac:dyDescent="0.25">
      <c r="O31" s="329"/>
      <c r="P31" s="330"/>
      <c r="Q31" s="331"/>
      <c r="R31" s="332"/>
      <c r="S31" s="333"/>
    </row>
    <row r="32" spans="4:19" x14ac:dyDescent="0.25">
      <c r="O32" s="329"/>
      <c r="P32" s="330"/>
      <c r="Q32" s="331"/>
      <c r="R32" s="332"/>
      <c r="S32" s="333"/>
    </row>
    <row r="33" spans="15:19" x14ac:dyDescent="0.25">
      <c r="O33" s="329"/>
      <c r="P33" s="332"/>
      <c r="Q33" s="331"/>
      <c r="R33" s="332"/>
      <c r="S33" s="333"/>
    </row>
    <row r="34" spans="15:19" x14ac:dyDescent="0.25">
      <c r="O34" s="329"/>
      <c r="P34" s="332"/>
      <c r="Q34" s="331"/>
      <c r="R34" s="332"/>
      <c r="S34" s="333"/>
    </row>
    <row r="35" spans="15:19" x14ac:dyDescent="0.25">
      <c r="O35" s="329"/>
      <c r="P35" s="332"/>
      <c r="Q35" s="331"/>
      <c r="R35" s="332"/>
      <c r="S35" s="333"/>
    </row>
    <row r="36" spans="15:19" x14ac:dyDescent="0.25">
      <c r="O36" s="329"/>
      <c r="P36" s="332"/>
      <c r="Q36" s="331"/>
      <c r="R36" s="332"/>
      <c r="S36" s="333"/>
    </row>
    <row r="37" spans="15:19" x14ac:dyDescent="0.25">
      <c r="O37" s="329"/>
      <c r="P37" s="332"/>
      <c r="Q37" s="331"/>
      <c r="R37" s="332"/>
      <c r="S37" s="333"/>
    </row>
    <row r="38" spans="15:19" x14ac:dyDescent="0.25">
      <c r="O38" s="329"/>
      <c r="P38" s="332"/>
      <c r="Q38" s="331"/>
      <c r="R38" s="332"/>
      <c r="S38" s="333"/>
    </row>
    <row r="39" spans="15:19" x14ac:dyDescent="0.25">
      <c r="O39" s="329"/>
      <c r="P39" s="332"/>
      <c r="Q39" s="331"/>
      <c r="R39" s="332"/>
      <c r="S39" s="333"/>
    </row>
    <row r="40" spans="15:19" x14ac:dyDescent="0.25">
      <c r="O40" s="329"/>
      <c r="P40" s="332"/>
      <c r="Q40" s="331"/>
      <c r="R40" s="332"/>
      <c r="S40" s="333"/>
    </row>
    <row r="41" spans="15:19" x14ac:dyDescent="0.25">
      <c r="O41" s="329"/>
      <c r="P41" s="332"/>
      <c r="Q41" s="331"/>
      <c r="R41" s="332"/>
      <c r="S41" s="333"/>
    </row>
    <row r="42" spans="15:19" x14ac:dyDescent="0.25">
      <c r="O42" s="329"/>
      <c r="P42" s="332"/>
      <c r="Q42" s="331"/>
      <c r="R42" s="332"/>
      <c r="S42" s="333"/>
    </row>
    <row r="43" spans="15:19" x14ac:dyDescent="0.25">
      <c r="O43" s="329"/>
      <c r="P43" s="332"/>
      <c r="Q43" s="331"/>
      <c r="R43" s="332"/>
      <c r="S43" s="333"/>
    </row>
    <row r="44" spans="15:19" x14ac:dyDescent="0.25">
      <c r="O44" s="329"/>
      <c r="P44" s="332"/>
      <c r="Q44" s="331"/>
      <c r="R44" s="332"/>
      <c r="S44" s="333"/>
    </row>
    <row r="45" spans="15:19" x14ac:dyDescent="0.25">
      <c r="O45" s="329"/>
      <c r="P45" s="332"/>
      <c r="Q45" s="331"/>
      <c r="R45" s="332"/>
      <c r="S45" s="333"/>
    </row>
    <row r="46" spans="15:19" x14ac:dyDescent="0.25">
      <c r="O46" s="329"/>
      <c r="P46" s="332"/>
      <c r="Q46" s="331"/>
      <c r="R46" s="332"/>
      <c r="S46" s="333"/>
    </row>
    <row r="47" spans="15:19" x14ac:dyDescent="0.25">
      <c r="O47" s="329"/>
      <c r="P47" s="332"/>
      <c r="Q47" s="331"/>
      <c r="R47" s="332"/>
      <c r="S47" s="333"/>
    </row>
    <row r="48" spans="15:19" x14ac:dyDescent="0.25">
      <c r="O48" s="329"/>
      <c r="P48" s="332"/>
      <c r="Q48" s="331"/>
      <c r="R48" s="332"/>
      <c r="S48" s="333"/>
    </row>
    <row r="49" spans="15:19" ht="15.75" thickBot="1" x14ac:dyDescent="0.3">
      <c r="O49" s="334"/>
      <c r="P49" s="335"/>
      <c r="Q49" s="336"/>
      <c r="R49" s="335"/>
      <c r="S49" s="337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9" t="s">
        <v>45</v>
      </c>
      <c r="M2" s="410"/>
      <c r="N2" s="410"/>
      <c r="O2" s="410"/>
      <c r="P2" s="410"/>
      <c r="Q2" s="411"/>
    </row>
    <row r="3" spans="1:17" ht="15.75" thickBot="1" x14ac:dyDescent="0.3">
      <c r="A3" s="231"/>
      <c r="B3" s="242"/>
      <c r="C3" s="249"/>
      <c r="D3" s="233"/>
      <c r="L3" s="412"/>
      <c r="M3" s="413"/>
      <c r="N3" s="413"/>
      <c r="O3" s="413"/>
      <c r="P3" s="413"/>
      <c r="Q3" s="414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15" t="s">
        <v>46</v>
      </c>
      <c r="O13" s="415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41"/>
      <c r="D39" s="341"/>
      <c r="E39" s="3" t="s">
        <v>27</v>
      </c>
    </row>
    <row r="41" spans="1:17" s="24" customFormat="1" ht="15.75" x14ac:dyDescent="0.25">
      <c r="B41" s="24" t="s">
        <v>36</v>
      </c>
      <c r="C41" s="475"/>
      <c r="E41" s="25" t="s">
        <v>37</v>
      </c>
    </row>
    <row r="42" spans="1:17" s="24" customFormat="1" ht="15.75" x14ac:dyDescent="0.25">
      <c r="B42" s="24" t="s">
        <v>38</v>
      </c>
      <c r="C42" s="476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75"/>
      <c r="E44" s="4" t="s">
        <v>9</v>
      </c>
    </row>
    <row r="45" spans="1:17" x14ac:dyDescent="0.25">
      <c r="B45" s="2" t="s">
        <v>6</v>
      </c>
      <c r="C45" s="476"/>
      <c r="E45" s="4" t="s">
        <v>10</v>
      </c>
    </row>
    <row r="46" spans="1:17" x14ac:dyDescent="0.25">
      <c r="B46" s="2" t="s">
        <v>7</v>
      </c>
      <c r="C46" s="476"/>
    </row>
    <row r="47" spans="1:17" x14ac:dyDescent="0.25">
      <c r="B47" s="2" t="s">
        <v>8</v>
      </c>
      <c r="C47" s="476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26"/>
      <c r="B2" s="427"/>
      <c r="C2" s="427"/>
      <c r="D2" s="427"/>
      <c r="E2" s="427"/>
      <c r="F2" s="427"/>
      <c r="G2" s="427"/>
      <c r="H2" s="428" t="s">
        <v>53</v>
      </c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9"/>
      <c r="U2" s="430">
        <v>0</v>
      </c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20" t="s">
        <v>54</v>
      </c>
      <c r="AP2" s="421"/>
      <c r="AQ2" s="421"/>
      <c r="AR2" s="421"/>
      <c r="AS2" s="421"/>
      <c r="AT2" s="421"/>
      <c r="AU2" s="421"/>
      <c r="AV2" s="421"/>
      <c r="AW2" s="421"/>
      <c r="AX2" s="421"/>
      <c r="AY2" s="421"/>
      <c r="AZ2" s="421"/>
      <c r="BA2" s="422"/>
      <c r="BB2" s="423"/>
      <c r="BC2" s="424"/>
      <c r="BD2" s="424"/>
      <c r="BE2" s="424"/>
      <c r="BF2" s="424"/>
      <c r="BG2" s="424"/>
      <c r="BH2" s="424"/>
      <c r="BI2" s="424"/>
      <c r="BJ2" s="424"/>
      <c r="BK2" s="424"/>
      <c r="BL2" s="425"/>
    </row>
    <row r="3" spans="1:65" ht="15.75" thickBot="1" x14ac:dyDescent="0.3">
      <c r="A3" s="399">
        <v>1</v>
      </c>
      <c r="B3" s="399"/>
      <c r="C3" s="399">
        <v>2</v>
      </c>
      <c r="D3" s="399"/>
      <c r="E3" s="399">
        <v>3</v>
      </c>
      <c r="F3" s="399"/>
      <c r="G3" s="399">
        <v>4</v>
      </c>
      <c r="H3" s="399"/>
      <c r="I3" s="385">
        <v>5</v>
      </c>
      <c r="J3" s="386"/>
      <c r="K3" s="385">
        <v>6</v>
      </c>
      <c r="L3" s="386"/>
      <c r="M3" s="385">
        <v>7</v>
      </c>
      <c r="N3" s="386"/>
      <c r="O3" s="385">
        <v>8</v>
      </c>
      <c r="P3" s="386"/>
      <c r="Q3" s="385">
        <v>9</v>
      </c>
      <c r="R3" s="386"/>
      <c r="S3" s="385">
        <v>10</v>
      </c>
      <c r="T3" s="384"/>
      <c r="U3" s="383">
        <v>1</v>
      </c>
      <c r="V3" s="386"/>
      <c r="W3" s="385">
        <v>2</v>
      </c>
      <c r="X3" s="386"/>
      <c r="Y3" s="385">
        <v>3</v>
      </c>
      <c r="Z3" s="386"/>
      <c r="AA3" s="385">
        <v>4</v>
      </c>
      <c r="AB3" s="386"/>
      <c r="AC3" s="385">
        <v>5</v>
      </c>
      <c r="AD3" s="386"/>
      <c r="AE3" s="385">
        <v>6</v>
      </c>
      <c r="AF3" s="386"/>
      <c r="AG3" s="385">
        <v>7</v>
      </c>
      <c r="AH3" s="386"/>
      <c r="AI3" s="385">
        <v>8</v>
      </c>
      <c r="AJ3" s="386"/>
      <c r="AK3" s="385">
        <v>9</v>
      </c>
      <c r="AL3" s="386"/>
      <c r="AM3" s="385">
        <v>10</v>
      </c>
      <c r="AN3" s="384"/>
      <c r="AO3" s="417" t="s">
        <v>55</v>
      </c>
      <c r="AP3" s="418"/>
      <c r="AQ3" s="418"/>
      <c r="AR3" s="419"/>
      <c r="AS3" s="417" t="s">
        <v>56</v>
      </c>
      <c r="AT3" s="418"/>
      <c r="AU3" s="418"/>
      <c r="AV3" s="418"/>
      <c r="AW3" s="418"/>
      <c r="AX3" s="418"/>
      <c r="AY3" s="383" t="s">
        <v>57</v>
      </c>
      <c r="AZ3" s="416"/>
      <c r="BA3" s="384"/>
      <c r="BB3" s="432" t="s">
        <v>102</v>
      </c>
      <c r="BC3" s="433"/>
      <c r="BD3" s="433"/>
      <c r="BE3" s="433"/>
      <c r="BF3" s="433"/>
      <c r="BG3" s="433"/>
      <c r="BH3" s="433"/>
      <c r="BI3" s="433"/>
      <c r="BJ3" s="433"/>
      <c r="BK3" s="433"/>
      <c r="BL3" s="434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0.36458333333333331</v>
      </c>
      <c r="B14" s="73">
        <v>0.47569444444444442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0.47569444444444442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0.47569444444444442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0.1111111111111111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0.1111111111111111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53:33</v>
      </c>
      <c r="BC43" s="121" t="str">
        <f t="shared" si="13"/>
        <v>59:12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116:10</v>
      </c>
      <c r="BM43" s="124"/>
    </row>
    <row r="45" spans="1:65" x14ac:dyDescent="0.25">
      <c r="C45" s="400"/>
      <c r="D45" s="40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60" t="s">
        <v>87</v>
      </c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</row>
    <row r="2" spans="2:17" x14ac:dyDescent="0.25"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155</v>
      </c>
    </row>
    <row r="5" spans="2:17" ht="15.75" thickBot="1" x14ac:dyDescent="0.3"/>
    <row r="6" spans="2:17" ht="15.75" customHeight="1" x14ac:dyDescent="0.25">
      <c r="C6" s="461" t="s">
        <v>91</v>
      </c>
      <c r="D6" s="464" t="s">
        <v>92</v>
      </c>
      <c r="E6" s="464" t="s">
        <v>4</v>
      </c>
      <c r="F6" s="467"/>
      <c r="G6" s="467"/>
      <c r="H6" s="469" t="s">
        <v>93</v>
      </c>
      <c r="I6" s="471" t="s">
        <v>4</v>
      </c>
      <c r="J6" s="467"/>
      <c r="K6" s="467"/>
      <c r="L6" s="469" t="s">
        <v>93</v>
      </c>
      <c r="M6" s="473" t="s">
        <v>94</v>
      </c>
      <c r="N6" s="195"/>
      <c r="O6" s="196"/>
    </row>
    <row r="7" spans="2:17" x14ac:dyDescent="0.25">
      <c r="C7" s="462"/>
      <c r="D7" s="465"/>
      <c r="E7" s="468"/>
      <c r="F7" s="468"/>
      <c r="G7" s="468"/>
      <c r="H7" s="470"/>
      <c r="I7" s="472"/>
      <c r="J7" s="468"/>
      <c r="K7" s="468"/>
      <c r="L7" s="470"/>
      <c r="M7" s="474"/>
      <c r="N7" s="195"/>
      <c r="O7" s="196"/>
    </row>
    <row r="8" spans="2:17" x14ac:dyDescent="0.25">
      <c r="C8" s="462"/>
      <c r="D8" s="465"/>
      <c r="E8" s="468"/>
      <c r="F8" s="468"/>
      <c r="G8" s="468"/>
      <c r="H8" s="470"/>
      <c r="I8" s="472"/>
      <c r="J8" s="468"/>
      <c r="K8" s="468"/>
      <c r="L8" s="470"/>
      <c r="M8" s="474"/>
      <c r="N8" s="195"/>
      <c r="O8" s="196"/>
    </row>
    <row r="9" spans="2:17" ht="15.75" thickBot="1" x14ac:dyDescent="0.3">
      <c r="C9" s="463"/>
      <c r="D9" s="466"/>
      <c r="E9" s="197" t="s">
        <v>58</v>
      </c>
      <c r="F9" s="197" t="s">
        <v>59</v>
      </c>
      <c r="G9" s="197" t="s">
        <v>95</v>
      </c>
      <c r="H9" s="470"/>
      <c r="I9" s="198" t="s">
        <v>58</v>
      </c>
      <c r="J9" s="197" t="s">
        <v>59</v>
      </c>
      <c r="K9" s="197" t="s">
        <v>95</v>
      </c>
      <c r="L9" s="470"/>
      <c r="M9" s="474"/>
      <c r="N9" s="195"/>
      <c r="O9" s="196"/>
    </row>
    <row r="10" spans="2:17" ht="15.75" thickBot="1" x14ac:dyDescent="0.3">
      <c r="B10" s="446" t="s">
        <v>80</v>
      </c>
      <c r="C10" s="447"/>
      <c r="D10" s="450">
        <v>0.3125</v>
      </c>
      <c r="E10" s="199">
        <v>0.48125000000000001</v>
      </c>
      <c r="F10" s="199">
        <v>0.5229166666666667</v>
      </c>
      <c r="G10" s="200"/>
      <c r="H10" s="201" t="s">
        <v>154</v>
      </c>
      <c r="I10" s="202"/>
      <c r="J10" s="203"/>
      <c r="K10" s="204"/>
      <c r="L10" s="205"/>
      <c r="M10" s="459">
        <v>0.71458333333333324</v>
      </c>
      <c r="N10" s="195"/>
      <c r="O10" s="196"/>
      <c r="P10" s="206"/>
      <c r="Q10" s="206"/>
    </row>
    <row r="11" spans="2:17" ht="15.75" thickBot="1" x14ac:dyDescent="0.3">
      <c r="B11" s="446"/>
      <c r="C11" s="448"/>
      <c r="D11" s="451"/>
      <c r="E11" s="207"/>
      <c r="F11" s="207"/>
      <c r="G11" s="46"/>
      <c r="H11" s="47"/>
      <c r="I11" s="208"/>
      <c r="J11" s="209"/>
      <c r="K11" s="210"/>
      <c r="L11" s="211"/>
      <c r="M11" s="454"/>
      <c r="N11" s="195"/>
      <c r="O11" s="196"/>
      <c r="P11" s="172"/>
      <c r="Q11" s="172"/>
    </row>
    <row r="12" spans="2:17" ht="15.75" thickBot="1" x14ac:dyDescent="0.3">
      <c r="B12" s="446"/>
      <c r="C12" s="449"/>
      <c r="D12" s="452"/>
      <c r="E12" s="212"/>
      <c r="F12" s="212"/>
      <c r="G12" s="213"/>
      <c r="H12" s="214"/>
      <c r="I12" s="215"/>
      <c r="J12" s="216"/>
      <c r="K12" s="217"/>
      <c r="L12" s="218"/>
      <c r="M12" s="455"/>
      <c r="N12" s="195"/>
      <c r="O12" s="196"/>
      <c r="P12" s="172"/>
      <c r="Q12" s="172"/>
    </row>
    <row r="13" spans="2:17" ht="15.75" thickBot="1" x14ac:dyDescent="0.3">
      <c r="B13" s="446" t="s">
        <v>81</v>
      </c>
      <c r="C13" s="447"/>
      <c r="D13" s="450">
        <v>0.3611111111111111</v>
      </c>
      <c r="E13" s="199">
        <v>0.56944444444444442</v>
      </c>
      <c r="F13" s="199">
        <v>0.61111111111111105</v>
      </c>
      <c r="G13" s="200"/>
      <c r="H13" s="201" t="s">
        <v>154</v>
      </c>
      <c r="I13" s="202"/>
      <c r="J13" s="203"/>
      <c r="K13" s="204"/>
      <c r="L13" s="205"/>
      <c r="M13" s="453">
        <v>0.73125000000000007</v>
      </c>
      <c r="N13" s="195"/>
      <c r="O13" s="219"/>
      <c r="P13" s="172"/>
      <c r="Q13" s="172"/>
    </row>
    <row r="14" spans="2:17" ht="15.75" thickBot="1" x14ac:dyDescent="0.3">
      <c r="B14" s="446"/>
      <c r="C14" s="448"/>
      <c r="D14" s="451"/>
      <c r="E14" s="207"/>
      <c r="F14" s="207"/>
      <c r="G14" s="46"/>
      <c r="H14" s="47"/>
      <c r="I14" s="208"/>
      <c r="J14" s="209"/>
      <c r="K14" s="210"/>
      <c r="L14" s="211"/>
      <c r="M14" s="454"/>
      <c r="N14" s="220"/>
      <c r="O14" s="219"/>
      <c r="P14" s="172"/>
      <c r="Q14" s="172"/>
    </row>
    <row r="15" spans="2:17" ht="15.75" thickBot="1" x14ac:dyDescent="0.3">
      <c r="B15" s="446"/>
      <c r="C15" s="449"/>
      <c r="D15" s="452"/>
      <c r="E15" s="212"/>
      <c r="F15" s="212"/>
      <c r="G15" s="213"/>
      <c r="H15" s="214"/>
      <c r="I15" s="215"/>
      <c r="J15" s="216"/>
      <c r="K15" s="217"/>
      <c r="L15" s="218"/>
      <c r="M15" s="455"/>
      <c r="N15" s="220"/>
      <c r="O15" s="219"/>
      <c r="P15" s="172"/>
      <c r="Q15" s="172"/>
    </row>
    <row r="16" spans="2:17" ht="15.75" thickBot="1" x14ac:dyDescent="0.3">
      <c r="B16" s="446" t="s">
        <v>82</v>
      </c>
      <c r="C16" s="447"/>
      <c r="D16" s="450">
        <v>0.33333333333333331</v>
      </c>
      <c r="E16" s="199">
        <v>0.45833333333333331</v>
      </c>
      <c r="F16" s="199">
        <v>0.5</v>
      </c>
      <c r="G16" s="200"/>
      <c r="H16" s="201" t="s">
        <v>154</v>
      </c>
      <c r="I16" s="202"/>
      <c r="J16" s="203"/>
      <c r="K16" s="204"/>
      <c r="L16" s="205"/>
      <c r="M16" s="453">
        <v>0.71111111111111114</v>
      </c>
      <c r="N16" s="220"/>
      <c r="O16" s="219"/>
      <c r="P16" s="172"/>
      <c r="Q16" s="172"/>
    </row>
    <row r="17" spans="2:17" ht="15.75" thickBot="1" x14ac:dyDescent="0.3">
      <c r="B17" s="446"/>
      <c r="C17" s="448"/>
      <c r="D17" s="451"/>
      <c r="E17" s="207"/>
      <c r="F17" s="207"/>
      <c r="G17" s="46"/>
      <c r="H17" s="47"/>
      <c r="I17" s="208"/>
      <c r="J17" s="209"/>
      <c r="K17" s="210"/>
      <c r="L17" s="211"/>
      <c r="M17" s="454"/>
      <c r="N17" s="220"/>
      <c r="O17" s="219"/>
      <c r="P17" s="172"/>
      <c r="Q17" s="172"/>
    </row>
    <row r="18" spans="2:17" ht="15.75" thickBot="1" x14ac:dyDescent="0.3">
      <c r="B18" s="446"/>
      <c r="C18" s="449"/>
      <c r="D18" s="452"/>
      <c r="E18" s="212"/>
      <c r="F18" s="212"/>
      <c r="G18" s="213"/>
      <c r="H18" s="214"/>
      <c r="I18" s="215"/>
      <c r="J18" s="216"/>
      <c r="K18" s="217"/>
      <c r="L18" s="218"/>
      <c r="M18" s="455"/>
      <c r="N18" s="220"/>
      <c r="O18" s="219"/>
      <c r="P18" s="172"/>
      <c r="Q18" s="172"/>
    </row>
    <row r="19" spans="2:17" ht="15.75" thickBot="1" x14ac:dyDescent="0.3">
      <c r="B19" s="446" t="s">
        <v>83</v>
      </c>
      <c r="C19" s="447"/>
      <c r="D19" s="450">
        <v>0.25347222222222221</v>
      </c>
      <c r="E19" s="199">
        <v>0.45902777777777781</v>
      </c>
      <c r="F19" s="199">
        <v>0.50069444444444444</v>
      </c>
      <c r="G19" s="200"/>
      <c r="H19" s="201" t="s">
        <v>154</v>
      </c>
      <c r="I19" s="202"/>
      <c r="J19" s="203"/>
      <c r="K19" s="204"/>
      <c r="L19" s="205"/>
      <c r="M19" s="453">
        <v>0.65</v>
      </c>
      <c r="N19" s="220"/>
      <c r="O19" s="219"/>
      <c r="P19" s="172"/>
      <c r="Q19" s="172"/>
    </row>
    <row r="20" spans="2:17" ht="15.75" thickBot="1" x14ac:dyDescent="0.3">
      <c r="B20" s="446"/>
      <c r="C20" s="448"/>
      <c r="D20" s="451"/>
      <c r="E20" s="207"/>
      <c r="F20" s="207"/>
      <c r="G20" s="46"/>
      <c r="H20" s="47"/>
      <c r="I20" s="208"/>
      <c r="J20" s="209"/>
      <c r="K20" s="210"/>
      <c r="L20" s="211"/>
      <c r="M20" s="454"/>
      <c r="N20" s="220"/>
      <c r="O20" s="219"/>
      <c r="P20" s="172"/>
      <c r="Q20" s="172"/>
    </row>
    <row r="21" spans="2:17" ht="15.75" thickBot="1" x14ac:dyDescent="0.3">
      <c r="B21" s="446"/>
      <c r="C21" s="449"/>
      <c r="D21" s="452"/>
      <c r="E21" s="212"/>
      <c r="F21" s="212"/>
      <c r="G21" s="213"/>
      <c r="H21" s="214"/>
      <c r="I21" s="215"/>
      <c r="J21" s="216"/>
      <c r="K21" s="217"/>
      <c r="L21" s="218"/>
      <c r="M21" s="455"/>
      <c r="N21" s="220"/>
      <c r="O21" s="219"/>
      <c r="P21" s="172"/>
      <c r="Q21" s="172"/>
    </row>
    <row r="22" spans="2:17" ht="15.75" thickBot="1" x14ac:dyDescent="0.3">
      <c r="B22" s="446" t="s">
        <v>84</v>
      </c>
      <c r="C22" s="447"/>
      <c r="D22" s="450">
        <v>0.375</v>
      </c>
      <c r="E22" s="199">
        <v>0.5131944444444444</v>
      </c>
      <c r="F22" s="199">
        <v>0.55486111111111114</v>
      </c>
      <c r="G22" s="200"/>
      <c r="H22" s="201" t="s">
        <v>154</v>
      </c>
      <c r="I22" s="202"/>
      <c r="J22" s="203"/>
      <c r="K22" s="204"/>
      <c r="L22" s="205"/>
      <c r="M22" s="453">
        <v>0.66666666666666663</v>
      </c>
      <c r="N22" s="195"/>
      <c r="O22" s="219"/>
      <c r="P22" s="172"/>
      <c r="Q22" s="172"/>
    </row>
    <row r="23" spans="2:17" ht="15.75" thickBot="1" x14ac:dyDescent="0.3">
      <c r="B23" s="446"/>
      <c r="C23" s="448"/>
      <c r="D23" s="451"/>
      <c r="E23" s="207"/>
      <c r="F23" s="207"/>
      <c r="G23" s="46"/>
      <c r="H23" s="47"/>
      <c r="I23" s="208"/>
      <c r="J23" s="209"/>
      <c r="K23" s="210"/>
      <c r="L23" s="211"/>
      <c r="M23" s="454"/>
      <c r="N23" s="220"/>
      <c r="O23" s="219"/>
      <c r="P23" s="172"/>
      <c r="Q23" s="172"/>
    </row>
    <row r="24" spans="2:17" ht="15.75" thickBot="1" x14ac:dyDescent="0.3">
      <c r="B24" s="446"/>
      <c r="C24" s="449"/>
      <c r="D24" s="452"/>
      <c r="E24" s="212"/>
      <c r="F24" s="212"/>
      <c r="G24" s="213"/>
      <c r="H24" s="214"/>
      <c r="I24" s="215"/>
      <c r="J24" s="216"/>
      <c r="K24" s="217"/>
      <c r="L24" s="218"/>
      <c r="M24" s="455"/>
      <c r="N24" s="220"/>
      <c r="O24" s="219"/>
      <c r="P24" s="172"/>
      <c r="Q24" s="172"/>
    </row>
    <row r="25" spans="2:17" ht="15.75" thickBot="1" x14ac:dyDescent="0.3">
      <c r="B25" s="446" t="s">
        <v>85</v>
      </c>
      <c r="C25" s="447"/>
      <c r="D25" s="450"/>
      <c r="E25" s="199"/>
      <c r="F25" s="199"/>
      <c r="G25" s="200"/>
      <c r="H25" s="201"/>
      <c r="I25" s="202"/>
      <c r="J25" s="203"/>
      <c r="K25" s="204"/>
      <c r="L25" s="205"/>
      <c r="M25" s="453"/>
      <c r="N25" s="220"/>
      <c r="O25" s="219"/>
      <c r="P25" s="172"/>
      <c r="Q25" s="172"/>
    </row>
    <row r="26" spans="2:17" ht="15.75" thickBot="1" x14ac:dyDescent="0.3">
      <c r="B26" s="446"/>
      <c r="C26" s="448"/>
      <c r="D26" s="451"/>
      <c r="E26" s="207"/>
      <c r="F26" s="207"/>
      <c r="G26" s="46"/>
      <c r="H26" s="47"/>
      <c r="I26" s="208"/>
      <c r="J26" s="209"/>
      <c r="K26" s="210"/>
      <c r="L26" s="211"/>
      <c r="M26" s="454"/>
      <c r="N26" s="220"/>
      <c r="O26" s="219"/>
      <c r="P26" s="172"/>
      <c r="Q26" s="172"/>
    </row>
    <row r="27" spans="2:17" ht="15.75" thickBot="1" x14ac:dyDescent="0.3">
      <c r="B27" s="446"/>
      <c r="C27" s="449"/>
      <c r="D27" s="452"/>
      <c r="E27" s="212"/>
      <c r="F27" s="212"/>
      <c r="G27" s="213"/>
      <c r="H27" s="214"/>
      <c r="I27" s="215"/>
      <c r="J27" s="216"/>
      <c r="K27" s="217"/>
      <c r="L27" s="218"/>
      <c r="M27" s="455"/>
      <c r="N27" s="220"/>
      <c r="O27" s="219"/>
      <c r="P27" s="172"/>
      <c r="Q27" s="172"/>
    </row>
    <row r="28" spans="2:17" ht="15.75" thickBot="1" x14ac:dyDescent="0.3">
      <c r="B28" s="446" t="s">
        <v>86</v>
      </c>
      <c r="C28" s="447"/>
      <c r="D28" s="450"/>
      <c r="E28" s="199"/>
      <c r="F28" s="199"/>
      <c r="G28" s="200"/>
      <c r="H28" s="201"/>
      <c r="I28" s="202"/>
      <c r="J28" s="203"/>
      <c r="K28" s="204"/>
      <c r="L28" s="205"/>
      <c r="M28" s="453"/>
      <c r="N28" s="220"/>
      <c r="O28" s="219"/>
      <c r="P28" s="172"/>
      <c r="Q28" s="172"/>
    </row>
    <row r="29" spans="2:17" ht="15.75" thickBot="1" x14ac:dyDescent="0.3">
      <c r="B29" s="446"/>
      <c r="C29" s="448"/>
      <c r="D29" s="451"/>
      <c r="E29" s="207"/>
      <c r="F29" s="207"/>
      <c r="G29" s="46"/>
      <c r="H29" s="47"/>
      <c r="I29" s="208"/>
      <c r="J29" s="209"/>
      <c r="K29" s="210"/>
      <c r="L29" s="211"/>
      <c r="M29" s="454"/>
      <c r="N29" s="220"/>
      <c r="O29" s="219"/>
      <c r="P29" s="172"/>
      <c r="Q29" s="172"/>
    </row>
    <row r="30" spans="2:17" ht="15.75" thickBot="1" x14ac:dyDescent="0.3">
      <c r="B30" s="446"/>
      <c r="C30" s="449"/>
      <c r="D30" s="452"/>
      <c r="E30" s="212"/>
      <c r="F30" s="212"/>
      <c r="G30" s="213"/>
      <c r="H30" s="214"/>
      <c r="I30" s="215"/>
      <c r="J30" s="216"/>
      <c r="K30" s="217"/>
      <c r="L30" s="218"/>
      <c r="M30" s="455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56" t="s">
        <v>98</v>
      </c>
      <c r="C36" s="457"/>
      <c r="D36" s="457"/>
      <c r="E36" s="457"/>
      <c r="F36" s="457"/>
      <c r="G36" s="457"/>
      <c r="H36" s="457"/>
      <c r="I36" s="457"/>
      <c r="J36" s="458"/>
      <c r="K36" s="456" t="s">
        <v>99</v>
      </c>
      <c r="L36" s="457"/>
      <c r="M36" s="457"/>
      <c r="N36" s="378"/>
      <c r="O36" s="379"/>
    </row>
    <row r="37" spans="2:15" x14ac:dyDescent="0.25">
      <c r="B37" s="435"/>
      <c r="C37" s="436"/>
      <c r="D37" s="436"/>
      <c r="E37" s="436"/>
      <c r="F37" s="436"/>
      <c r="G37" s="436"/>
      <c r="H37" s="436"/>
      <c r="I37" s="436"/>
      <c r="J37" s="437"/>
      <c r="K37" s="444" t="s">
        <v>100</v>
      </c>
      <c r="L37" s="378"/>
      <c r="M37" s="379"/>
      <c r="N37" s="444" t="s">
        <v>101</v>
      </c>
      <c r="O37" s="445"/>
    </row>
    <row r="38" spans="2:15" x14ac:dyDescent="0.25">
      <c r="B38" s="438"/>
      <c r="C38" s="439"/>
      <c r="D38" s="439"/>
      <c r="E38" s="439"/>
      <c r="F38" s="439"/>
      <c r="G38" s="439"/>
      <c r="H38" s="439"/>
      <c r="I38" s="439"/>
      <c r="J38" s="440"/>
      <c r="K38" s="435"/>
      <c r="L38" s="436"/>
      <c r="M38" s="437"/>
      <c r="N38" s="435"/>
      <c r="O38" s="437"/>
    </row>
    <row r="39" spans="2:15" x14ac:dyDescent="0.25">
      <c r="B39" s="438"/>
      <c r="C39" s="439"/>
      <c r="D39" s="439"/>
      <c r="E39" s="439"/>
      <c r="F39" s="439"/>
      <c r="G39" s="439"/>
      <c r="H39" s="439"/>
      <c r="I39" s="439"/>
      <c r="J39" s="440"/>
      <c r="K39" s="438"/>
      <c r="L39" s="439"/>
      <c r="M39" s="440"/>
      <c r="N39" s="438"/>
      <c r="O39" s="440"/>
    </row>
    <row r="40" spans="2:15" x14ac:dyDescent="0.25">
      <c r="B40" s="438"/>
      <c r="C40" s="439"/>
      <c r="D40" s="439"/>
      <c r="E40" s="439"/>
      <c r="F40" s="439"/>
      <c r="G40" s="439"/>
      <c r="H40" s="439"/>
      <c r="I40" s="439"/>
      <c r="J40" s="440"/>
      <c r="K40" s="438"/>
      <c r="L40" s="439"/>
      <c r="M40" s="440"/>
      <c r="N40" s="438"/>
      <c r="O40" s="440"/>
    </row>
    <row r="41" spans="2:15" x14ac:dyDescent="0.25">
      <c r="B41" s="441"/>
      <c r="C41" s="442"/>
      <c r="D41" s="442"/>
      <c r="E41" s="442"/>
      <c r="F41" s="442"/>
      <c r="G41" s="442"/>
      <c r="H41" s="442"/>
      <c r="I41" s="442"/>
      <c r="J41" s="443"/>
      <c r="K41" s="441"/>
      <c r="L41" s="442"/>
      <c r="M41" s="443"/>
      <c r="N41" s="441"/>
      <c r="O41" s="443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2025-10-08T08:10:43Z</dcterms:modified>
</cp:coreProperties>
</file>