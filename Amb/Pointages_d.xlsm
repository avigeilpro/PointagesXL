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FHebdo_O!$A$1:$L$17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L35" i="93" s="1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L27" i="93" s="1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L19" i="93" s="1"/>
  <c r="BC19" i="93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L14" i="93" s="1"/>
  <c r="BB14" i="93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L11" i="93" s="1"/>
  <c r="BC11" i="93"/>
  <c r="BB11" i="93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L7" i="93" s="1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BA45" i="93"/>
  <c r="AY45" i="93"/>
  <c r="AZ45" i="93"/>
  <c r="AZ44" i="93"/>
  <c r="AI70" i="92"/>
  <c r="AB70" i="92"/>
  <c r="AE70" i="92"/>
  <c r="BA43" i="93" l="1"/>
  <c r="BA42" i="93"/>
  <c r="AZ43" i="93"/>
  <c r="BA39" i="93"/>
  <c r="BA40" i="93"/>
  <c r="AY42" i="93"/>
  <c r="AZ40" i="93"/>
  <c r="BA41" i="93"/>
  <c r="BA44" i="93"/>
  <c r="AZ39" i="93"/>
  <c r="AZ41" i="93"/>
  <c r="A5" i="105" l="1"/>
  <c r="BL50" i="93" l="1"/>
  <c r="D4" i="94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Z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U28" i="93"/>
  <c r="AV28" i="93" s="1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U10" i="93" l="1"/>
  <c r="AW28" i="93"/>
  <c r="AX28" i="93" s="1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8" i="93"/>
  <c r="AQ11" i="93"/>
  <c r="AZ24" i="93"/>
  <c r="AZ18" i="93"/>
  <c r="AR11" i="93"/>
  <c r="AQ17" i="93"/>
  <c r="AR18" i="93"/>
  <c r="AR28" i="93"/>
  <c r="AT17" i="93"/>
  <c r="AZ17" i="93" s="1"/>
  <c r="AQ18" i="93"/>
  <c r="AT29" i="93"/>
  <c r="AT21" i="93"/>
  <c r="AR24" i="93"/>
  <c r="AQ28" i="93"/>
  <c r="AT13" i="93"/>
  <c r="AQ20" i="93"/>
  <c r="AT33" i="93"/>
  <c r="AZ46" i="93"/>
  <c r="AQ24" i="93"/>
  <c r="AZ28" i="93"/>
  <c r="BA18" i="93"/>
  <c r="BA24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BA28" i="93"/>
  <c r="AU27" i="93" l="1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BA34" i="93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BA12" i="93"/>
  <c r="AQ12" i="93"/>
  <c r="AY12" i="93" s="1"/>
  <c r="AZ8" i="93"/>
  <c r="AQ8" i="93"/>
  <c r="AY8" i="93" s="1"/>
  <c r="AZ20" i="93"/>
  <c r="BA20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17" i="93"/>
  <c r="AY28" i="93"/>
  <c r="AY24" i="93"/>
  <c r="BA17" i="93"/>
  <c r="AY11" i="93"/>
  <c r="BA11" i="93"/>
  <c r="BA10" i="93" l="1"/>
  <c r="AQ10" i="93"/>
  <c r="AY10" i="93" s="1"/>
  <c r="AZ10" i="93"/>
  <c r="AV27" i="93"/>
  <c r="AZ27" i="93" s="1"/>
  <c r="AW27" i="93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Q27" i="93" l="1"/>
  <c r="AY27" i="93" s="1"/>
  <c r="BA27" i="93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AZ30" i="93" l="1"/>
  <c r="BA35" i="93"/>
  <c r="AZ35" i="93"/>
  <c r="BA30" i="93"/>
  <c r="BA14" i="93"/>
  <c r="BA21" i="93"/>
  <c r="AZ15" i="93"/>
  <c r="BA15" i="93"/>
  <c r="AY15" i="93"/>
  <c r="AY50" i="93" s="1"/>
  <c r="AZ50" i="93" l="1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28/07/2025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29/07/2025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30/07/2025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31/07/2025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01/08/2025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02/08/2025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03/08/2025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04/08/2025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05/08/2025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06/08/2025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07/08/2025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08/08/2025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09/08/2025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10/08/2025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11/08/2025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12/08/2025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13/08/2025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14/08/2025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15/08/2025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16/08/2025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17/08/2025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18/08/2025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19/08/2025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20/08/2025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21/08/2025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22/08/2025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23/08/2025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24/08/2025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<sst xmlns="http://schemas.openxmlformats.org/spreadsheetml/2006/main" count="290" uniqueCount="171">
  <si>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</si>
  <si>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</si>
  <si>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</si>
  <si>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</si>
  <si>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</si>
  <si>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</si>
  <si>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</si>
  <si>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</si>
  <si>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</si>
  <si>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</si>
  <si>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</si>
  <si>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</si>
  <si>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</si>
  <si>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</si>
  <si>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</si>
  <si>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</si>
  <si>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</si>
  <si>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</si>
  <si>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</si>
  <si>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</si>
  <si>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</si>
  <si>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</si>
  <si>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</si>
  <si>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</si>
  <si>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</si>
  <si>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</si>
  <si>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</si>
  <si>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</si>
  <si>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</si>
  <si>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</si>
  <si>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</si>
  <si>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</si>
  <si>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</si>
  <si>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</si>
  <si>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</si>
  <si>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</si>
  <si>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</si>
  <si>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</si>
  <si>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</si>
  <si>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</si>
  <si>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</si>
  <si>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</si>
  <si>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</si>
  <si>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</si>
  <si>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</si>
  <si>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</si>
  <si>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</si>
  <si>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</si>
  <si>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</si>
  <si>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</si>
  <si>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</si>
  <si>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</si>
  <si>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</si>
  <si>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</si>
  <si>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</si>
  <si>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</si>
  <si>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</si>
  <si>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</si>
  <si>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</si>
  <si>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</si>
  <si>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</si>
  <si>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</si>
  <si>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</si>
  <si>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</si>
  <si>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</si>
  <si>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</si>
  <si>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</si>
  <si>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</si>
  <si>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</si>
  <si>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</si>
  <si>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</si>
  <si>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</si>
  <si>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</si>
  <si>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</si>
  <si>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</si>
  <si>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</si>
  <si>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</si>
  <si>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</si>
  <si>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</si>
  <si>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</si>
  <si>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</si>
  <si>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</si>
  <si>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</si>
  <si>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</si>
  <si>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</si>
  <si>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</si>
  <si>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</si>
  <si>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</si>
  <si>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</si>
  <si>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</si>
  <si>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</si>
  <si>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</si>
  <si>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</si>
  <si>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</si>
  <si>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</si>
  <si>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</si>
  <si>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</si>
  <si>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</si>
  <si>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</si>
  <si>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</si>
  <si>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</si>
  <si>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</si>
  <si>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</si>
  <si>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</si>
  <si>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</si>
  <si>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</si>
  <si>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</si>
  <si>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</si>
  <si>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</si>
  <si>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</si>
  <si>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</si>
  <si>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</si>
  <si>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</si>
  <si>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</si>
  <si>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</si>
  <si>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</si>
  <si>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</si>
  <si>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</si>
  <si>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</si>
  <si>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</si>
  <si>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</si>
  <si>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</si>
  <si>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</si>
  <si>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</si>
  <si>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</si>
  <si>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</si>
  <si>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</si>
  <si>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</si>
  <si>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</si>
  <si>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</si>
  <si>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</si>
  <si>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</si>
  <si>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</si>
  <si>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</si>
  <si>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</si>
  <si>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</si>
  <si>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</si>
  <si>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</si>
  <si>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</si>
  <si>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</si>
  <si>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</si>
  <si>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</si>
  <si>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</si>
  <si>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</si>
  <si>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</si>
  <si>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</si>
  <si>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</si>
  <si>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</si>
  <si>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</si>
  <si>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I.TC</t>
  </si>
  <si>
    <t>RELEVE HEBDOMADAIRE DES TEMPS DE TRAVAIL</t>
  </si>
  <si>
    <t>Danièle BOURDANEL</t>
  </si>
  <si>
    <t>Signature employeur</t>
  </si>
  <si>
    <t>Signature Salarié</t>
  </si>
  <si>
    <t xml:space="preserve">Semaine du 6 octobre 2025 au 12 octobre 2025        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</si>
  <si>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</si>
  <si>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</si>
  <si>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</si>
  <si>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</si>
  <si>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</si>
  <si>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</si>
  <si>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</si>
  <si>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</si>
  <si>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</si>
  <si>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</si>
  <si>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</si>
  <si>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- indemnité repas detecté si pause pile 1h (vérifié aucun pb de mon coté)</t>
  </si>
  <si>
    <t>Août</t>
  </si>
  <si>
    <t>Semaine n° 33 du 11/08/2025 au 17/08/2025</t>
  </si>
  <si>
    <t>n° 35 du 25/08/2025 au 31/08/2025</t>
  </si>
  <si>
    <t>$O$11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</si>
</sst>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7" fillId="0" borderId="0" xfId="0" applyFont="1"/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14" borderId="17" xfId="0" applyFill="1" applyBorder="1"/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13" fillId="0" borderId="0" xfId="1" quotePrefix="1" applyFont="1"/>
    <xf numFmtId="0" fontId="30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6" fillId="0" borderId="0" xfId="1" applyFont="1" applyAlignment="1">
      <alignment horizontal="right"/>
    </xf>
    <xf numFmtId="0" fontId="26" fillId="0" borderId="0" xfId="1" applyFont="1" applyAlignment="1">
      <alignment horizontal="left"/>
    </xf>
    <xf numFmtId="0" fontId="26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1" fontId="13" fillId="0" borderId="41" xfId="1" applyNumberFormat="1" applyBorder="1" applyAlignment="1">
      <alignment horizontal="right" vertical="center"/>
    </xf>
    <xf numFmtId="0" fontId="13" fillId="0" borderId="42" xfId="1" applyBorder="1" applyAlignment="1">
      <alignment horizontal="center"/>
    </xf>
    <xf numFmtId="0" fontId="13" fillId="0" borderId="41" xfId="1" applyBorder="1" applyAlignment="1">
      <alignment horizont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1" fontId="13" fillId="0" borderId="55" xfId="1" applyNumberFormat="1" applyBorder="1" applyAlignment="1">
      <alignment horizontal="right" vertical="center"/>
    </xf>
    <xf numFmtId="0" fontId="13" fillId="0" borderId="56" xfId="1" applyBorder="1" applyAlignment="1">
      <alignment horizontal="center"/>
    </xf>
    <xf numFmtId="0" fontId="13" fillId="0" borderId="55" xfId="1" applyBorder="1" applyAlignment="1">
      <alignment horizont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1" fontId="13" fillId="0" borderId="75" xfId="1" applyNumberFormat="1" applyBorder="1" applyAlignment="1">
      <alignment horizontal="right" vertical="center"/>
    </xf>
    <xf numFmtId="0" fontId="13" fillId="0" borderId="76" xfId="1" applyBorder="1" applyAlignment="1">
      <alignment horizontal="center"/>
    </xf>
    <xf numFmtId="0" fontId="13" fillId="0" borderId="75" xfId="1" applyBorder="1" applyAlignment="1">
      <alignment horizont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3" fillId="0" borderId="18" xfId="0" applyNumberFormat="1" applyFont="1" applyBorder="1"/>
    <xf numFmtId="2" fontId="33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0" fontId="13" fillId="12" borderId="144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5" borderId="133" xfId="0" applyNumberFormat="1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0" fontId="13" fillId="15" borderId="136" xfId="0" applyFont="1" applyFill="1" applyBorder="1" applyAlignment="1">
      <alignment horizontal="right"/>
    </xf>
    <xf numFmtId="0" fontId="13" fillId="15" borderId="137" xfId="0" applyFont="1" applyFill="1" applyBorder="1" applyAlignment="1">
      <alignment horizontal="right"/>
    </xf>
    <xf numFmtId="14" fontId="13" fillId="15" borderId="134" xfId="0" applyNumberFormat="1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0" fontId="13" fillId="15" borderId="135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6" borderId="133" xfId="0" applyNumberFormat="1" applyFont="1" applyFill="1" applyBorder="1" applyAlignment="1" applyProtection="1">
      <alignment horizontal="right"/>
      <protection locked="0"/>
    </xf>
    <xf numFmtId="0" fontId="13" fillId="16" borderId="133" xfId="0" applyFont="1" applyFill="1" applyBorder="1" applyAlignment="1">
      <alignment horizontal="right"/>
    </xf>
    <xf numFmtId="0" fontId="13" fillId="16" borderId="132" xfId="0" applyFont="1" applyFill="1" applyBorder="1" applyAlignment="1">
      <alignment horizontal="right"/>
    </xf>
    <xf numFmtId="166" fontId="13" fillId="16" borderId="133" xfId="0" applyNumberFormat="1" applyFont="1" applyFill="1" applyBorder="1" applyAlignment="1" applyProtection="1">
      <alignment horizontal="right"/>
      <protection locked="0"/>
    </xf>
    <xf numFmtId="166" fontId="13" fillId="16" borderId="142" xfId="0" applyNumberFormat="1" applyFont="1" applyFill="1" applyBorder="1" applyAlignment="1" applyProtection="1">
      <alignment horizontal="right"/>
      <protection locked="0"/>
    </xf>
    <xf numFmtId="0" fontId="13" fillId="16" borderId="142" xfId="0" applyFont="1" applyFill="1" applyBorder="1" applyAlignment="1">
      <alignment horizontal="right"/>
    </xf>
    <xf numFmtId="0" fontId="13" fillId="16" borderId="136" xfId="0" applyFont="1" applyFill="1" applyBorder="1" applyAlignment="1">
      <alignment horizontal="right"/>
    </xf>
    <xf numFmtId="14" fontId="13" fillId="16" borderId="133" xfId="0" applyNumberFormat="1" applyFont="1" applyFill="1" applyBorder="1" applyAlignment="1">
      <alignment horizontal="center"/>
    </xf>
    <xf numFmtId="0" fontId="13" fillId="16" borderId="135" xfId="0" applyFont="1" applyFill="1" applyBorder="1" applyAlignment="1">
      <alignment horizontal="right"/>
    </xf>
    <xf numFmtId="14" fontId="13" fillId="16" borderId="132" xfId="0" applyNumberFormat="1" applyFont="1" applyFill="1" applyBorder="1" applyAlignment="1">
      <alignment horizontal="center"/>
    </xf>
    <xf numFmtId="0" fontId="13" fillId="16" borderId="141" xfId="0" applyFont="1" applyFill="1" applyBorder="1" applyAlignment="1">
      <alignment horizontal="right"/>
    </xf>
    <xf numFmtId="14" fontId="13" fillId="16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7" fillId="0" borderId="91" xfId="0" applyFont="1" applyFill="1" applyBorder="1" applyAlignment="1">
      <alignment horizontal="center" vertical="center"/>
    </xf>
    <xf numFmtId="166" fontId="16" fillId="16" borderId="132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6" borderId="139" xfId="0" applyFont="1" applyFill="1" applyBorder="1" applyAlignment="1">
      <alignment horizontal="right"/>
    </xf>
    <xf numFmtId="0" fontId="13" fillId="16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6" borderId="156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center"/>
    </xf>
    <xf numFmtId="0" fontId="13" fillId="16" borderId="161" xfId="0" applyFont="1" applyFill="1" applyBorder="1" applyAlignment="1">
      <alignment horizontal="right"/>
    </xf>
    <xf numFmtId="0" fontId="13" fillId="16" borderId="161" xfId="0" applyFont="1" applyFill="1" applyBorder="1" applyAlignment="1">
      <alignment horizontal="center"/>
    </xf>
    <xf numFmtId="166" fontId="16" fillId="16" borderId="152" xfId="0" applyNumberFormat="1" applyFont="1" applyFill="1" applyBorder="1" applyAlignment="1" applyProtection="1">
      <alignment horizontal="right"/>
      <protection locked="0"/>
    </xf>
    <xf numFmtId="0" fontId="13" fillId="16" borderId="13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center"/>
    </xf>
    <xf numFmtId="0" fontId="13" fillId="16" borderId="146" xfId="0" applyFont="1" applyFill="1" applyBorder="1" applyAlignment="1">
      <alignment horizontal="right"/>
    </xf>
    <xf numFmtId="14" fontId="13" fillId="16" borderId="144" xfId="0" applyNumberFormat="1" applyFont="1" applyFill="1" applyBorder="1" applyAlignment="1">
      <alignment horizontal="center"/>
    </xf>
    <xf numFmtId="166" fontId="13" fillId="16" borderId="144" xfId="0" applyNumberFormat="1" applyFont="1" applyFill="1" applyBorder="1" applyAlignment="1" applyProtection="1">
      <alignment horizontal="right"/>
      <protection locked="0"/>
    </xf>
    <xf numFmtId="166" fontId="13" fillId="16" borderId="151" xfId="0" applyNumberFormat="1" applyFont="1" applyFill="1" applyBorder="1" applyAlignment="1" applyProtection="1">
      <alignment horizontal="right"/>
      <protection locked="0"/>
    </xf>
    <xf numFmtId="0" fontId="13" fillId="16" borderId="144" xfId="0" applyFont="1" applyFill="1" applyBorder="1" applyAlignment="1">
      <alignment horizontal="right"/>
    </xf>
    <xf numFmtId="0" fontId="13" fillId="16" borderId="148" xfId="0" applyFont="1" applyFill="1" applyBorder="1" applyAlignment="1">
      <alignment horizontal="right"/>
    </xf>
    <xf numFmtId="0" fontId="13" fillId="16" borderId="157" xfId="0" applyFont="1" applyFill="1" applyBorder="1" applyAlignment="1">
      <alignment horizontal="right"/>
    </xf>
    <xf numFmtId="0" fontId="13" fillId="16" borderId="157" xfId="0" applyFont="1" applyFill="1" applyBorder="1" applyAlignment="1">
      <alignment horizontal="center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6" borderId="156" xfId="0" applyNumberFormat="1" applyFont="1" applyFill="1" applyBorder="1" applyAlignment="1">
      <alignment horizontal="center" vertical="center"/>
    </xf>
    <xf numFmtId="166" fontId="8" fillId="16" borderId="157" xfId="0" applyNumberFormat="1" applyFont="1" applyFill="1" applyBorder="1" applyAlignment="1">
      <alignment horizontal="center" vertical="center"/>
    </xf>
    <xf numFmtId="166" fontId="8" fillId="16" borderId="158" xfId="0" applyNumberFormat="1" applyFont="1" applyFill="1" applyBorder="1" applyAlignment="1">
      <alignment horizontal="center" vertical="center"/>
    </xf>
    <xf numFmtId="166" fontId="8" fillId="16" borderId="161" xfId="0" applyNumberFormat="1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6" borderId="156" xfId="0" applyNumberFormat="1" applyFont="1" applyFill="1" applyBorder="1" applyAlignment="1">
      <alignment horizontal="center"/>
    </xf>
    <xf numFmtId="166" fontId="8" fillId="16" borderId="161" xfId="0" applyNumberFormat="1" applyFont="1" applyFill="1" applyBorder="1" applyAlignment="1">
      <alignment horizontal="center"/>
    </xf>
    <xf numFmtId="166" fontId="24" fillId="16" borderId="156" xfId="0" applyNumberFormat="1" applyFont="1" applyFill="1" applyBorder="1" applyAlignment="1">
      <alignment horizontal="center"/>
    </xf>
    <xf numFmtId="166" fontId="24" fillId="16" borderId="161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1" fillId="12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26" fillId="0" borderId="91" xfId="0" applyFont="1" applyFill="1" applyBorder="1" applyAlignment="1">
      <alignment horizontal="center" vertical="center"/>
    </xf>
    <xf numFmtId="0" fontId="27" fillId="0" borderId="91" xfId="0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0" fontId="28" fillId="0" borderId="9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6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6" borderId="158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166" fontId="24" fillId="16" borderId="157" xfId="0" applyNumberFormat="1" applyFont="1" applyFill="1" applyBorder="1" applyAlignment="1">
      <alignment horizontal="center"/>
    </xf>
    <xf numFmtId="166" fontId="24" fillId="16" borderId="158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26" xfId="0" applyFont="1" applyBorder="1" applyAlignment="1">
      <alignment horizontal="center"/>
    </xf>
    <xf numFmtId="0" fontId="0" fillId="0" borderId="92" xfId="0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29" fillId="0" borderId="0" xfId="1" applyFont="1" applyAlignment="1">
      <alignment horizontal="center"/>
    </xf>
    <xf numFmtId="0" fontId="26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33" xfId="0" applyNumberFormat="1" applyFont="1" applyFill="1" applyBorder="1" applyAlignment="1" applyProtection="1">
      <alignment horizontal="right"/>
      <protection locked="0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13" fillId="16" borderId="147" xfId="0" applyFont="1" applyFill="1" applyBorder="1" applyAlignment="1">
      <alignment horizontal="right"/>
    </xf>
    <xf numFmtId="14" fontId="13" fillId="16" borderId="145" xfId="0" applyNumberFormat="1" applyFont="1" applyFill="1" applyBorder="1" applyAlignment="1">
      <alignment horizontal="center"/>
    </xf>
    <xf numFmtId="166" fontId="16" fillId="16" borderId="145" xfId="0" applyNumberFormat="1" applyFont="1" applyFill="1" applyBorder="1" applyAlignment="1" applyProtection="1">
      <alignment horizontal="right"/>
      <protection locked="0"/>
    </xf>
    <xf numFmtId="166" fontId="16" fillId="16" borderId="154" xfId="0" applyNumberFormat="1" applyFont="1" applyFill="1" applyBorder="1" applyAlignment="1" applyProtection="1">
      <alignment horizontal="right"/>
      <protection locked="0"/>
    </xf>
    <xf numFmtId="0" fontId="13" fillId="16" borderId="145" xfId="0" applyFont="1" applyFill="1" applyBorder="1" applyAlignment="1">
      <alignment horizontal="right"/>
    </xf>
    <xf numFmtId="0" fontId="13" fillId="16" borderId="149" xfId="0" applyFont="1" applyFill="1" applyBorder="1" applyAlignment="1">
      <alignment horizontal="right"/>
    </xf>
    <xf numFmtId="0" fontId="13" fillId="16" borderId="160" xfId="0" applyFont="1" applyFill="1" applyBorder="1" applyAlignment="1">
      <alignment horizontal="right"/>
    </xf>
    <xf numFmtId="0" fontId="13" fillId="16" borderId="160" xfId="0" applyFont="1" applyFill="1" applyBorder="1" applyAlignment="1">
      <alignment horizontal="center"/>
    </xf>
    <xf numFmtId="166" fontId="8" fillId="16" borderId="160" xfId="0" applyNumberFormat="1" applyFont="1" applyFill="1" applyBorder="1" applyAlignment="1">
      <alignment horizontal="center"/>
    </xf>
    <xf numFmtId="166" fontId="8" fillId="16" borderId="160" xfId="0" applyNumberFormat="1" applyFont="1" applyFill="1" applyBorder="1" applyAlignment="1">
      <alignment horizontal="center" vertical="center"/>
    </xf>
    <xf numFmtId="166" fontId="24" fillId="16" borderId="160" xfId="0" applyNumberFormat="1" applyFont="1" applyFill="1" applyBorder="1" applyAlignment="1">
      <alignment horizontal="center"/>
    </xf>
    <xf numFmtId="0" fontId="13" fillId="15" borderId="168" xfId="0" applyFont="1" applyFill="1" applyBorder="1" applyAlignment="1">
      <alignment horizontal="right"/>
    </xf>
    <xf numFmtId="14" fontId="13" fillId="15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 vertical="center"/>
    </xf>
    <xf numFmtId="166" fontId="24" fillId="12" borderId="172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8-FEDA-4F2E-A224-7B289EE6C342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9-FEDA-4F2E-A224-7B289EE6C342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A-FEDA-4F2E-A224-7B289EE6C342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B-FEDA-4F2E-A224-7B289EE6C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1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1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workbookViewId="0">
      <selection activeCell="W58" sqref="W5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72" customWidth="1"/>
    <col min="27" max="28" width="6.140625" style="192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93" t="s">
        <v>167</v>
      </c>
      <c r="O1" s="393"/>
      <c r="P1" s="393"/>
      <c r="Q1" s="125"/>
      <c r="S1" s="393">
        <v>2025</v>
      </c>
      <c r="T1" s="393"/>
      <c r="X1" s="24" t="s">
        <v>75</v>
      </c>
      <c r="AA1" s="394"/>
      <c r="AB1" s="394"/>
      <c r="AC1" s="26"/>
      <c r="AD1" s="26"/>
      <c r="AE1" s="26"/>
    </row>
    <row r="2" spans="3:40" ht="15.75" thickBot="1" x14ac:dyDescent="0.3">
      <c r="E2" s="409" t="s">
        <v>76</v>
      </c>
      <c r="F2" s="410"/>
      <c r="G2" s="411"/>
    </row>
    <row r="4" spans="3:40" s="30" customFormat="1" x14ac:dyDescent="0.25">
      <c r="C4" s="234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</row>
    <row r="5" spans="3:40" s="30" customFormat="1" x14ac:dyDescent="0.25">
      <c r="C5" s="285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</row>
    <row r="6" spans="3:40" s="30" customFormat="1" x14ac:dyDescent="0.25">
      <c r="C6" s="285"/>
      <c r="D6" s="127"/>
      <c r="E6" s="127"/>
      <c r="F6" s="128"/>
      <c r="G6" s="128"/>
      <c r="H6" s="127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7"/>
      <c r="T6" s="127"/>
      <c r="U6" s="128"/>
      <c r="V6" s="128"/>
      <c r="W6" s="127"/>
      <c r="X6" s="127"/>
      <c r="Y6" s="127"/>
      <c r="Z6" s="128"/>
      <c r="AA6" s="128"/>
      <c r="AB6" s="127"/>
      <c r="AC6" s="128"/>
      <c r="AD6" s="128"/>
      <c r="AE6" s="128"/>
      <c r="AF6" s="128"/>
      <c r="AG6" s="128"/>
      <c r="AH6" s="128"/>
      <c r="AI6" s="128"/>
      <c r="AJ6" s="128"/>
      <c r="AK6" s="128"/>
      <c r="AL6" s="127"/>
      <c r="AM6" s="128"/>
      <c r="AN6" s="128"/>
    </row>
    <row r="7" spans="3:40" s="30" customFormat="1" x14ac:dyDescent="0.25">
      <c r="C7" s="285"/>
      <c r="D7" s="127"/>
      <c r="E7" s="127"/>
      <c r="F7" s="128"/>
      <c r="G7" s="128"/>
      <c r="H7" s="127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7"/>
      <c r="T7" s="127"/>
      <c r="U7" s="128"/>
      <c r="V7" s="128"/>
      <c r="W7" s="127"/>
      <c r="X7" s="127"/>
      <c r="Y7" s="127"/>
      <c r="Z7" s="128"/>
      <c r="AA7" s="128"/>
      <c r="AB7" s="127"/>
      <c r="AC7" s="128"/>
      <c r="AD7" s="128"/>
      <c r="AE7" s="128"/>
      <c r="AF7" s="128"/>
      <c r="AG7" s="128"/>
      <c r="AH7" s="128"/>
      <c r="AI7" s="128"/>
      <c r="AJ7" s="128"/>
      <c r="AK7" s="128"/>
      <c r="AL7" s="127"/>
      <c r="AM7" s="128"/>
      <c r="AN7" s="128"/>
    </row>
    <row r="8" spans="3:40" s="30" customFormat="1" x14ac:dyDescent="0.25">
      <c r="C8" s="285"/>
      <c r="D8" s="127"/>
      <c r="E8" s="127"/>
      <c r="F8" s="128"/>
      <c r="G8" s="128"/>
      <c r="H8" s="127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7"/>
      <c r="T8" s="127"/>
      <c r="U8" s="128"/>
      <c r="V8" s="128"/>
      <c r="W8" s="127"/>
      <c r="X8" s="127"/>
      <c r="Y8" s="127"/>
      <c r="Z8" s="128"/>
      <c r="AA8" s="128"/>
      <c r="AB8" s="12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</row>
    <row r="9" spans="3:40" s="30" customFormat="1" x14ac:dyDescent="0.25">
      <c r="C9" s="285"/>
      <c r="D9" s="127"/>
      <c r="E9" s="127"/>
      <c r="F9" s="128"/>
      <c r="G9" s="128"/>
      <c r="H9" s="12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7"/>
      <c r="T9" s="127"/>
      <c r="U9" s="128"/>
      <c r="V9" s="128"/>
      <c r="W9" s="127"/>
      <c r="X9" s="127"/>
      <c r="Y9" s="127"/>
      <c r="Z9" s="128"/>
      <c r="AA9" s="128"/>
      <c r="AB9" s="12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</row>
    <row r="10" spans="3:40" s="30" customFormat="1" x14ac:dyDescent="0.25">
      <c r="C10" s="285"/>
      <c r="D10" s="127"/>
      <c r="E10" s="127"/>
      <c r="F10" s="128"/>
      <c r="G10" s="128"/>
      <c r="H10" s="127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7"/>
      <c r="T10" s="127"/>
      <c r="U10" s="128"/>
      <c r="V10" s="128"/>
      <c r="W10" s="127"/>
      <c r="X10" s="127"/>
      <c r="Y10" s="127"/>
      <c r="Z10" s="128"/>
      <c r="AA10" s="128"/>
      <c r="AB10" s="127"/>
      <c r="AC10" s="128"/>
      <c r="AD10" s="128"/>
      <c r="AE10" s="128"/>
      <c r="AF10" s="128"/>
      <c r="AG10" s="128"/>
      <c r="AH10" s="128"/>
      <c r="AI10" s="128"/>
      <c r="AJ10" s="128"/>
      <c r="AK10" s="128"/>
      <c r="AL10" s="127"/>
      <c r="AM10" s="128"/>
      <c r="AN10" s="128"/>
    </row>
    <row r="11" spans="3:40" s="30" customFormat="1" x14ac:dyDescent="0.25">
      <c r="C11" s="285"/>
      <c r="D11" s="127"/>
      <c r="E11" s="127"/>
      <c r="F11" s="128"/>
      <c r="G11" s="128"/>
      <c r="H11" s="12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7"/>
      <c r="T11" s="127"/>
      <c r="U11" s="128"/>
      <c r="V11" s="128"/>
      <c r="W11" s="127"/>
      <c r="X11" s="127"/>
      <c r="Y11" s="127"/>
      <c r="Z11" s="128"/>
      <c r="AA11" s="128"/>
      <c r="AB11" s="12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</row>
    <row r="12" spans="3:40" s="30" customFormat="1" x14ac:dyDescent="0.25">
      <c r="C12" s="285"/>
      <c r="D12" s="127"/>
      <c r="E12" s="127"/>
      <c r="F12" s="128"/>
      <c r="G12" s="128"/>
      <c r="H12" s="162"/>
      <c r="I12" s="127"/>
      <c r="J12" s="127"/>
      <c r="K12" s="128"/>
      <c r="L12" s="128"/>
      <c r="M12" s="162"/>
      <c r="N12" s="127"/>
      <c r="O12" s="127"/>
      <c r="P12" s="128"/>
      <c r="Q12" s="128"/>
      <c r="R12" s="162"/>
      <c r="S12" s="127"/>
      <c r="T12" s="127"/>
      <c r="U12" s="128"/>
      <c r="V12" s="128"/>
      <c r="W12" s="162"/>
      <c r="X12" s="127"/>
      <c r="Y12" s="127"/>
      <c r="Z12" s="128"/>
      <c r="AA12" s="128"/>
      <c r="AB12" s="162"/>
      <c r="AC12" s="127"/>
      <c r="AD12" s="127"/>
      <c r="AE12" s="128"/>
      <c r="AF12" s="128"/>
      <c r="AG12" s="164"/>
      <c r="AH12" s="127"/>
      <c r="AI12" s="127"/>
      <c r="AJ12" s="128"/>
      <c r="AK12" s="128"/>
      <c r="AL12" s="164"/>
      <c r="AM12" s="164"/>
      <c r="AN12" s="164"/>
    </row>
    <row r="13" spans="3:40" s="30" customFormat="1" ht="15" customHeight="1" x14ac:dyDescent="0.25">
      <c r="C13" s="285"/>
      <c r="D13" s="127"/>
      <c r="E13" s="127"/>
      <c r="F13" s="127"/>
      <c r="G13" s="127"/>
      <c r="H13" s="162"/>
      <c r="I13" s="127"/>
      <c r="J13" s="127"/>
      <c r="K13" s="128"/>
      <c r="L13" s="128"/>
      <c r="M13" s="162"/>
      <c r="N13" s="127"/>
      <c r="O13" s="127"/>
      <c r="P13" s="128"/>
      <c r="Q13" s="128"/>
      <c r="R13" s="162"/>
      <c r="S13" s="127"/>
      <c r="T13" s="127"/>
      <c r="U13" s="128"/>
      <c r="V13" s="128"/>
      <c r="W13" s="162"/>
      <c r="X13" s="127"/>
      <c r="Y13" s="127"/>
      <c r="Z13" s="128"/>
      <c r="AA13" s="128"/>
      <c r="AB13" s="162"/>
      <c r="AC13" s="127"/>
      <c r="AD13" s="127"/>
      <c r="AE13" s="128"/>
      <c r="AF13" s="128"/>
      <c r="AG13" s="164"/>
      <c r="AH13" s="127"/>
      <c r="AI13" s="127"/>
      <c r="AJ13" s="128"/>
      <c r="AK13" s="128"/>
      <c r="AL13" s="164"/>
      <c r="AM13" s="164"/>
      <c r="AN13" s="164"/>
    </row>
    <row r="14" spans="3:40" s="233" customFormat="1" ht="15" hidden="1" customHeight="1" x14ac:dyDescent="0.25">
      <c r="C14" s="287"/>
      <c r="D14" s="127"/>
      <c r="E14" s="127"/>
      <c r="F14" s="127"/>
      <c r="G14" s="127"/>
      <c r="H14" s="162"/>
      <c r="I14" s="127"/>
      <c r="J14" s="127"/>
      <c r="K14" s="127"/>
      <c r="L14" s="127"/>
      <c r="M14" s="162"/>
      <c r="N14" s="127"/>
      <c r="O14" s="127"/>
      <c r="P14" s="127"/>
      <c r="Q14" s="127"/>
      <c r="R14" s="162"/>
      <c r="S14" s="127"/>
      <c r="T14" s="127"/>
      <c r="U14" s="127"/>
      <c r="V14" s="127"/>
      <c r="W14" s="162"/>
      <c r="X14" s="127"/>
      <c r="Y14" s="127"/>
      <c r="Z14" s="127"/>
      <c r="AA14" s="127"/>
      <c r="AB14" s="127"/>
      <c r="AC14" s="127"/>
      <c r="AD14" s="127"/>
      <c r="AE14" s="162"/>
      <c r="AF14" s="127"/>
      <c r="AG14" s="127"/>
      <c r="AH14" s="127"/>
      <c r="AI14" s="127"/>
      <c r="AJ14" s="164"/>
      <c r="AK14" s="127"/>
      <c r="AL14" s="127"/>
      <c r="AM14" s="127"/>
      <c r="AN14" s="127"/>
    </row>
    <row r="15" spans="3:40" s="30" customFormat="1" ht="15" hidden="1" customHeight="1" x14ac:dyDescent="0.25">
      <c r="C15" s="285"/>
      <c r="D15" s="127"/>
      <c r="E15" s="127"/>
      <c r="F15" s="128"/>
      <c r="G15" s="128"/>
      <c r="H15" s="163"/>
      <c r="I15" s="127"/>
      <c r="J15" s="127"/>
      <c r="K15" s="127"/>
      <c r="L15" s="127"/>
      <c r="M15" s="162"/>
      <c r="N15" s="127"/>
      <c r="O15" s="127"/>
      <c r="P15" s="127"/>
      <c r="Q15" s="127"/>
      <c r="R15" s="162"/>
      <c r="S15" s="127"/>
      <c r="T15" s="127"/>
      <c r="U15" s="127"/>
      <c r="V15" s="127"/>
      <c r="W15" s="162"/>
      <c r="X15" s="127"/>
      <c r="Y15" s="127"/>
      <c r="Z15" s="127"/>
      <c r="AA15" s="127"/>
      <c r="AB15" s="127"/>
      <c r="AC15" s="127"/>
      <c r="AD15" s="127"/>
      <c r="AE15" s="162"/>
      <c r="AF15" s="127"/>
      <c r="AG15" s="127"/>
      <c r="AH15" s="127"/>
      <c r="AI15" s="127"/>
      <c r="AJ15" s="164"/>
      <c r="AK15" s="127"/>
      <c r="AL15" s="127"/>
      <c r="AM15" s="127"/>
      <c r="AN15" s="127"/>
    </row>
    <row r="16" spans="3:40" s="30" customFormat="1" ht="15" hidden="1" customHeight="1" x14ac:dyDescent="0.25">
      <c r="C16" s="285"/>
      <c r="D16" s="127"/>
      <c r="E16" s="127"/>
      <c r="F16" s="128"/>
      <c r="G16" s="128"/>
      <c r="H16" s="163"/>
      <c r="I16" s="128"/>
      <c r="J16" s="128"/>
      <c r="K16" s="128"/>
      <c r="L16" s="128"/>
      <c r="M16" s="163"/>
      <c r="N16" s="128"/>
      <c r="O16" s="128"/>
      <c r="P16" s="128"/>
      <c r="Q16" s="128"/>
      <c r="R16" s="162"/>
      <c r="S16" s="127"/>
      <c r="T16" s="127"/>
      <c r="U16" s="128"/>
      <c r="V16" s="128"/>
      <c r="W16" s="163"/>
      <c r="X16" s="127"/>
      <c r="Y16" s="127"/>
      <c r="Z16" s="127"/>
      <c r="AA16" s="127"/>
      <c r="AB16" s="127"/>
      <c r="AC16" s="128"/>
      <c r="AD16" s="128"/>
      <c r="AE16" s="163"/>
      <c r="AF16" s="128"/>
      <c r="AG16" s="128"/>
      <c r="AH16" s="128"/>
      <c r="AI16" s="128"/>
      <c r="AJ16" s="164"/>
      <c r="AK16" s="127"/>
      <c r="AL16" s="127"/>
      <c r="AM16" s="128"/>
      <c r="AN16" s="128"/>
    </row>
    <row r="17" spans="1:40" s="30" customFormat="1" ht="15" hidden="1" customHeight="1" x14ac:dyDescent="0.25">
      <c r="C17" s="286"/>
      <c r="D17" s="127"/>
      <c r="E17" s="127"/>
      <c r="F17" s="128"/>
      <c r="G17" s="128"/>
      <c r="H17" s="163"/>
      <c r="I17" s="128"/>
      <c r="J17" s="128"/>
      <c r="K17" s="128"/>
      <c r="L17" s="128"/>
      <c r="M17" s="128"/>
      <c r="N17" s="128"/>
      <c r="O17" s="128"/>
      <c r="P17" s="128"/>
      <c r="Q17" s="128"/>
      <c r="R17" s="127"/>
      <c r="S17" s="127"/>
      <c r="T17" s="127"/>
      <c r="U17" s="128"/>
      <c r="V17" s="128"/>
      <c r="W17" s="128"/>
      <c r="X17" s="127"/>
      <c r="Y17" s="127"/>
      <c r="Z17" s="127"/>
      <c r="AA17" s="127"/>
      <c r="AB17" s="127"/>
      <c r="AC17" s="128"/>
      <c r="AD17" s="128"/>
      <c r="AE17" s="128"/>
      <c r="AF17" s="128"/>
      <c r="AG17" s="128"/>
      <c r="AH17" s="128"/>
      <c r="AI17" s="128"/>
      <c r="AJ17" s="164"/>
      <c r="AK17" s="127"/>
      <c r="AL17" s="127"/>
      <c r="AM17" s="128"/>
      <c r="AN17" s="128"/>
    </row>
    <row r="18" spans="1:40" s="30" customFormat="1" ht="15" hidden="1" customHeight="1" x14ac:dyDescent="0.25">
      <c r="C18" s="286"/>
      <c r="D18" s="127"/>
      <c r="E18" s="127"/>
      <c r="F18" s="128"/>
      <c r="G18" s="128"/>
      <c r="H18" s="163"/>
      <c r="I18" s="128"/>
      <c r="J18" s="128"/>
      <c r="K18" s="128"/>
      <c r="L18" s="128"/>
      <c r="M18" s="128"/>
      <c r="N18" s="128"/>
      <c r="O18" s="128"/>
      <c r="P18" s="128"/>
      <c r="Q18" s="128"/>
      <c r="R18" s="127"/>
      <c r="S18" s="127"/>
      <c r="T18" s="127"/>
      <c r="U18" s="128"/>
      <c r="V18" s="128"/>
      <c r="W18" s="128"/>
      <c r="X18" s="127"/>
      <c r="Y18" s="127"/>
      <c r="Z18" s="127"/>
      <c r="AA18" s="127"/>
      <c r="AB18" s="127"/>
      <c r="AC18" s="128"/>
      <c r="AD18" s="128"/>
      <c r="AE18" s="128"/>
      <c r="AF18" s="128"/>
      <c r="AG18" s="128"/>
      <c r="AH18" s="128"/>
      <c r="AI18" s="128"/>
      <c r="AJ18" s="164"/>
      <c r="AK18" s="127"/>
      <c r="AL18" s="127"/>
      <c r="AM18" s="128"/>
      <c r="AN18" s="128"/>
    </row>
    <row r="19" spans="1:40" s="30" customFormat="1" ht="15" hidden="1" customHeight="1" x14ac:dyDescent="0.25">
      <c r="C19" s="286"/>
      <c r="D19" s="127"/>
      <c r="E19" s="127"/>
      <c r="F19" s="128"/>
      <c r="G19" s="128"/>
      <c r="H19" s="163"/>
      <c r="I19" s="128"/>
      <c r="J19" s="128"/>
      <c r="K19" s="128"/>
      <c r="L19" s="128"/>
      <c r="M19" s="128"/>
      <c r="N19" s="128"/>
      <c r="O19" s="128"/>
      <c r="P19" s="128"/>
      <c r="Q19" s="128"/>
      <c r="R19" s="127"/>
      <c r="S19" s="127"/>
      <c r="T19" s="127"/>
      <c r="U19" s="128"/>
      <c r="V19" s="128"/>
      <c r="W19" s="128"/>
      <c r="X19" s="127"/>
      <c r="Y19" s="127"/>
      <c r="Z19" s="127"/>
      <c r="AA19" s="127"/>
      <c r="AB19" s="127"/>
      <c r="AC19" s="128"/>
      <c r="AD19" s="128"/>
      <c r="AE19" s="128"/>
      <c r="AF19" s="128"/>
      <c r="AG19" s="128"/>
      <c r="AH19" s="128"/>
      <c r="AI19" s="128"/>
      <c r="AJ19" s="164"/>
      <c r="AK19" s="127"/>
      <c r="AL19" s="127"/>
      <c r="AM19" s="128"/>
      <c r="AN19" s="128"/>
    </row>
    <row r="20" spans="1:40" s="30" customFormat="1" ht="15" hidden="1" customHeight="1" x14ac:dyDescent="0.25">
      <c r="C20" s="286"/>
      <c r="D20" s="127"/>
      <c r="E20" s="127"/>
      <c r="F20" s="128"/>
      <c r="G20" s="128"/>
      <c r="H20" s="163"/>
      <c r="I20" s="128"/>
      <c r="J20" s="128"/>
      <c r="K20" s="128"/>
      <c r="L20" s="128"/>
      <c r="M20" s="128"/>
      <c r="N20" s="128"/>
      <c r="O20" s="128"/>
      <c r="P20" s="128"/>
      <c r="Q20" s="128"/>
      <c r="R20" s="127"/>
      <c r="S20" s="127"/>
      <c r="T20" s="127"/>
      <c r="U20" s="128"/>
      <c r="V20" s="128"/>
      <c r="W20" s="128"/>
      <c r="X20" s="127"/>
      <c r="Y20" s="127"/>
      <c r="Z20" s="127"/>
      <c r="AA20" s="127"/>
      <c r="AB20" s="127"/>
      <c r="AC20" s="128"/>
      <c r="AD20" s="128"/>
      <c r="AE20" s="128"/>
      <c r="AF20" s="128"/>
      <c r="AG20" s="128"/>
      <c r="AH20" s="128"/>
      <c r="AI20" s="128"/>
      <c r="AJ20" s="164"/>
      <c r="AK20" s="127"/>
      <c r="AL20" s="127"/>
      <c r="AM20" s="128"/>
      <c r="AN20" s="128"/>
    </row>
    <row r="21" spans="1:40" s="30" customFormat="1" ht="15" hidden="1" customHeight="1" x14ac:dyDescent="0.25">
      <c r="C21" s="286"/>
      <c r="D21" s="127"/>
      <c r="E21" s="127"/>
      <c r="F21" s="128"/>
      <c r="G21" s="128"/>
      <c r="H21" s="162"/>
      <c r="I21" s="128"/>
      <c r="J21" s="128"/>
      <c r="K21" s="128"/>
      <c r="L21" s="128"/>
      <c r="M21" s="128"/>
      <c r="N21" s="128"/>
      <c r="O21" s="128"/>
      <c r="P21" s="128"/>
      <c r="Q21" s="128"/>
      <c r="R21" s="127"/>
      <c r="S21" s="127"/>
      <c r="T21" s="127"/>
      <c r="U21" s="128"/>
      <c r="V21" s="128"/>
      <c r="W21" s="128"/>
      <c r="X21" s="127"/>
      <c r="Y21" s="127"/>
      <c r="Z21" s="127"/>
      <c r="AA21" s="127"/>
      <c r="AB21" s="127"/>
      <c r="AC21" s="128"/>
      <c r="AD21" s="128"/>
      <c r="AE21" s="128"/>
      <c r="AF21" s="128"/>
      <c r="AG21" s="128"/>
      <c r="AH21" s="128"/>
      <c r="AI21" s="128"/>
      <c r="AJ21" s="164"/>
      <c r="AK21" s="127"/>
      <c r="AL21" s="127"/>
      <c r="AM21" s="128"/>
      <c r="AN21" s="128"/>
    </row>
    <row r="22" spans="1:40" s="30" customFormat="1" ht="15" hidden="1" customHeight="1" x14ac:dyDescent="0.25">
      <c r="C22" s="286"/>
      <c r="D22" s="127"/>
      <c r="E22" s="127"/>
      <c r="F22" s="128"/>
      <c r="G22" s="128"/>
      <c r="H22" s="162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</row>
    <row r="23" spans="1:40" s="30" customFormat="1" ht="15.75" thickBot="1" x14ac:dyDescent="0.3">
      <c r="C23" s="286"/>
      <c r="D23" s="234"/>
      <c r="E23" s="234"/>
      <c r="F23" s="234"/>
      <c r="G23" s="234"/>
    </row>
    <row r="24" spans="1:40" ht="19.5" thickBot="1" x14ac:dyDescent="0.35">
      <c r="C24" s="126"/>
      <c r="I24" s="395"/>
      <c r="J24" s="396"/>
      <c r="K24" s="396"/>
      <c r="L24" s="396"/>
      <c r="M24" s="396"/>
      <c r="N24" s="397"/>
      <c r="Q24" s="194"/>
      <c r="R24" s="398" t="s">
        <v>77</v>
      </c>
      <c r="S24" s="399"/>
      <c r="T24" s="399"/>
      <c r="U24" s="399"/>
      <c r="V24" s="400"/>
    </row>
    <row r="25" spans="1:40" ht="15.75" thickBot="1" x14ac:dyDescent="0.3">
      <c r="A25" s="280"/>
      <c r="B25" s="401" t="s">
        <v>78</v>
      </c>
      <c r="C25" s="402"/>
      <c r="D25" s="402"/>
      <c r="E25" s="402"/>
      <c r="F25" s="402"/>
      <c r="G25" s="402"/>
      <c r="H25" s="402"/>
      <c r="I25" s="403"/>
      <c r="J25" s="403"/>
      <c r="K25" s="403"/>
      <c r="L25" s="403"/>
      <c r="M25" s="403"/>
      <c r="N25" s="403"/>
      <c r="O25" s="402"/>
      <c r="P25" s="402"/>
      <c r="Q25" s="403"/>
      <c r="R25" s="402"/>
      <c r="S25" s="402"/>
      <c r="T25" s="402"/>
      <c r="U25" s="402"/>
      <c r="V25" s="402"/>
      <c r="W25" s="404"/>
      <c r="X25" s="129"/>
      <c r="Y25" s="129"/>
      <c r="Z25" s="129"/>
      <c r="AA25" s="129"/>
      <c r="AB25" s="129"/>
      <c r="AC25" s="130"/>
      <c r="AD25" s="130"/>
      <c r="AE25" s="130"/>
      <c r="AF25" s="131"/>
      <c r="AG25" s="280"/>
      <c r="AH25" s="280"/>
      <c r="AI25" s="280"/>
      <c r="AJ25" s="280"/>
    </row>
    <row r="26" spans="1:40" ht="15.75" thickBot="1" x14ac:dyDescent="0.3">
      <c r="A26" s="280"/>
      <c r="B26" s="231">
        <v>4</v>
      </c>
      <c r="C26" s="232">
        <v>4</v>
      </c>
      <c r="D26" s="405">
        <v>1</v>
      </c>
      <c r="E26" s="405"/>
      <c r="F26" s="405">
        <v>2</v>
      </c>
      <c r="G26" s="405"/>
      <c r="H26" s="405">
        <v>3</v>
      </c>
      <c r="I26" s="405"/>
      <c r="J26" s="405">
        <v>4</v>
      </c>
      <c r="K26" s="405"/>
      <c r="L26" s="405">
        <v>5</v>
      </c>
      <c r="M26" s="406"/>
      <c r="N26" s="406">
        <v>6</v>
      </c>
      <c r="O26" s="407"/>
      <c r="P26" s="406">
        <v>7</v>
      </c>
      <c r="Q26" s="407"/>
      <c r="R26" s="406">
        <v>8</v>
      </c>
      <c r="S26" s="407"/>
      <c r="T26" s="406">
        <v>9</v>
      </c>
      <c r="U26" s="407"/>
      <c r="V26" s="406">
        <v>10</v>
      </c>
      <c r="W26" s="408"/>
      <c r="X26" s="377" t="s">
        <v>113</v>
      </c>
      <c r="Y26" s="378"/>
      <c r="Z26" s="379"/>
      <c r="AA26" s="193"/>
      <c r="AB26" s="193"/>
      <c r="AC26" s="132"/>
      <c r="AD26" s="132"/>
      <c r="AE26" s="132"/>
      <c r="AF26" s="132"/>
      <c r="AG26" s="280"/>
      <c r="AH26" s="280"/>
      <c r="AI26" s="280"/>
      <c r="AJ26" s="280"/>
    </row>
    <row r="27" spans="1:40" s="280" customFormat="1" ht="15.75" thickBot="1" x14ac:dyDescent="0.3">
      <c r="B27" s="237"/>
      <c r="C27" s="133"/>
      <c r="D27" s="238" t="s">
        <v>58</v>
      </c>
      <c r="E27" s="238" t="s">
        <v>59</v>
      </c>
      <c r="F27" s="238" t="s">
        <v>58</v>
      </c>
      <c r="G27" s="238" t="s">
        <v>59</v>
      </c>
      <c r="H27" s="238" t="s">
        <v>58</v>
      </c>
      <c r="I27" s="238" t="s">
        <v>59</v>
      </c>
      <c r="J27" s="238" t="s">
        <v>58</v>
      </c>
      <c r="K27" s="238" t="s">
        <v>59</v>
      </c>
      <c r="L27" s="238" t="s">
        <v>58</v>
      </c>
      <c r="M27" s="238" t="s">
        <v>59</v>
      </c>
      <c r="N27" s="238" t="s">
        <v>58</v>
      </c>
      <c r="O27" s="238" t="s">
        <v>59</v>
      </c>
      <c r="P27" s="238" t="s">
        <v>58</v>
      </c>
      <c r="Q27" s="238" t="s">
        <v>59</v>
      </c>
      <c r="R27" s="238" t="s">
        <v>58</v>
      </c>
      <c r="S27" s="238" t="s">
        <v>59</v>
      </c>
      <c r="T27" s="238" t="s">
        <v>58</v>
      </c>
      <c r="U27" s="238" t="s">
        <v>59</v>
      </c>
      <c r="V27" s="238" t="s">
        <v>58</v>
      </c>
      <c r="W27" s="238" t="s">
        <v>59</v>
      </c>
      <c r="X27" s="239" t="s">
        <v>79</v>
      </c>
      <c r="Y27" s="240" t="s">
        <v>107</v>
      </c>
      <c r="Z27" s="241" t="s">
        <v>114</v>
      </c>
      <c r="AA27" s="54" t="s">
        <v>148</v>
      </c>
      <c r="AB27" s="54" t="s">
        <v>149</v>
      </c>
      <c r="AC27" s="359" t="s">
        <v>103</v>
      </c>
      <c r="AD27" s="360"/>
      <c r="AE27" s="359" t="s">
        <v>104</v>
      </c>
      <c r="AF27" s="360"/>
      <c r="AG27" s="361" t="s">
        <v>105</v>
      </c>
      <c r="AH27" s="361"/>
      <c r="AI27" s="361" t="s">
        <v>106</v>
      </c>
      <c r="AJ27" s="361"/>
    </row>
    <row r="28" spans="1:40" x14ac:dyDescent="0.25">
      <c r="A28" s="280"/>
      <c r="B28" s="517" t="s">
        <v>80</v>
      </c>
      <c r="C28" s="518">
        <v>45866</v>
      </c>
      <c r="D28" s="519"/>
      <c r="E28" s="519"/>
      <c r="F28" s="519"/>
      <c r="G28" s="519"/>
      <c r="H28" s="519"/>
      <c r="I28" s="519"/>
      <c r="J28" s="519"/>
      <c r="K28" s="519"/>
      <c r="L28" s="519"/>
      <c r="M28" s="519"/>
      <c r="N28" s="519"/>
      <c r="O28" s="519"/>
      <c r="P28" s="519"/>
      <c r="Q28" s="519"/>
      <c r="R28" s="519"/>
      <c r="S28" s="519"/>
      <c r="T28" s="519"/>
      <c r="U28" s="519"/>
      <c r="V28" s="519"/>
      <c r="W28" s="521"/>
      <c r="X28" s="522"/>
      <c r="Y28" s="520"/>
      <c r="Z28" s="523"/>
      <c r="AA28" s="524"/>
      <c r="AB28" s="525"/>
      <c r="AC28" s="526"/>
      <c r="AD28" s="526"/>
      <c r="AE28" s="527" t="str">
        <f>TRUNC(SUM(AC28:AC34)*24,0) &amp; "h" &amp; RIGHT("00"&amp;ROUND(((SUM(AC28:AC34)*24)-TRUNC(SUM(AC28:AC34)*24,0))*60,2),2)</f>
        <v>0h00</v>
      </c>
      <c r="AF28" s="527"/>
      <c r="AG28" s="528"/>
      <c r="AH28" s="528"/>
      <c r="AI28" s="527" t="str">
        <f>TRUNC(SUM(AG28:AG34)*24,0) &amp; "h" &amp; RIGHT("00"&amp;ROUND(((SUM(AG28:AG34)*24)-TRUNC(SUM(AG28:AG34)*24,0))*60,2),2)</f>
        <v>0h00</v>
      </c>
      <c r="AJ28" s="527"/>
    </row>
    <row r="29" spans="1:40" ht="14.1" customHeight="1" x14ac:dyDescent="0.25">
      <c r="A29" s="280"/>
      <c r="B29" s="261" t="s">
        <v>81</v>
      </c>
      <c r="C29" s="258">
        <v>45867</v>
      </c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88"/>
      <c r="X29" s="299"/>
      <c r="Y29" s="243"/>
      <c r="Z29" s="300"/>
      <c r="AA29" s="313"/>
      <c r="AB29" s="314"/>
      <c r="AC29" s="382"/>
      <c r="AD29" s="382"/>
      <c r="AE29" s="352"/>
      <c r="AF29" s="352"/>
      <c r="AG29" s="366"/>
      <c r="AH29" s="366"/>
      <c r="AI29" s="352"/>
      <c r="AJ29" s="352"/>
    </row>
    <row r="30" spans="1:40" ht="14.1" customHeight="1" x14ac:dyDescent="0.25">
      <c r="A30" s="280"/>
      <c r="B30" s="261" t="s">
        <v>82</v>
      </c>
      <c r="C30" s="258">
        <v>45868</v>
      </c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4"/>
      <c r="P30" s="244"/>
      <c r="Q30" s="244"/>
      <c r="R30" s="244"/>
      <c r="S30" s="244"/>
      <c r="T30" s="244"/>
      <c r="U30" s="244"/>
      <c r="V30" s="244"/>
      <c r="W30" s="289"/>
      <c r="X30" s="301"/>
      <c r="Y30" s="245"/>
      <c r="Z30" s="302"/>
      <c r="AA30" s="315"/>
      <c r="AB30" s="316"/>
      <c r="AC30" s="380"/>
      <c r="AD30" s="380"/>
      <c r="AE30" s="351"/>
      <c r="AF30" s="351"/>
      <c r="AG30" s="375"/>
      <c r="AH30" s="375"/>
      <c r="AI30" s="351"/>
      <c r="AJ30" s="351"/>
    </row>
    <row r="31" spans="1:40" ht="14.1" customHeight="1" x14ac:dyDescent="0.25">
      <c r="A31" s="280"/>
      <c r="B31" s="261" t="s">
        <v>83</v>
      </c>
      <c r="C31" s="258">
        <v>45869</v>
      </c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88"/>
      <c r="X31" s="299"/>
      <c r="Y31" s="243"/>
      <c r="Z31" s="300"/>
      <c r="AA31" s="313"/>
      <c r="AB31" s="314"/>
      <c r="AC31" s="382"/>
      <c r="AD31" s="382"/>
      <c r="AE31" s="352"/>
      <c r="AF31" s="352"/>
      <c r="AG31" s="366"/>
      <c r="AH31" s="366"/>
      <c r="AI31" s="352"/>
      <c r="AJ31" s="352"/>
    </row>
    <row r="32" spans="1:40" ht="14.1" customHeight="1" x14ac:dyDescent="0.25">
      <c r="A32" s="280"/>
      <c r="B32" s="261" t="s">
        <v>84</v>
      </c>
      <c r="C32" s="258">
        <v>45870</v>
      </c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44"/>
      <c r="O32" s="244"/>
      <c r="P32" s="244"/>
      <c r="Q32" s="244"/>
      <c r="R32" s="244"/>
      <c r="S32" s="244"/>
      <c r="T32" s="244"/>
      <c r="U32" s="244"/>
      <c r="V32" s="244"/>
      <c r="W32" s="289"/>
      <c r="X32" s="301"/>
      <c r="Y32" s="245"/>
      <c r="Z32" s="302"/>
      <c r="AA32" s="315"/>
      <c r="AB32" s="316"/>
      <c r="AC32" s="380"/>
      <c r="AD32" s="380"/>
      <c r="AE32" s="351"/>
      <c r="AF32" s="351"/>
      <c r="AG32" s="375"/>
      <c r="AH32" s="375"/>
      <c r="AI32" s="351"/>
      <c r="AJ32" s="351"/>
    </row>
    <row r="33" spans="1:42" ht="14.1" customHeight="1" x14ac:dyDescent="0.25">
      <c r="A33" s="280"/>
      <c r="B33" s="261" t="s">
        <v>85</v>
      </c>
      <c r="C33" s="258">
        <v>45871</v>
      </c>
      <c r="D33" s="242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2"/>
      <c r="T33" s="242"/>
      <c r="U33" s="242"/>
      <c r="V33" s="242"/>
      <c r="W33" s="288"/>
      <c r="X33" s="299"/>
      <c r="Y33" s="243"/>
      <c r="Z33" s="300"/>
      <c r="AA33" s="313"/>
      <c r="AB33" s="314"/>
      <c r="AC33" s="382"/>
      <c r="AD33" s="382"/>
      <c r="AE33" s="352"/>
      <c r="AF33" s="352"/>
      <c r="AG33" s="366"/>
      <c r="AH33" s="366"/>
      <c r="AI33" s="352"/>
      <c r="AJ33" s="352"/>
    </row>
    <row r="34" spans="1:42" ht="14.1" customHeight="1" x14ac:dyDescent="0.25">
      <c r="A34" s="280"/>
      <c r="B34" s="264" t="s">
        <v>86</v>
      </c>
      <c r="C34" s="265">
        <v>45872</v>
      </c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290"/>
      <c r="X34" s="303"/>
      <c r="Y34" s="252"/>
      <c r="Z34" s="304"/>
      <c r="AA34" s="317"/>
      <c r="AB34" s="318"/>
      <c r="AC34" s="385"/>
      <c r="AD34" s="385"/>
      <c r="AE34" s="367"/>
      <c r="AF34" s="367"/>
      <c r="AG34" s="390"/>
      <c r="AH34" s="390"/>
      <c r="AI34" s="367"/>
      <c r="AJ34" s="367"/>
    </row>
    <row r="35" spans="1:42" ht="14.1" customHeight="1" x14ac:dyDescent="0.25">
      <c r="A35" s="280"/>
      <c r="B35" s="266" t="s">
        <v>80</v>
      </c>
      <c r="C35" s="267">
        <v>45873</v>
      </c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91"/>
      <c r="X35" s="305"/>
      <c r="Y35" s="249"/>
      <c r="Z35" s="306"/>
      <c r="AA35" s="319"/>
      <c r="AB35" s="320"/>
      <c r="AC35" s="386"/>
      <c r="AD35" s="386"/>
      <c r="AE35" s="350" t="str">
        <f>TRUNC(SUM(AC35:AC41)*24,0) &amp; "h" &amp; RIGHT("00"&amp;ROUND(((SUM(AC35:AC41)*24)-TRUNC(SUM(AC35:AC41)*24,0))*60,2),2)</f>
        <v>0h00</v>
      </c>
      <c r="AF35" s="350"/>
      <c r="AG35" s="389"/>
      <c r="AH35" s="389"/>
      <c r="AI35" s="350" t="str">
        <f>TRUNC(SUM(AG35:AG41)*24,0) &amp; "h" &amp; RIGHT("00"&amp;ROUND(((SUM(AG35:AG41)*24)-TRUNC(SUM(AG35:AG41)*24,0))*60,2),2)</f>
        <v>0h00</v>
      </c>
      <c r="AJ35" s="350"/>
      <c r="AK35" s="173"/>
      <c r="AL35" s="173"/>
      <c r="AM35" s="173"/>
      <c r="AN35" s="173"/>
      <c r="AO35" s="173"/>
      <c r="AP35" s="173"/>
    </row>
    <row r="36" spans="1:42" ht="14.1" customHeight="1" x14ac:dyDescent="0.25">
      <c r="A36" s="280"/>
      <c r="B36" s="261" t="s">
        <v>81</v>
      </c>
      <c r="C36" s="258">
        <v>45874</v>
      </c>
      <c r="D36" s="244"/>
      <c r="E36" s="244"/>
      <c r="F36" s="244"/>
      <c r="G36" s="244"/>
      <c r="H36" s="244"/>
      <c r="I36" s="244"/>
      <c r="J36" s="244"/>
      <c r="K36" s="244"/>
      <c r="L36" s="244"/>
      <c r="M36" s="244"/>
      <c r="N36" s="244"/>
      <c r="O36" s="244"/>
      <c r="P36" s="244"/>
      <c r="Q36" s="244"/>
      <c r="R36" s="244"/>
      <c r="S36" s="244"/>
      <c r="T36" s="244"/>
      <c r="U36" s="244"/>
      <c r="V36" s="244"/>
      <c r="W36" s="289"/>
      <c r="X36" s="301"/>
      <c r="Y36" s="245"/>
      <c r="Z36" s="302"/>
      <c r="AA36" s="315"/>
      <c r="AB36" s="316"/>
      <c r="AC36" s="380"/>
      <c r="AD36" s="380"/>
      <c r="AE36" s="351"/>
      <c r="AF36" s="351"/>
      <c r="AG36" s="375"/>
      <c r="AH36" s="375"/>
      <c r="AI36" s="351"/>
      <c r="AJ36" s="351"/>
      <c r="AK36" s="174"/>
      <c r="AL36" s="174"/>
      <c r="AM36" s="174"/>
      <c r="AN36" s="174"/>
      <c r="AO36" s="174"/>
      <c r="AP36" s="173"/>
    </row>
    <row r="37" spans="1:42" ht="14.1" customHeight="1" x14ac:dyDescent="0.25">
      <c r="A37" s="280"/>
      <c r="B37" s="261" t="s">
        <v>82</v>
      </c>
      <c r="C37" s="258">
        <v>45875</v>
      </c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88"/>
      <c r="X37" s="299"/>
      <c r="Y37" s="243"/>
      <c r="Z37" s="300"/>
      <c r="AA37" s="313"/>
      <c r="AB37" s="314"/>
      <c r="AC37" s="382"/>
      <c r="AD37" s="382"/>
      <c r="AE37" s="352"/>
      <c r="AF37" s="352"/>
      <c r="AG37" s="366"/>
      <c r="AH37" s="366"/>
      <c r="AI37" s="352"/>
      <c r="AJ37" s="352"/>
      <c r="AK37" s="173"/>
      <c r="AL37" s="175"/>
      <c r="AM37" s="173"/>
      <c r="AN37" s="173"/>
      <c r="AO37" s="173"/>
      <c r="AP37" s="173"/>
    </row>
    <row r="38" spans="1:42" ht="14.1" customHeight="1" x14ac:dyDescent="0.25">
      <c r="A38" s="280"/>
      <c r="B38" s="261" t="s">
        <v>83</v>
      </c>
      <c r="C38" s="258">
        <v>45876</v>
      </c>
      <c r="D38" s="244"/>
      <c r="E38" s="244"/>
      <c r="F38" s="244"/>
      <c r="G38" s="244"/>
      <c r="H38" s="244"/>
      <c r="I38" s="244"/>
      <c r="J38" s="246"/>
      <c r="K38" s="246"/>
      <c r="L38" s="246"/>
      <c r="M38" s="246"/>
      <c r="N38" s="246"/>
      <c r="O38" s="246"/>
      <c r="P38" s="246"/>
      <c r="Q38" s="246"/>
      <c r="R38" s="246"/>
      <c r="S38" s="246"/>
      <c r="T38" s="246"/>
      <c r="U38" s="246"/>
      <c r="V38" s="246"/>
      <c r="W38" s="292"/>
      <c r="X38" s="301"/>
      <c r="Y38" s="245"/>
      <c r="Z38" s="302"/>
      <c r="AA38" s="315"/>
      <c r="AB38" s="316"/>
      <c r="AC38" s="380"/>
      <c r="AD38" s="380"/>
      <c r="AE38" s="351"/>
      <c r="AF38" s="351"/>
      <c r="AG38" s="375"/>
      <c r="AH38" s="375"/>
      <c r="AI38" s="351"/>
      <c r="AJ38" s="351"/>
      <c r="AK38" s="174"/>
      <c r="AL38" s="174"/>
      <c r="AM38" s="174"/>
      <c r="AN38" s="174"/>
      <c r="AO38" s="174"/>
      <c r="AP38" s="173"/>
    </row>
    <row r="39" spans="1:42" ht="14.1" customHeight="1" x14ac:dyDescent="0.25">
      <c r="A39" s="280"/>
      <c r="B39" s="261" t="s">
        <v>84</v>
      </c>
      <c r="C39" s="258">
        <v>45877</v>
      </c>
      <c r="D39" s="242"/>
      <c r="E39" s="242"/>
      <c r="F39" s="242"/>
      <c r="G39" s="242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  <c r="U39" s="247"/>
      <c r="V39" s="247"/>
      <c r="W39" s="293"/>
      <c r="X39" s="299"/>
      <c r="Y39" s="243"/>
      <c r="Z39" s="300"/>
      <c r="AA39" s="313"/>
      <c r="AB39" s="314"/>
      <c r="AC39" s="382"/>
      <c r="AD39" s="382"/>
      <c r="AE39" s="352"/>
      <c r="AF39" s="352"/>
      <c r="AG39" s="366"/>
      <c r="AH39" s="366"/>
      <c r="AI39" s="352"/>
      <c r="AJ39" s="352"/>
      <c r="AK39" s="173"/>
      <c r="AL39" s="173"/>
      <c r="AM39" s="173"/>
      <c r="AN39" s="173"/>
      <c r="AO39" s="173"/>
      <c r="AP39" s="173"/>
    </row>
    <row r="40" spans="1:42" ht="14.1" customHeight="1" x14ac:dyDescent="0.25">
      <c r="A40" s="280"/>
      <c r="B40" s="261" t="s">
        <v>85</v>
      </c>
      <c r="C40" s="258">
        <v>45878</v>
      </c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92"/>
      <c r="X40" s="301"/>
      <c r="Y40" s="245"/>
      <c r="Z40" s="302"/>
      <c r="AA40" s="315"/>
      <c r="AB40" s="316"/>
      <c r="AC40" s="380"/>
      <c r="AD40" s="380"/>
      <c r="AE40" s="351"/>
      <c r="AF40" s="351"/>
      <c r="AG40" s="375"/>
      <c r="AH40" s="375"/>
      <c r="AI40" s="351"/>
      <c r="AJ40" s="351"/>
      <c r="AK40" s="173"/>
      <c r="AL40" s="173"/>
      <c r="AM40" s="173"/>
      <c r="AN40" s="173"/>
      <c r="AO40" s="173"/>
      <c r="AP40" s="173"/>
    </row>
    <row r="41" spans="1:42" ht="14.1" customHeight="1" x14ac:dyDescent="0.25">
      <c r="A41" s="280"/>
      <c r="B41" s="262" t="s">
        <v>86</v>
      </c>
      <c r="C41" s="263">
        <v>45879</v>
      </c>
      <c r="D41" s="255"/>
      <c r="E41" s="255"/>
      <c r="F41" s="255"/>
      <c r="G41" s="255"/>
      <c r="H41" s="255"/>
      <c r="I41" s="255"/>
      <c r="J41" s="255"/>
      <c r="K41" s="255"/>
      <c r="L41" s="255"/>
      <c r="M41" s="255"/>
      <c r="N41" s="255"/>
      <c r="O41" s="255"/>
      <c r="P41" s="255"/>
      <c r="Q41" s="255"/>
      <c r="R41" s="255"/>
      <c r="S41" s="255"/>
      <c r="T41" s="255"/>
      <c r="U41" s="255"/>
      <c r="V41" s="255"/>
      <c r="W41" s="294"/>
      <c r="X41" s="307"/>
      <c r="Y41" s="248"/>
      <c r="Z41" s="308"/>
      <c r="AA41" s="321"/>
      <c r="AB41" s="322"/>
      <c r="AC41" s="384"/>
      <c r="AD41" s="384"/>
      <c r="AE41" s="353"/>
      <c r="AF41" s="353"/>
      <c r="AG41" s="388"/>
      <c r="AH41" s="388"/>
      <c r="AI41" s="353"/>
      <c r="AJ41" s="353"/>
      <c r="AK41" s="173"/>
      <c r="AL41" s="173"/>
      <c r="AM41" s="173"/>
      <c r="AN41" s="173"/>
      <c r="AO41" s="173"/>
      <c r="AP41" s="173"/>
    </row>
    <row r="42" spans="1:42" ht="14.1" customHeight="1" x14ac:dyDescent="0.25">
      <c r="A42" s="280"/>
      <c r="B42" s="259" t="s">
        <v>80</v>
      </c>
      <c r="C42" s="260">
        <v>45880</v>
      </c>
      <c r="D42" s="253"/>
      <c r="E42" s="253"/>
      <c r="F42" s="253"/>
      <c r="G42" s="253"/>
      <c r="H42" s="253"/>
      <c r="I42" s="253"/>
      <c r="J42" s="253"/>
      <c r="K42" s="253"/>
      <c r="L42" s="253"/>
      <c r="M42" s="253"/>
      <c r="N42" s="253"/>
      <c r="O42" s="253"/>
      <c r="P42" s="253"/>
      <c r="Q42" s="253"/>
      <c r="R42" s="253"/>
      <c r="S42" s="253"/>
      <c r="T42" s="253"/>
      <c r="U42" s="253"/>
      <c r="V42" s="253"/>
      <c r="W42" s="295"/>
      <c r="X42" s="309"/>
      <c r="Y42" s="254"/>
      <c r="Z42" s="310"/>
      <c r="AA42" s="323"/>
      <c r="AB42" s="324"/>
      <c r="AC42" s="381"/>
      <c r="AD42" s="381"/>
      <c r="AE42" s="354" t="str">
        <f>TRUNC(SUM(AC42:AC48)*24,0) &amp; "h" &amp; RIGHT("00"&amp;ROUND(((SUM(AC42:AC48)*24)-TRUNC(SUM(AC42:AC48)*24,0))*60,2),2)</f>
        <v>0h00</v>
      </c>
      <c r="AF42" s="354"/>
      <c r="AG42" s="374"/>
      <c r="AH42" s="374"/>
      <c r="AI42" s="354" t="str">
        <f>TRUNC(SUM(AG42:AG48)*24,0) &amp; "h" &amp; RIGHT("00"&amp;ROUND(((SUM(AG42:AG48)*24)-TRUNC(SUM(AG42:AG48)*24,0))*60,2),2)</f>
        <v>0h00</v>
      </c>
      <c r="AJ42" s="354"/>
      <c r="AK42" s="173"/>
      <c r="AL42" s="173"/>
      <c r="AM42" s="173"/>
      <c r="AN42" s="173"/>
      <c r="AO42" s="173"/>
      <c r="AP42" s="173"/>
    </row>
    <row r="43" spans="1:42" ht="14.1" customHeight="1" x14ac:dyDescent="0.25">
      <c r="A43" s="280"/>
      <c r="B43" s="261" t="s">
        <v>81</v>
      </c>
      <c r="C43" s="258">
        <v>45881</v>
      </c>
      <c r="D43" s="242"/>
      <c r="E43" s="242"/>
      <c r="F43" s="242"/>
      <c r="G43" s="242"/>
      <c r="H43" s="242"/>
      <c r="I43" s="242"/>
      <c r="J43" s="242"/>
      <c r="K43" s="242"/>
      <c r="L43" s="242"/>
      <c r="M43" s="242"/>
      <c r="N43" s="242"/>
      <c r="O43" s="242"/>
      <c r="P43" s="242"/>
      <c r="Q43" s="242"/>
      <c r="R43" s="242"/>
      <c r="S43" s="242"/>
      <c r="T43" s="242"/>
      <c r="U43" s="242"/>
      <c r="V43" s="242"/>
      <c r="W43" s="288"/>
      <c r="X43" s="299"/>
      <c r="Y43" s="243"/>
      <c r="Z43" s="300"/>
      <c r="AA43" s="313"/>
      <c r="AB43" s="314"/>
      <c r="AC43" s="382"/>
      <c r="AD43" s="382"/>
      <c r="AE43" s="352"/>
      <c r="AF43" s="352"/>
      <c r="AG43" s="366"/>
      <c r="AH43" s="366"/>
      <c r="AI43" s="352"/>
      <c r="AJ43" s="352"/>
      <c r="AK43" s="173"/>
      <c r="AL43" s="173"/>
      <c r="AM43" s="173"/>
      <c r="AN43" s="173"/>
      <c r="AO43" s="173"/>
      <c r="AP43" s="173"/>
    </row>
    <row r="44" spans="1:42" ht="14.1" customHeight="1" x14ac:dyDescent="0.25">
      <c r="A44" s="280"/>
      <c r="B44" s="261" t="s">
        <v>82</v>
      </c>
      <c r="C44" s="258">
        <v>45882</v>
      </c>
      <c r="D44" s="244"/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4"/>
      <c r="P44" s="244"/>
      <c r="Q44" s="244"/>
      <c r="R44" s="244"/>
      <c r="S44" s="244"/>
      <c r="T44" s="244"/>
      <c r="U44" s="244"/>
      <c r="V44" s="244"/>
      <c r="W44" s="289"/>
      <c r="X44" s="301"/>
      <c r="Y44" s="245"/>
      <c r="Z44" s="302"/>
      <c r="AA44" s="315"/>
      <c r="AB44" s="316"/>
      <c r="AC44" s="380"/>
      <c r="AD44" s="380"/>
      <c r="AE44" s="351"/>
      <c r="AF44" s="351"/>
      <c r="AG44" s="375"/>
      <c r="AH44" s="375"/>
      <c r="AI44" s="351"/>
      <c r="AJ44" s="351"/>
      <c r="AK44" s="173"/>
      <c r="AL44" s="173"/>
      <c r="AM44" s="173"/>
      <c r="AN44" s="173"/>
      <c r="AO44" s="173"/>
      <c r="AP44" s="173"/>
    </row>
    <row r="45" spans="1:42" ht="14.1" customHeight="1" x14ac:dyDescent="0.25">
      <c r="A45" s="280"/>
      <c r="B45" s="261" t="s">
        <v>83</v>
      </c>
      <c r="C45" s="258">
        <v>45883</v>
      </c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  <c r="Q45" s="242"/>
      <c r="R45" s="242"/>
      <c r="S45" s="242"/>
      <c r="T45" s="242"/>
      <c r="U45" s="242"/>
      <c r="V45" s="242"/>
      <c r="W45" s="288"/>
      <c r="X45" s="299"/>
      <c r="Y45" s="243"/>
      <c r="Z45" s="300"/>
      <c r="AA45" s="313"/>
      <c r="AB45" s="314"/>
      <c r="AC45" s="382"/>
      <c r="AD45" s="382"/>
      <c r="AE45" s="352"/>
      <c r="AF45" s="352"/>
      <c r="AG45" s="366"/>
      <c r="AH45" s="366"/>
      <c r="AI45" s="352"/>
      <c r="AJ45" s="352"/>
      <c r="AK45" s="173"/>
      <c r="AL45" s="173"/>
      <c r="AM45" s="173"/>
      <c r="AN45" s="173"/>
      <c r="AO45" s="173"/>
      <c r="AP45" s="173"/>
    </row>
    <row r="46" spans="1:42" ht="14.1" customHeight="1" x14ac:dyDescent="0.25">
      <c r="A46" s="280"/>
      <c r="B46" s="261" t="s">
        <v>84</v>
      </c>
      <c r="C46" s="258">
        <v>45884</v>
      </c>
      <c r="D46" s="497"/>
      <c r="E46" s="497"/>
      <c r="F46" s="497"/>
      <c r="G46" s="497"/>
      <c r="H46" s="497"/>
      <c r="I46" s="497"/>
      <c r="J46" s="497"/>
      <c r="K46" s="497"/>
      <c r="L46" s="497"/>
      <c r="M46" s="497"/>
      <c r="N46" s="497"/>
      <c r="O46" s="497"/>
      <c r="P46" s="497"/>
      <c r="Q46" s="497"/>
      <c r="R46" s="497"/>
      <c r="S46" s="497"/>
      <c r="T46" s="497"/>
      <c r="U46" s="497"/>
      <c r="V46" s="497"/>
      <c r="W46" s="498"/>
      <c r="X46" s="499"/>
      <c r="Y46" s="500"/>
      <c r="Z46" s="501"/>
      <c r="AA46" s="502"/>
      <c r="AB46" s="503"/>
      <c r="AC46" s="504"/>
      <c r="AD46" s="504"/>
      <c r="AE46" s="351"/>
      <c r="AF46" s="351"/>
      <c r="AG46" s="505"/>
      <c r="AH46" s="375"/>
      <c r="AI46" s="351"/>
      <c r="AJ46" s="351"/>
      <c r="AK46" s="173"/>
      <c r="AL46" s="173"/>
      <c r="AM46" s="173"/>
      <c r="AN46" s="173"/>
      <c r="AO46" s="173"/>
      <c r="AP46" s="173"/>
    </row>
    <row r="47" spans="1:42" ht="14.1" customHeight="1" x14ac:dyDescent="0.25">
      <c r="A47" s="280"/>
      <c r="B47" s="261" t="s">
        <v>85</v>
      </c>
      <c r="C47" s="258">
        <v>45885</v>
      </c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88"/>
      <c r="X47" s="299"/>
      <c r="Y47" s="243"/>
      <c r="Z47" s="300"/>
      <c r="AA47" s="313"/>
      <c r="AB47" s="314"/>
      <c r="AC47" s="382"/>
      <c r="AD47" s="382"/>
      <c r="AE47" s="352"/>
      <c r="AF47" s="352"/>
      <c r="AG47" s="366"/>
      <c r="AH47" s="366"/>
      <c r="AI47" s="352"/>
      <c r="AJ47" s="352"/>
      <c r="AK47" s="173"/>
      <c r="AL47" s="173"/>
      <c r="AM47" s="173"/>
      <c r="AN47" s="173"/>
      <c r="AO47" s="173"/>
      <c r="AP47" s="173"/>
    </row>
    <row r="48" spans="1:42" ht="14.1" customHeight="1" x14ac:dyDescent="0.25">
      <c r="A48" s="280"/>
      <c r="B48" s="264" t="s">
        <v>86</v>
      </c>
      <c r="C48" s="265">
        <v>45886</v>
      </c>
      <c r="D48" s="251"/>
      <c r="E48" s="251"/>
      <c r="F48" s="251"/>
      <c r="G48" s="251"/>
      <c r="H48" s="251"/>
      <c r="I48" s="251"/>
      <c r="J48" s="251"/>
      <c r="K48" s="251"/>
      <c r="L48" s="251"/>
      <c r="M48" s="251"/>
      <c r="N48" s="251"/>
      <c r="O48" s="251"/>
      <c r="P48" s="251"/>
      <c r="Q48" s="251"/>
      <c r="R48" s="251"/>
      <c r="S48" s="251"/>
      <c r="T48" s="251"/>
      <c r="U48" s="251"/>
      <c r="V48" s="251"/>
      <c r="W48" s="290"/>
      <c r="X48" s="303"/>
      <c r="Y48" s="252"/>
      <c r="Z48" s="304"/>
      <c r="AA48" s="317"/>
      <c r="AB48" s="318"/>
      <c r="AC48" s="385"/>
      <c r="AD48" s="385"/>
      <c r="AE48" s="367"/>
      <c r="AF48" s="367"/>
      <c r="AG48" s="390"/>
      <c r="AH48" s="390"/>
      <c r="AI48" s="367"/>
      <c r="AJ48" s="367"/>
    </row>
    <row r="49" spans="1:36" ht="14.1" customHeight="1" x14ac:dyDescent="0.25">
      <c r="A49" s="280"/>
      <c r="B49" s="266" t="s">
        <v>80</v>
      </c>
      <c r="C49" s="267">
        <v>45887</v>
      </c>
      <c r="D49" s="250"/>
      <c r="E49" s="250"/>
      <c r="F49" s="250"/>
      <c r="G49" s="250"/>
      <c r="H49" s="250"/>
      <c r="I49" s="250"/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  <c r="U49" s="250"/>
      <c r="V49" s="250"/>
      <c r="W49" s="291"/>
      <c r="X49" s="305"/>
      <c r="Y49" s="249"/>
      <c r="Z49" s="306"/>
      <c r="AA49" s="319"/>
      <c r="AB49" s="320"/>
      <c r="AC49" s="386"/>
      <c r="AD49" s="386"/>
      <c r="AE49" s="350" t="str">
        <f>TRUNC(SUM(AC49:AC55)*24,0) &amp; "h" &amp; RIGHT("00"&amp;ROUND(((SUM(AC49:AC55)*24)-TRUNC(SUM(AC49:AC55)*24,0))*60,2),2)</f>
        <v>0h00</v>
      </c>
      <c r="AF49" s="350"/>
      <c r="AG49" s="389"/>
      <c r="AH49" s="389"/>
      <c r="AI49" s="350" t="str">
        <f>TRUNC(SUM(AG49:AG55)*24,0) &amp; "h" &amp; RIGHT("00"&amp;ROUND(((SUM(AG49:AG55)*24)-TRUNC(SUM(AG49:AG55)*24,0))*60,2),2)</f>
        <v>0h00</v>
      </c>
      <c r="AJ49" s="350"/>
    </row>
    <row r="50" spans="1:36" ht="14.1" customHeight="1" x14ac:dyDescent="0.25">
      <c r="A50" s="280"/>
      <c r="B50" s="261" t="s">
        <v>81</v>
      </c>
      <c r="C50" s="258">
        <v>45888</v>
      </c>
      <c r="D50" s="244"/>
      <c r="E50" s="244"/>
      <c r="F50" s="244"/>
      <c r="G50" s="244"/>
      <c r="H50" s="244"/>
      <c r="I50" s="244"/>
      <c r="J50" s="244"/>
      <c r="K50" s="244"/>
      <c r="L50" s="244"/>
      <c r="M50" s="244"/>
      <c r="N50" s="244"/>
      <c r="O50" s="244"/>
      <c r="P50" s="244"/>
      <c r="Q50" s="244"/>
      <c r="R50" s="244"/>
      <c r="S50" s="244"/>
      <c r="T50" s="244"/>
      <c r="U50" s="244"/>
      <c r="V50" s="244"/>
      <c r="W50" s="289"/>
      <c r="X50" s="301"/>
      <c r="Y50" s="245"/>
      <c r="Z50" s="302"/>
      <c r="AA50" s="315"/>
      <c r="AB50" s="316"/>
      <c r="AC50" s="380"/>
      <c r="AD50" s="380"/>
      <c r="AE50" s="351"/>
      <c r="AF50" s="351"/>
      <c r="AG50" s="375"/>
      <c r="AH50" s="375"/>
      <c r="AI50" s="351"/>
      <c r="AJ50" s="351"/>
    </row>
    <row r="51" spans="1:36" ht="14.1" customHeight="1" x14ac:dyDescent="0.25">
      <c r="A51" s="280"/>
      <c r="B51" s="261" t="s">
        <v>82</v>
      </c>
      <c r="C51" s="258">
        <v>45889</v>
      </c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2"/>
      <c r="O51" s="242"/>
      <c r="P51" s="242"/>
      <c r="Q51" s="242"/>
      <c r="R51" s="242"/>
      <c r="S51" s="242"/>
      <c r="T51" s="242"/>
      <c r="U51" s="242"/>
      <c r="V51" s="242"/>
      <c r="W51" s="288"/>
      <c r="X51" s="299"/>
      <c r="Y51" s="243"/>
      <c r="Z51" s="300"/>
      <c r="AA51" s="313"/>
      <c r="AB51" s="314"/>
      <c r="AC51" s="382"/>
      <c r="AD51" s="382"/>
      <c r="AE51" s="352"/>
      <c r="AF51" s="352"/>
      <c r="AG51" s="366"/>
      <c r="AH51" s="366"/>
      <c r="AI51" s="352"/>
      <c r="AJ51" s="352"/>
    </row>
    <row r="52" spans="1:36" ht="14.1" customHeight="1" x14ac:dyDescent="0.25">
      <c r="A52" s="280"/>
      <c r="B52" s="261" t="s">
        <v>83</v>
      </c>
      <c r="C52" s="258">
        <v>45890</v>
      </c>
      <c r="D52" s="244"/>
      <c r="E52" s="244"/>
      <c r="F52" s="244"/>
      <c r="G52" s="244"/>
      <c r="H52" s="246"/>
      <c r="I52" s="246"/>
      <c r="J52" s="246"/>
      <c r="K52" s="246"/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/>
      <c r="W52" s="292"/>
      <c r="X52" s="301"/>
      <c r="Y52" s="245"/>
      <c r="Z52" s="302"/>
      <c r="AA52" s="315"/>
      <c r="AB52" s="316"/>
      <c r="AC52" s="380"/>
      <c r="AD52" s="380"/>
      <c r="AE52" s="351"/>
      <c r="AF52" s="351"/>
      <c r="AG52" s="375"/>
      <c r="AH52" s="375"/>
      <c r="AI52" s="351"/>
      <c r="AJ52" s="351"/>
    </row>
    <row r="53" spans="1:36" ht="14.1" customHeight="1" x14ac:dyDescent="0.25">
      <c r="A53" s="280"/>
      <c r="B53" s="261" t="s">
        <v>84</v>
      </c>
      <c r="C53" s="258">
        <v>45891</v>
      </c>
      <c r="D53" s="242"/>
      <c r="E53" s="242"/>
      <c r="F53" s="242"/>
      <c r="G53" s="242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  <c r="U53" s="247"/>
      <c r="V53" s="247"/>
      <c r="W53" s="293"/>
      <c r="X53" s="299"/>
      <c r="Y53" s="243"/>
      <c r="Z53" s="300"/>
      <c r="AA53" s="313"/>
      <c r="AB53" s="314"/>
      <c r="AC53" s="382"/>
      <c r="AD53" s="382"/>
      <c r="AE53" s="352"/>
      <c r="AF53" s="352"/>
      <c r="AG53" s="366"/>
      <c r="AH53" s="366"/>
      <c r="AI53" s="352"/>
      <c r="AJ53" s="352"/>
    </row>
    <row r="54" spans="1:36" ht="14.1" customHeight="1" x14ac:dyDescent="0.25">
      <c r="A54" s="280"/>
      <c r="B54" s="261" t="s">
        <v>85</v>
      </c>
      <c r="C54" s="258">
        <v>45892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92"/>
      <c r="X54" s="301"/>
      <c r="Y54" s="245"/>
      <c r="Z54" s="302"/>
      <c r="AA54" s="315"/>
      <c r="AB54" s="316"/>
      <c r="AC54" s="380"/>
      <c r="AD54" s="380"/>
      <c r="AE54" s="351"/>
      <c r="AF54" s="351"/>
      <c r="AG54" s="375"/>
      <c r="AH54" s="375"/>
      <c r="AI54" s="351"/>
      <c r="AJ54" s="351"/>
    </row>
    <row r="55" spans="1:36" ht="14.1" customHeight="1" x14ac:dyDescent="0.25">
      <c r="A55" s="280"/>
      <c r="B55" s="262" t="s">
        <v>86</v>
      </c>
      <c r="C55" s="263">
        <v>45893</v>
      </c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94"/>
      <c r="X55" s="307"/>
      <c r="Y55" s="248"/>
      <c r="Z55" s="308"/>
      <c r="AA55" s="321"/>
      <c r="AB55" s="322"/>
      <c r="AC55" s="384"/>
      <c r="AD55" s="384"/>
      <c r="AE55" s="353"/>
      <c r="AF55" s="353"/>
      <c r="AG55" s="388"/>
      <c r="AH55" s="388"/>
      <c r="AI55" s="353"/>
      <c r="AJ55" s="353"/>
    </row>
    <row r="56" spans="1:36" ht="14.1" customHeight="1" x14ac:dyDescent="0.25">
      <c r="A56" s="280"/>
      <c r="B56" s="506"/>
      <c r="C56" s="507"/>
      <c r="D56" s="508"/>
      <c r="E56" s="508"/>
      <c r="F56" s="508"/>
      <c r="G56" s="508"/>
      <c r="H56" s="508"/>
      <c r="I56" s="508"/>
      <c r="J56" s="508"/>
      <c r="K56" s="508"/>
      <c r="L56" s="508"/>
      <c r="M56" s="508"/>
      <c r="N56" s="508"/>
      <c r="O56" s="508"/>
      <c r="P56" s="508"/>
      <c r="Q56" s="508"/>
      <c r="R56" s="508"/>
      <c r="S56" s="508"/>
      <c r="T56" s="508"/>
      <c r="U56" s="508"/>
      <c r="V56" s="508"/>
      <c r="W56" s="509"/>
      <c r="X56" s="506"/>
      <c r="Y56" s="510"/>
      <c r="Z56" s="511"/>
      <c r="AA56" s="512"/>
      <c r="AB56" s="513"/>
      <c r="AC56" s="514"/>
      <c r="AD56" s="514"/>
      <c r="AE56" s="515" t="str">
        <f>TRUNC(SUM(AC56:AC62)*24,0) &amp; "h" &amp; RIGHT("00"&amp;ROUND(((SUM(AC56:AC62)*24)-TRUNC(SUM(AC56:AC62)*24,0))*60,2),2)</f>
        <v>0h00</v>
      </c>
      <c r="AF56" s="515"/>
      <c r="AG56" s="516"/>
      <c r="AH56" s="516"/>
      <c r="AI56" s="515" t="str">
        <f>TRUNC(SUM(AG56:AG62)*24,0) &amp; "h" &amp; RIGHT("00"&amp;ROUND(((SUM(AG56:AG62)*24)-TRUNC(SUM(AG56:AG62)*24,0))*60,2),2)</f>
        <v>0h00</v>
      </c>
      <c r="AJ56" s="515"/>
    </row>
    <row r="57" spans="1:36" ht="14.1" customHeight="1" x14ac:dyDescent="0.25">
      <c r="A57" s="280"/>
      <c r="B57" s="274"/>
      <c r="C57" s="275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96"/>
      <c r="X57" s="274"/>
      <c r="Y57" s="269"/>
      <c r="Z57" s="311"/>
      <c r="AA57" s="325"/>
      <c r="AB57" s="326"/>
      <c r="AC57" s="362"/>
      <c r="AD57" s="362"/>
      <c r="AE57" s="355"/>
      <c r="AF57" s="355"/>
      <c r="AG57" s="364"/>
      <c r="AH57" s="364"/>
      <c r="AI57" s="355"/>
      <c r="AJ57" s="355"/>
    </row>
    <row r="58" spans="1:36" ht="14.1" customHeight="1" x14ac:dyDescent="0.25">
      <c r="A58" s="280"/>
      <c r="B58" s="274"/>
      <c r="C58" s="275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96"/>
      <c r="X58" s="274"/>
      <c r="Y58" s="269"/>
      <c r="Z58" s="311"/>
      <c r="AA58" s="325"/>
      <c r="AB58" s="326"/>
      <c r="AC58" s="362"/>
      <c r="AD58" s="362"/>
      <c r="AE58" s="355"/>
      <c r="AF58" s="355"/>
      <c r="AG58" s="364"/>
      <c r="AH58" s="364"/>
      <c r="AI58" s="355"/>
      <c r="AJ58" s="355"/>
    </row>
    <row r="59" spans="1:36" ht="14.1" customHeight="1" x14ac:dyDescent="0.25">
      <c r="A59" s="280"/>
      <c r="B59" s="274"/>
      <c r="C59" s="275"/>
      <c r="D59" s="268"/>
      <c r="E59" s="268"/>
      <c r="F59" s="268"/>
      <c r="G59" s="268"/>
      <c r="H59" s="268"/>
      <c r="I59" s="268"/>
      <c r="J59" s="268"/>
      <c r="K59" s="268"/>
      <c r="L59" s="268"/>
      <c r="M59" s="268"/>
      <c r="N59" s="268"/>
      <c r="O59" s="268"/>
      <c r="P59" s="268"/>
      <c r="Q59" s="268"/>
      <c r="R59" s="268"/>
      <c r="S59" s="268"/>
      <c r="T59" s="268"/>
      <c r="U59" s="268"/>
      <c r="V59" s="268"/>
      <c r="W59" s="296"/>
      <c r="X59" s="274"/>
      <c r="Y59" s="269"/>
      <c r="Z59" s="311"/>
      <c r="AA59" s="325"/>
      <c r="AB59" s="326"/>
      <c r="AC59" s="362"/>
      <c r="AD59" s="362"/>
      <c r="AE59" s="355"/>
      <c r="AF59" s="355"/>
      <c r="AG59" s="364"/>
      <c r="AH59" s="364"/>
      <c r="AI59" s="355"/>
      <c r="AJ59" s="355"/>
    </row>
    <row r="60" spans="1:36" ht="14.1" customHeight="1" x14ac:dyDescent="0.25">
      <c r="A60" s="280"/>
      <c r="B60" s="274"/>
      <c r="C60" s="275"/>
      <c r="D60" s="268"/>
      <c r="E60" s="268"/>
      <c r="F60" s="268"/>
      <c r="G60" s="268"/>
      <c r="H60" s="268"/>
      <c r="I60" s="268"/>
      <c r="J60" s="268"/>
      <c r="K60" s="268"/>
      <c r="L60" s="268"/>
      <c r="M60" s="268"/>
      <c r="N60" s="268"/>
      <c r="O60" s="268"/>
      <c r="P60" s="268"/>
      <c r="Q60" s="268"/>
      <c r="R60" s="268"/>
      <c r="S60" s="268"/>
      <c r="T60" s="268"/>
      <c r="U60" s="268"/>
      <c r="V60" s="268"/>
      <c r="W60" s="296"/>
      <c r="X60" s="274"/>
      <c r="Y60" s="269"/>
      <c r="Z60" s="311"/>
      <c r="AA60" s="325"/>
      <c r="AB60" s="326"/>
      <c r="AC60" s="362"/>
      <c r="AD60" s="362"/>
      <c r="AE60" s="355"/>
      <c r="AF60" s="355"/>
      <c r="AG60" s="364"/>
      <c r="AH60" s="364"/>
      <c r="AI60" s="355"/>
      <c r="AJ60" s="355"/>
    </row>
    <row r="61" spans="1:36" ht="14.1" customHeight="1" x14ac:dyDescent="0.25">
      <c r="A61" s="280"/>
      <c r="B61" s="274"/>
      <c r="C61" s="275"/>
      <c r="D61" s="268"/>
      <c r="E61" s="268"/>
      <c r="F61" s="268"/>
      <c r="G61" s="268"/>
      <c r="H61" s="268"/>
      <c r="I61" s="268"/>
      <c r="J61" s="268"/>
      <c r="K61" s="268"/>
      <c r="L61" s="268"/>
      <c r="M61" s="268"/>
      <c r="N61" s="268"/>
      <c r="O61" s="268"/>
      <c r="P61" s="268"/>
      <c r="Q61" s="268"/>
      <c r="R61" s="268"/>
      <c r="S61" s="268"/>
      <c r="T61" s="268"/>
      <c r="U61" s="268"/>
      <c r="V61" s="268"/>
      <c r="W61" s="296"/>
      <c r="X61" s="274"/>
      <c r="Y61" s="269"/>
      <c r="Z61" s="311"/>
      <c r="AA61" s="325"/>
      <c r="AB61" s="326"/>
      <c r="AC61" s="362"/>
      <c r="AD61" s="362"/>
      <c r="AE61" s="355"/>
      <c r="AF61" s="355"/>
      <c r="AG61" s="364"/>
      <c r="AH61" s="364"/>
      <c r="AI61" s="355"/>
      <c r="AJ61" s="355"/>
    </row>
    <row r="62" spans="1:36" ht="14.1" customHeight="1" x14ac:dyDescent="0.25">
      <c r="A62" s="280"/>
      <c r="B62" s="333"/>
      <c r="C62" s="334"/>
      <c r="D62" s="335"/>
      <c r="E62" s="335"/>
      <c r="F62" s="335"/>
      <c r="G62" s="335"/>
      <c r="H62" s="335"/>
      <c r="I62" s="335"/>
      <c r="J62" s="335"/>
      <c r="K62" s="335"/>
      <c r="L62" s="335"/>
      <c r="M62" s="335"/>
      <c r="N62" s="335"/>
      <c r="O62" s="335"/>
      <c r="P62" s="335"/>
      <c r="Q62" s="335"/>
      <c r="R62" s="335"/>
      <c r="S62" s="335"/>
      <c r="T62" s="335"/>
      <c r="U62" s="335"/>
      <c r="V62" s="335"/>
      <c r="W62" s="336"/>
      <c r="X62" s="333"/>
      <c r="Y62" s="337"/>
      <c r="Z62" s="338"/>
      <c r="AA62" s="339"/>
      <c r="AB62" s="340"/>
      <c r="AC62" s="383"/>
      <c r="AD62" s="383"/>
      <c r="AE62" s="356"/>
      <c r="AF62" s="356"/>
      <c r="AG62" s="391"/>
      <c r="AH62" s="391"/>
      <c r="AI62" s="356"/>
      <c r="AJ62" s="356"/>
    </row>
    <row r="63" spans="1:36" ht="14.1" customHeight="1" x14ac:dyDescent="0.25">
      <c r="A63" s="280"/>
      <c r="B63" s="276"/>
      <c r="C63" s="277"/>
      <c r="D63" s="284"/>
      <c r="E63" s="284"/>
      <c r="F63" s="284"/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329"/>
      <c r="X63" s="276"/>
      <c r="Y63" s="270"/>
      <c r="Z63" s="330"/>
      <c r="AA63" s="331"/>
      <c r="AB63" s="332"/>
      <c r="AC63" s="387"/>
      <c r="AD63" s="387"/>
      <c r="AE63" s="357" t="str">
        <f>TRUNC(SUM(AC63:AC69)*24,0) &amp; "h" &amp; RIGHT("00"&amp;ROUND(((SUM(AC63:AC69)*24)-TRUNC(SUM(AC63:AC69)*24,0))*60,2),2)</f>
        <v>0h00</v>
      </c>
      <c r="AF63" s="357"/>
      <c r="AG63" s="392"/>
      <c r="AH63" s="392"/>
      <c r="AI63" s="357" t="str">
        <f>TRUNC(SUM(AG63:AG69)*24,0) &amp; "h" &amp; RIGHT("00"&amp;ROUND(((SUM(AG63:AG69)*24)-TRUNC(SUM(AG63:AG69)*24,0))*60,2),2)</f>
        <v>0h00</v>
      </c>
      <c r="AJ63" s="357"/>
    </row>
    <row r="64" spans="1:36" s="256" customFormat="1" ht="14.1" customHeight="1" x14ac:dyDescent="0.25">
      <c r="A64" s="280"/>
      <c r="B64" s="274"/>
      <c r="C64" s="275"/>
      <c r="D64" s="268"/>
      <c r="E64" s="268"/>
      <c r="F64" s="268"/>
      <c r="G64" s="268"/>
      <c r="H64" s="268"/>
      <c r="I64" s="268"/>
      <c r="J64" s="268"/>
      <c r="K64" s="268"/>
      <c r="L64" s="268"/>
      <c r="M64" s="268"/>
      <c r="N64" s="268"/>
      <c r="O64" s="268"/>
      <c r="P64" s="268"/>
      <c r="Q64" s="268"/>
      <c r="R64" s="268"/>
      <c r="S64" s="268"/>
      <c r="T64" s="268"/>
      <c r="U64" s="268"/>
      <c r="V64" s="268"/>
      <c r="W64" s="296"/>
      <c r="X64" s="274"/>
      <c r="Y64" s="269"/>
      <c r="Z64" s="311"/>
      <c r="AA64" s="325"/>
      <c r="AB64" s="326"/>
      <c r="AC64" s="362"/>
      <c r="AD64" s="362"/>
      <c r="AE64" s="355"/>
      <c r="AF64" s="355"/>
      <c r="AG64" s="364"/>
      <c r="AH64" s="364"/>
      <c r="AI64" s="355"/>
      <c r="AJ64" s="355"/>
    </row>
    <row r="65" spans="1:36" s="256" customFormat="1" ht="14.1" customHeight="1" x14ac:dyDescent="0.25">
      <c r="A65" s="280"/>
      <c r="B65" s="274"/>
      <c r="C65" s="275"/>
      <c r="D65" s="268"/>
      <c r="E65" s="268"/>
      <c r="F65" s="268"/>
      <c r="G65" s="268"/>
      <c r="H65" s="268"/>
      <c r="I65" s="268"/>
      <c r="J65" s="268"/>
      <c r="K65" s="268"/>
      <c r="L65" s="268"/>
      <c r="M65" s="268"/>
      <c r="N65" s="268"/>
      <c r="O65" s="268"/>
      <c r="P65" s="268"/>
      <c r="Q65" s="268"/>
      <c r="R65" s="268"/>
      <c r="S65" s="268"/>
      <c r="T65" s="268"/>
      <c r="U65" s="268"/>
      <c r="V65" s="268"/>
      <c r="W65" s="296"/>
      <c r="X65" s="274"/>
      <c r="Y65" s="269"/>
      <c r="Z65" s="311"/>
      <c r="AA65" s="325"/>
      <c r="AB65" s="326"/>
      <c r="AC65" s="362"/>
      <c r="AD65" s="362"/>
      <c r="AE65" s="355"/>
      <c r="AF65" s="355"/>
      <c r="AG65" s="364"/>
      <c r="AH65" s="364"/>
      <c r="AI65" s="355"/>
      <c r="AJ65" s="355"/>
    </row>
    <row r="66" spans="1:36" s="256" customFormat="1" ht="14.1" customHeight="1" x14ac:dyDescent="0.25">
      <c r="A66" s="280"/>
      <c r="B66" s="274"/>
      <c r="C66" s="275"/>
      <c r="D66" s="268"/>
      <c r="E66" s="268"/>
      <c r="F66" s="268"/>
      <c r="G66" s="268"/>
      <c r="H66" s="271"/>
      <c r="I66" s="271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97"/>
      <c r="X66" s="274"/>
      <c r="Y66" s="269"/>
      <c r="Z66" s="311"/>
      <c r="AA66" s="325"/>
      <c r="AB66" s="326"/>
      <c r="AC66" s="362"/>
      <c r="AD66" s="362"/>
      <c r="AE66" s="355"/>
      <c r="AF66" s="355"/>
      <c r="AG66" s="364"/>
      <c r="AH66" s="364"/>
      <c r="AI66" s="355"/>
      <c r="AJ66" s="355"/>
    </row>
    <row r="67" spans="1:36" s="256" customFormat="1" ht="14.1" customHeight="1" x14ac:dyDescent="0.25">
      <c r="A67" s="280"/>
      <c r="B67" s="274"/>
      <c r="C67" s="275"/>
      <c r="D67" s="268"/>
      <c r="E67" s="268"/>
      <c r="F67" s="268"/>
      <c r="G67" s="268"/>
      <c r="H67" s="271"/>
      <c r="I67" s="271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97"/>
      <c r="X67" s="274"/>
      <c r="Y67" s="269"/>
      <c r="Z67" s="311"/>
      <c r="AA67" s="325"/>
      <c r="AB67" s="326"/>
      <c r="AC67" s="362"/>
      <c r="AD67" s="362"/>
      <c r="AE67" s="355"/>
      <c r="AF67" s="355"/>
      <c r="AG67" s="364"/>
      <c r="AH67" s="364"/>
      <c r="AI67" s="355"/>
      <c r="AJ67" s="355"/>
    </row>
    <row r="68" spans="1:36" s="256" customFormat="1" ht="14.1" customHeight="1" x14ac:dyDescent="0.25">
      <c r="A68" s="280"/>
      <c r="B68" s="274"/>
      <c r="C68" s="275"/>
      <c r="D68" s="271"/>
      <c r="E68" s="271"/>
      <c r="F68" s="271"/>
      <c r="G68" s="271"/>
      <c r="H68" s="271"/>
      <c r="I68" s="271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97"/>
      <c r="X68" s="274"/>
      <c r="Y68" s="269"/>
      <c r="Z68" s="311"/>
      <c r="AA68" s="325"/>
      <c r="AB68" s="326"/>
      <c r="AC68" s="362"/>
      <c r="AD68" s="362"/>
      <c r="AE68" s="355"/>
      <c r="AF68" s="355"/>
      <c r="AG68" s="364"/>
      <c r="AH68" s="364"/>
      <c r="AI68" s="355"/>
      <c r="AJ68" s="355"/>
    </row>
    <row r="69" spans="1:36" s="256" customFormat="1" ht="14.1" customHeight="1" thickBot="1" x14ac:dyDescent="0.3">
      <c r="A69" s="280"/>
      <c r="B69" s="278"/>
      <c r="C69" s="279"/>
      <c r="D69" s="272"/>
      <c r="E69" s="272"/>
      <c r="F69" s="272"/>
      <c r="G69" s="272"/>
      <c r="H69" s="272"/>
      <c r="I69" s="272"/>
      <c r="J69" s="272"/>
      <c r="K69" s="272"/>
      <c r="L69" s="272"/>
      <c r="M69" s="272"/>
      <c r="N69" s="272"/>
      <c r="O69" s="272"/>
      <c r="P69" s="272"/>
      <c r="Q69" s="272"/>
      <c r="R69" s="272"/>
      <c r="S69" s="272"/>
      <c r="T69" s="272"/>
      <c r="U69" s="272"/>
      <c r="V69" s="272"/>
      <c r="W69" s="298"/>
      <c r="X69" s="278"/>
      <c r="Y69" s="273"/>
      <c r="Z69" s="312"/>
      <c r="AA69" s="327"/>
      <c r="AB69" s="328"/>
      <c r="AC69" s="363"/>
      <c r="AD69" s="363"/>
      <c r="AE69" s="358"/>
      <c r="AF69" s="358"/>
      <c r="AG69" s="365"/>
      <c r="AH69" s="365"/>
      <c r="AI69" s="358"/>
      <c r="AJ69" s="358"/>
    </row>
    <row r="70" spans="1:36" ht="24" customHeight="1" thickBot="1" x14ac:dyDescent="0.3">
      <c r="B70" s="368" t="s">
        <v>165</v>
      </c>
      <c r="C70" s="368"/>
      <c r="D70" s="369"/>
      <c r="E70" s="369"/>
      <c r="F70" s="370" t="s">
        <v>169</v>
      </c>
      <c r="G70" s="370"/>
      <c r="H70" s="370"/>
      <c r="I70" s="370"/>
      <c r="J70" s="370"/>
      <c r="K70" s="370"/>
      <c r="L70" s="370"/>
      <c r="M70" s="370"/>
      <c r="N70" s="370"/>
      <c r="O70" s="370"/>
      <c r="P70" s="281" t="s">
        <v>108</v>
      </c>
      <c r="Q70" s="282"/>
      <c r="R70" s="282"/>
      <c r="S70" s="282"/>
      <c r="T70" s="282"/>
      <c r="U70" s="282"/>
      <c r="V70" s="371" t="s">
        <v>129</v>
      </c>
      <c r="W70" s="371"/>
      <c r="X70" s="371"/>
      <c r="Y70" s="371"/>
      <c r="Z70" s="371"/>
      <c r="AA70" s="283"/>
      <c r="AB70" s="283">
        <f>MAX(AB29:AB69)</f>
        <v>0</v>
      </c>
      <c r="AC70" s="372"/>
      <c r="AD70" s="372"/>
      <c r="AE70" s="376" t="str">
        <f>TRUNC(SUM(AC29:AC69)*24,0) &amp; "h" &amp; RIGHT("00"&amp;ROUND(((SUM(AC29:AC69)*24)-TRUNC(SUM(AC29:AC69)*24,0))*60,2),2)</f>
        <v>0h00</v>
      </c>
      <c r="AF70" s="376"/>
      <c r="AG70" s="373"/>
      <c r="AH70" s="373"/>
      <c r="AI70" s="373" t="str">
        <f>TRUNC(SUM(AG29:AG69)*24,0) &amp; "h" &amp; RIGHT("00"&amp;ROUND(((SUM(AG29:AG69)*24)-TRUNC(SUM(AG29:AG69)*24,0))*60,2),2)</f>
        <v>0h00</v>
      </c>
      <c r="AJ70" s="373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33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33"/>
      <c r="D73" s="30"/>
      <c r="E73" s="30"/>
      <c r="F73" s="30"/>
      <c r="G73" s="30"/>
      <c r="H73" s="30"/>
      <c r="I73" s="30"/>
      <c r="J73" s="30"/>
      <c r="K73" s="30"/>
      <c r="L73" s="30"/>
      <c r="M73" s="23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33"/>
      <c r="D74" s="30"/>
      <c r="E74" s="234"/>
      <c r="F74" s="234"/>
      <c r="G74" s="234"/>
      <c r="H74" s="234"/>
      <c r="I74" s="234"/>
      <c r="J74" s="234"/>
      <c r="K74" s="234"/>
      <c r="L74" s="30"/>
      <c r="M74" s="23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33"/>
      <c r="D75" s="30"/>
      <c r="E75" s="30"/>
      <c r="F75" s="30"/>
      <c r="G75" s="30"/>
      <c r="H75" s="235"/>
      <c r="I75" s="30"/>
      <c r="J75" s="30"/>
      <c r="K75" s="30"/>
      <c r="L75" s="30"/>
      <c r="M75" s="23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33"/>
      <c r="D76" s="30"/>
      <c r="E76" s="234"/>
      <c r="F76" s="234"/>
      <c r="G76" s="234"/>
      <c r="H76" s="234"/>
      <c r="I76" s="234"/>
      <c r="J76" s="234"/>
      <c r="K76" s="234"/>
      <c r="L76" s="30"/>
      <c r="M76" s="23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33"/>
      <c r="D77" s="30"/>
      <c r="E77" s="30"/>
      <c r="F77" s="30"/>
      <c r="G77" s="30"/>
      <c r="H77" s="30"/>
      <c r="I77" s="30"/>
      <c r="J77" s="30"/>
      <c r="K77" s="30"/>
      <c r="L77" s="30"/>
      <c r="M77" s="23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33"/>
      <c r="D78" s="30"/>
      <c r="E78" s="30"/>
      <c r="F78" s="30"/>
      <c r="G78" s="30"/>
      <c r="H78" s="30"/>
      <c r="I78" s="30"/>
      <c r="J78" s="30"/>
      <c r="K78" s="30"/>
      <c r="L78" s="30"/>
      <c r="M78" s="23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33"/>
      <c r="D79" s="30"/>
      <c r="E79" s="30"/>
      <c r="F79" s="30"/>
      <c r="G79" s="30"/>
      <c r="H79" s="30"/>
      <c r="I79" s="30"/>
      <c r="J79" s="30"/>
      <c r="K79" s="30"/>
      <c r="L79" s="30"/>
      <c r="M79" s="23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33"/>
      <c r="D80" s="30"/>
      <c r="E80" s="30"/>
      <c r="F80" s="30"/>
      <c r="G80" s="30"/>
      <c r="H80" s="30"/>
      <c r="I80" s="30"/>
      <c r="J80" s="30"/>
      <c r="K80" s="30"/>
      <c r="L80" s="30"/>
      <c r="M80" s="23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33"/>
      <c r="D81" s="30"/>
      <c r="E81" s="30"/>
      <c r="F81" s="30"/>
      <c r="G81" s="30"/>
      <c r="H81" s="30"/>
      <c r="I81" s="30"/>
      <c r="J81" s="30"/>
      <c r="K81" s="30"/>
      <c r="L81" s="30"/>
      <c r="M81" s="23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33"/>
      <c r="D82" s="30"/>
      <c r="E82" s="30"/>
      <c r="F82" s="30"/>
      <c r="G82" s="30"/>
      <c r="H82" s="30"/>
      <c r="I82" s="30"/>
      <c r="J82" s="30"/>
      <c r="K82" s="30"/>
      <c r="L82" s="30"/>
      <c r="M82" s="23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33"/>
      <c r="D83" s="30"/>
      <c r="E83" s="30"/>
      <c r="F83" s="30"/>
      <c r="G83" s="30"/>
      <c r="H83" s="30"/>
      <c r="I83" s="30"/>
      <c r="J83" s="30"/>
      <c r="K83" s="30"/>
      <c r="L83" s="30"/>
      <c r="M83" s="23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33"/>
      <c r="D84" s="30"/>
      <c r="E84" s="30"/>
      <c r="F84" s="30"/>
      <c r="G84" s="30"/>
      <c r="H84" s="30"/>
      <c r="I84" s="30"/>
      <c r="J84" s="30"/>
      <c r="K84" s="30"/>
      <c r="L84" s="30"/>
      <c r="M84" s="23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33"/>
      <c r="D85" s="173"/>
      <c r="E85" s="236"/>
      <c r="F85" s="30"/>
      <c r="G85" s="30"/>
      <c r="H85" s="30"/>
      <c r="I85" s="30"/>
      <c r="J85" s="30"/>
      <c r="K85" s="30"/>
      <c r="L85" s="30"/>
      <c r="M85" s="23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33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33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2:G2"/>
    <mergeCell ref="AE35:AF41"/>
    <mergeCell ref="AI35:AJ41"/>
    <mergeCell ref="I24:N24"/>
    <mergeCell ref="R24:V24"/>
    <mergeCell ref="B25:W25"/>
    <mergeCell ref="D26:E26"/>
    <mergeCell ref="F26:G26"/>
    <mergeCell ref="H26:I26"/>
    <mergeCell ref="J26:K26"/>
    <mergeCell ref="L26:M26"/>
    <mergeCell ref="N26:O26"/>
    <mergeCell ref="T26:U26"/>
    <mergeCell ref="V26:W26"/>
    <mergeCell ref="P26:Q26"/>
    <mergeCell ref="R26:S26"/>
    <mergeCell ref="AG35:AH35"/>
    <mergeCell ref="AG36:AH36"/>
    <mergeCell ref="N1:P1"/>
    <mergeCell ref="S1:T1"/>
    <mergeCell ref="AC28:AD28"/>
    <mergeCell ref="AC37:AD37"/>
    <mergeCell ref="AC38:AD38"/>
    <mergeCell ref="AC39:AD39"/>
    <mergeCell ref="AA1:AB1"/>
    <mergeCell ref="AG61:AH61"/>
    <mergeCell ref="AG62:AH62"/>
    <mergeCell ref="AG63:AH63"/>
    <mergeCell ref="AG59:AH59"/>
    <mergeCell ref="AG37:AH37"/>
    <mergeCell ref="AG38:AH38"/>
    <mergeCell ref="AG39:AH39"/>
    <mergeCell ref="AG40:AH40"/>
    <mergeCell ref="AG41:AH41"/>
    <mergeCell ref="AI70:AJ70"/>
    <mergeCell ref="AG50:AH50"/>
    <mergeCell ref="AC47:AD47"/>
    <mergeCell ref="AC48:AD48"/>
    <mergeCell ref="AC45:AD45"/>
    <mergeCell ref="AC46:AD4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C49:AD49"/>
    <mergeCell ref="AC43:AD43"/>
    <mergeCell ref="AC44:AD44"/>
    <mergeCell ref="AC63:AD63"/>
    <mergeCell ref="AG51:AH51"/>
    <mergeCell ref="AG52:AH52"/>
    <mergeCell ref="AG53:AH53"/>
    <mergeCell ref="AG54:AH54"/>
    <mergeCell ref="AG55:AH55"/>
    <mergeCell ref="AG56:AH56"/>
    <mergeCell ref="AE70:AF70"/>
    <mergeCell ref="X26:Z26"/>
    <mergeCell ref="AC40:AD40"/>
    <mergeCell ref="AC56:AD56"/>
    <mergeCell ref="AC57:AD57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41:AD41"/>
    <mergeCell ref="AC55:AD55"/>
    <mergeCell ref="AC61:AD61"/>
    <mergeCell ref="AC64:AD64"/>
    <mergeCell ref="AC65:AD65"/>
    <mergeCell ref="AC66:AD66"/>
    <mergeCell ref="AE42:AF48"/>
    <mergeCell ref="AE49:AF55"/>
    <mergeCell ref="AC42:AD42"/>
    <mergeCell ref="B70:E70"/>
    <mergeCell ref="F70:O70"/>
    <mergeCell ref="V70:Z70"/>
    <mergeCell ref="AC70:AD70"/>
    <mergeCell ref="AG70:AH70"/>
    <mergeCell ref="AG42:AH42"/>
    <mergeCell ref="AG43:AH43"/>
    <mergeCell ref="AG44:AH44"/>
    <mergeCell ref="AG45:AH45"/>
    <mergeCell ref="AG28:AH28"/>
    <mergeCell ref="AG29:AH29"/>
    <mergeCell ref="AG30:AH30"/>
    <mergeCell ref="AG31:AH31"/>
    <mergeCell ref="AG32:AH32"/>
    <mergeCell ref="AG33:AH33"/>
    <mergeCell ref="AG34:AH34"/>
    <mergeCell ref="AI42:AJ48"/>
    <mergeCell ref="AG46:AH46"/>
    <mergeCell ref="AG47:AH47"/>
    <mergeCell ref="AG48:AH48"/>
    <mergeCell ref="AI49:AJ55"/>
    <mergeCell ref="AE56:AF62"/>
    <mergeCell ref="AI56:AJ62"/>
    <mergeCell ref="AE63:AF69"/>
    <mergeCell ref="AI63:AJ69"/>
    <mergeCell ref="AC27:AD27"/>
    <mergeCell ref="AE27:AF27"/>
    <mergeCell ref="AG27:AH27"/>
    <mergeCell ref="AI27:AJ27"/>
    <mergeCell ref="AE28:AF34"/>
    <mergeCell ref="AI28:AJ34"/>
    <mergeCell ref="AC67:AD67"/>
    <mergeCell ref="AC68:AD68"/>
    <mergeCell ref="AC69:AD69"/>
    <mergeCell ref="AG64:AH64"/>
    <mergeCell ref="AG65:AH65"/>
    <mergeCell ref="AG66:AH66"/>
    <mergeCell ref="AG67:AH67"/>
    <mergeCell ref="AG68:AH68"/>
    <mergeCell ref="AG69:AH69"/>
    <mergeCell ref="AG57:AH57"/>
    <mergeCell ref="AG58:AH58"/>
    <mergeCell ref="AG49:AH49"/>
    <mergeCell ref="AG60:AH60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170</v>
      </c>
      <c r="AB1" t="s">
        <v>15</v>
      </c>
    </row>
    <row r="2" spans="4:28" ht="17.25" x14ac:dyDescent="0.3">
      <c r="D2" t="s">
        <v>13</v>
      </c>
      <c r="E2" s="420"/>
      <c r="F2" s="420"/>
      <c r="G2" s="420"/>
      <c r="H2" s="420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2"/>
      <c r="F4" s="412"/>
      <c r="G4" s="412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8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16" t="s">
        <v>12</v>
      </c>
      <c r="I9" s="417"/>
      <c r="O9" s="492"/>
      <c r="P9" s="493"/>
      <c r="Q9" s="494"/>
      <c r="R9" s="495"/>
      <c r="S9" s="496"/>
    </row>
    <row r="10" spans="4:28" ht="15.75" thickBot="1" x14ac:dyDescent="0.3">
      <c r="D10" s="23"/>
      <c r="E10" s="189"/>
      <c r="F10" s="190"/>
      <c r="G10" s="191"/>
      <c r="H10" s="418"/>
      <c r="I10" s="419"/>
      <c r="O10" s="341"/>
      <c r="P10" s="342"/>
      <c r="Q10" s="343"/>
      <c r="R10" s="344"/>
      <c r="S10" s="345"/>
    </row>
    <row r="11" spans="4:28" x14ac:dyDescent="0.25">
      <c r="O11" s="341"/>
      <c r="P11" s="342"/>
      <c r="Q11" s="343"/>
      <c r="R11" s="344"/>
      <c r="S11" s="345"/>
    </row>
    <row r="12" spans="4:28" x14ac:dyDescent="0.25">
      <c r="O12" s="341"/>
      <c r="P12" s="342"/>
      <c r="Q12" s="343"/>
      <c r="R12" s="344"/>
      <c r="S12" s="345"/>
    </row>
    <row r="13" spans="4:28" x14ac:dyDescent="0.25">
      <c r="O13" s="341"/>
      <c r="P13" s="342"/>
      <c r="Q13" s="343"/>
      <c r="R13" s="344"/>
      <c r="S13" s="345"/>
    </row>
    <row r="14" spans="4:28" x14ac:dyDescent="0.25">
      <c r="O14" s="341"/>
      <c r="P14" s="342"/>
      <c r="Q14" s="343"/>
      <c r="R14" s="344"/>
      <c r="S14" s="345"/>
    </row>
    <row r="15" spans="4:28" x14ac:dyDescent="0.25">
      <c r="O15" s="341"/>
      <c r="P15" s="342"/>
      <c r="Q15" s="343"/>
      <c r="R15" s="344"/>
      <c r="S15" s="345"/>
    </row>
    <row r="16" spans="4:28" ht="15.75" thickBot="1" x14ac:dyDescent="0.3">
      <c r="O16" s="341"/>
      <c r="P16" s="342"/>
      <c r="Q16" s="343"/>
      <c r="R16" s="344"/>
      <c r="S16" s="345"/>
    </row>
    <row r="17" spans="4:19" ht="15.75" thickBot="1" x14ac:dyDescent="0.3">
      <c r="D17" s="413" t="s">
        <v>17</v>
      </c>
      <c r="E17" s="414"/>
      <c r="F17" s="414"/>
      <c r="G17" s="415"/>
      <c r="O17" s="341"/>
      <c r="P17" s="342"/>
      <c r="Q17" s="343"/>
      <c r="R17" s="344"/>
      <c r="S17" s="345"/>
    </row>
    <row r="18" spans="4:19" x14ac:dyDescent="0.25">
      <c r="D18" s="5"/>
      <c r="G18" s="6"/>
      <c r="O18" s="341"/>
      <c r="P18" s="342"/>
      <c r="Q18" s="343"/>
      <c r="R18" s="344"/>
      <c r="S18" s="345"/>
    </row>
    <row r="19" spans="4:19" x14ac:dyDescent="0.25">
      <c r="D19" s="5" t="s">
        <v>18</v>
      </c>
      <c r="E19" s="1"/>
      <c r="G19" s="6"/>
      <c r="O19" s="341"/>
      <c r="P19" s="342"/>
      <c r="Q19" s="343"/>
      <c r="R19" s="344"/>
      <c r="S19" s="345"/>
    </row>
    <row r="20" spans="4:19" ht="15.75" thickBot="1" x14ac:dyDescent="0.3">
      <c r="D20" s="16" t="s">
        <v>19</v>
      </c>
      <c r="E20" s="17"/>
      <c r="F20" s="7"/>
      <c r="G20" s="8"/>
      <c r="O20" s="341"/>
      <c r="P20" s="342"/>
      <c r="Q20" s="343"/>
      <c r="R20" s="344"/>
      <c r="S20" s="345"/>
    </row>
    <row r="21" spans="4:19" x14ac:dyDescent="0.25">
      <c r="O21" s="341"/>
      <c r="P21" s="342"/>
      <c r="Q21" s="343"/>
      <c r="R21" s="344"/>
      <c r="S21" s="345"/>
    </row>
    <row r="22" spans="4:19" x14ac:dyDescent="0.25">
      <c r="E22" s="40"/>
      <c r="O22" s="341"/>
      <c r="P22" s="342"/>
      <c r="Q22" s="343"/>
      <c r="R22" s="344"/>
      <c r="S22" s="345"/>
    </row>
    <row r="23" spans="4:19" x14ac:dyDescent="0.25">
      <c r="O23" s="341"/>
      <c r="P23" s="342"/>
      <c r="Q23" s="343"/>
      <c r="R23" s="344"/>
      <c r="S23" s="345"/>
    </row>
    <row r="24" spans="4:19" x14ac:dyDescent="0.25">
      <c r="O24" s="341"/>
      <c r="P24" s="342"/>
      <c r="Q24" s="343"/>
      <c r="R24" s="344"/>
      <c r="S24" s="345"/>
    </row>
    <row r="25" spans="4:19" x14ac:dyDescent="0.25">
      <c r="O25" s="341"/>
      <c r="P25" s="342"/>
      <c r="Q25" s="343"/>
      <c r="R25" s="344"/>
      <c r="S25" s="345"/>
    </row>
    <row r="26" spans="4:19" x14ac:dyDescent="0.25">
      <c r="O26" s="341"/>
      <c r="P26" s="342"/>
      <c r="Q26" s="343"/>
      <c r="R26" s="344"/>
      <c r="S26" s="345"/>
    </row>
    <row r="27" spans="4:19" x14ac:dyDescent="0.25">
      <c r="O27" s="341"/>
      <c r="P27" s="342"/>
      <c r="Q27" s="343"/>
      <c r="R27" s="344"/>
      <c r="S27" s="345"/>
    </row>
    <row r="28" spans="4:19" x14ac:dyDescent="0.25">
      <c r="O28" s="341"/>
      <c r="P28" s="342"/>
      <c r="Q28" s="343"/>
      <c r="R28" s="344"/>
      <c r="S28" s="345"/>
    </row>
    <row r="29" spans="4:19" x14ac:dyDescent="0.25">
      <c r="O29" s="341"/>
      <c r="P29" s="342"/>
      <c r="Q29" s="343"/>
      <c r="R29" s="344"/>
      <c r="S29" s="345"/>
    </row>
    <row r="30" spans="4:19" x14ac:dyDescent="0.25">
      <c r="O30" s="341"/>
      <c r="P30" s="342"/>
      <c r="Q30" s="343"/>
      <c r="R30" s="344"/>
      <c r="S30" s="345"/>
    </row>
    <row r="31" spans="4:19" x14ac:dyDescent="0.25">
      <c r="O31" s="341"/>
      <c r="P31" s="342"/>
      <c r="Q31" s="343"/>
      <c r="R31" s="344"/>
      <c r="S31" s="345"/>
    </row>
    <row r="32" spans="4:19" x14ac:dyDescent="0.25">
      <c r="O32" s="341"/>
      <c r="P32" s="342"/>
      <c r="Q32" s="343"/>
      <c r="R32" s="344"/>
      <c r="S32" s="345"/>
    </row>
    <row r="33" spans="15:19" x14ac:dyDescent="0.25">
      <c r="O33" s="341"/>
      <c r="P33" s="344"/>
      <c r="Q33" s="343"/>
      <c r="R33" s="344"/>
      <c r="S33" s="345"/>
    </row>
    <row r="34" spans="15:19" x14ac:dyDescent="0.25">
      <c r="O34" s="341"/>
      <c r="P34" s="344"/>
      <c r="Q34" s="343"/>
      <c r="R34" s="344"/>
      <c r="S34" s="345"/>
    </row>
    <row r="35" spans="15:19" x14ac:dyDescent="0.25">
      <c r="O35" s="341"/>
      <c r="P35" s="344"/>
      <c r="Q35" s="343"/>
      <c r="R35" s="344"/>
      <c r="S35" s="345"/>
    </row>
    <row r="36" spans="15:19" x14ac:dyDescent="0.25">
      <c r="O36" s="341"/>
      <c r="P36" s="344"/>
      <c r="Q36" s="343"/>
      <c r="R36" s="344"/>
      <c r="S36" s="345"/>
    </row>
    <row r="37" spans="15:19" x14ac:dyDescent="0.25">
      <c r="O37" s="341"/>
      <c r="P37" s="344"/>
      <c r="Q37" s="343"/>
      <c r="R37" s="344"/>
      <c r="S37" s="345"/>
    </row>
    <row r="38" spans="15:19" x14ac:dyDescent="0.25">
      <c r="O38" s="341"/>
      <c r="P38" s="344"/>
      <c r="Q38" s="343"/>
      <c r="R38" s="344"/>
      <c r="S38" s="345"/>
    </row>
    <row r="39" spans="15:19" x14ac:dyDescent="0.25">
      <c r="O39" s="341"/>
      <c r="P39" s="344"/>
      <c r="Q39" s="343"/>
      <c r="R39" s="344"/>
      <c r="S39" s="345"/>
    </row>
    <row r="40" spans="15:19" x14ac:dyDescent="0.25">
      <c r="O40" s="341"/>
      <c r="P40" s="344"/>
      <c r="Q40" s="343"/>
      <c r="R40" s="344"/>
      <c r="S40" s="345"/>
    </row>
    <row r="41" spans="15:19" x14ac:dyDescent="0.25">
      <c r="O41" s="341"/>
      <c r="P41" s="344"/>
      <c r="Q41" s="343"/>
      <c r="R41" s="344"/>
      <c r="S41" s="345"/>
    </row>
    <row r="42" spans="15:19" x14ac:dyDescent="0.25">
      <c r="O42" s="341"/>
      <c r="P42" s="344"/>
      <c r="Q42" s="343"/>
      <c r="R42" s="344"/>
      <c r="S42" s="345"/>
    </row>
    <row r="43" spans="15:19" x14ac:dyDescent="0.25">
      <c r="O43" s="341"/>
      <c r="P43" s="344"/>
      <c r="Q43" s="343"/>
      <c r="R43" s="344"/>
      <c r="S43" s="345"/>
    </row>
    <row r="44" spans="15:19" x14ac:dyDescent="0.25">
      <c r="O44" s="341"/>
      <c r="P44" s="344"/>
      <c r="Q44" s="343"/>
      <c r="R44" s="344"/>
      <c r="S44" s="345"/>
    </row>
    <row r="45" spans="15:19" x14ac:dyDescent="0.25">
      <c r="O45" s="341"/>
      <c r="P45" s="344"/>
      <c r="Q45" s="343"/>
      <c r="R45" s="344"/>
      <c r="S45" s="345"/>
    </row>
    <row r="46" spans="15:19" x14ac:dyDescent="0.25">
      <c r="O46" s="341"/>
      <c r="P46" s="344"/>
      <c r="Q46" s="343"/>
      <c r="R46" s="344"/>
      <c r="S46" s="345"/>
    </row>
    <row r="47" spans="15:19" x14ac:dyDescent="0.25">
      <c r="O47" s="341"/>
      <c r="P47" s="344"/>
      <c r="Q47" s="343"/>
      <c r="R47" s="344"/>
      <c r="S47" s="345"/>
    </row>
    <row r="48" spans="15:19" x14ac:dyDescent="0.25">
      <c r="O48" s="341"/>
      <c r="P48" s="344"/>
      <c r="Q48" s="343"/>
      <c r="R48" s="344"/>
      <c r="S48" s="345"/>
    </row>
    <row r="49" spans="15:19" ht="15.75" thickBot="1" x14ac:dyDescent="0.3">
      <c r="O49" s="346"/>
      <c r="P49" s="347"/>
      <c r="Q49" s="348"/>
      <c r="R49" s="347"/>
      <c r="S49" s="349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A2" sqref="A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181" t="s">
        <v>0</v>
      </c>
      <c r="B1" s="179" t="s">
        <v>1</v>
      </c>
      <c r="C1" s="182" t="s">
        <v>48</v>
      </c>
      <c r="D1" s="183" t="s">
        <v>29</v>
      </c>
      <c r="G1" t="s">
        <v>30</v>
      </c>
      <c r="J1" t="s">
        <v>147</v>
      </c>
    </row>
    <row r="2" spans="1:17" ht="19.5" customHeight="1" thickTop="1" x14ac:dyDescent="0.25">
      <c r="A2" s="166"/>
      <c r="B2" s="177"/>
      <c r="C2" s="184"/>
      <c r="D2" s="168"/>
      <c r="L2" s="421" t="s">
        <v>45</v>
      </c>
      <c r="M2" s="422"/>
      <c r="N2" s="422"/>
      <c r="O2" s="422"/>
      <c r="P2" s="422"/>
      <c r="Q2" s="423"/>
    </row>
    <row r="3" spans="1:17" ht="15.75" thickBot="1" x14ac:dyDescent="0.3">
      <c r="A3" s="167"/>
      <c r="B3" s="178"/>
      <c r="C3" s="185"/>
      <c r="D3" s="169"/>
      <c r="L3" s="424"/>
      <c r="M3" s="425"/>
      <c r="N3" s="425"/>
      <c r="O3" s="425"/>
      <c r="P3" s="425"/>
      <c r="Q3" s="426"/>
    </row>
    <row r="4" spans="1:17" x14ac:dyDescent="0.25">
      <c r="A4" s="167"/>
      <c r="B4" s="178"/>
      <c r="C4" s="185"/>
      <c r="D4" s="169"/>
      <c r="L4" s="5"/>
      <c r="M4" s="30"/>
      <c r="N4" s="30"/>
      <c r="O4" s="30"/>
      <c r="P4" s="30"/>
      <c r="Q4" s="6"/>
    </row>
    <row r="5" spans="1:17" x14ac:dyDescent="0.25">
      <c r="A5" s="167"/>
      <c r="B5" s="178"/>
      <c r="C5" s="185"/>
      <c r="D5" s="169"/>
      <c r="L5" s="5"/>
      <c r="M5" s="30"/>
      <c r="N5" s="30"/>
      <c r="O5" s="30"/>
      <c r="P5" s="30"/>
      <c r="Q5" s="6"/>
    </row>
    <row r="6" spans="1:17" x14ac:dyDescent="0.25">
      <c r="A6" s="165"/>
      <c r="B6" s="179"/>
      <c r="C6" s="179"/>
      <c r="D6" s="176"/>
      <c r="L6" s="5"/>
      <c r="M6" s="30"/>
      <c r="N6" s="30"/>
      <c r="O6" s="30"/>
      <c r="P6" s="30"/>
      <c r="Q6" s="6"/>
    </row>
    <row r="7" spans="1:17" x14ac:dyDescent="0.25">
      <c r="A7" s="167"/>
      <c r="B7" s="178"/>
      <c r="C7" s="185"/>
      <c r="D7" s="169"/>
      <c r="L7" s="5"/>
      <c r="M7" s="30"/>
      <c r="N7" s="30"/>
      <c r="O7" s="30"/>
      <c r="P7" s="30"/>
      <c r="Q7" s="6"/>
    </row>
    <row r="8" spans="1:17" x14ac:dyDescent="0.25">
      <c r="A8" s="167"/>
      <c r="B8" s="178"/>
      <c r="C8" s="185"/>
      <c r="D8" s="169"/>
      <c r="L8" s="5"/>
      <c r="M8" s="30"/>
      <c r="N8" s="30"/>
      <c r="O8" s="30"/>
      <c r="P8" s="30"/>
      <c r="Q8" s="6"/>
    </row>
    <row r="9" spans="1:17" x14ac:dyDescent="0.25">
      <c r="A9" s="167"/>
      <c r="B9" s="178"/>
      <c r="C9" s="185"/>
      <c r="D9" s="169"/>
      <c r="L9" s="5"/>
      <c r="M9" s="30"/>
      <c r="N9" s="30"/>
      <c r="O9" s="30"/>
      <c r="P9" s="30"/>
      <c r="Q9" s="6"/>
    </row>
    <row r="10" spans="1:17" x14ac:dyDescent="0.25">
      <c r="A10" s="167"/>
      <c r="B10" s="178"/>
      <c r="C10" s="185"/>
      <c r="D10" s="169"/>
      <c r="L10" s="5"/>
      <c r="M10" s="30"/>
      <c r="N10" s="30"/>
      <c r="O10" s="30"/>
      <c r="P10" s="30"/>
      <c r="Q10" s="6"/>
    </row>
    <row r="11" spans="1:17" ht="15.75" thickBot="1" x14ac:dyDescent="0.3">
      <c r="A11" s="167"/>
      <c r="B11" s="178"/>
      <c r="C11" s="185"/>
      <c r="D11" s="169"/>
      <c r="L11" s="5"/>
      <c r="M11" s="30"/>
      <c r="N11" s="30"/>
      <c r="O11" s="30"/>
      <c r="P11" s="30"/>
      <c r="Q11" s="6"/>
    </row>
    <row r="12" spans="1:17" x14ac:dyDescent="0.25">
      <c r="A12" s="167"/>
      <c r="B12" s="178"/>
      <c r="C12" s="185"/>
      <c r="D12" s="169"/>
      <c r="L12" s="27"/>
      <c r="M12" s="28"/>
      <c r="N12" s="28"/>
      <c r="O12" s="28"/>
      <c r="P12" s="28"/>
      <c r="Q12" s="29"/>
    </row>
    <row r="13" spans="1:17" x14ac:dyDescent="0.25">
      <c r="A13" s="167"/>
      <c r="B13" s="178"/>
      <c r="C13" s="186"/>
      <c r="D13" s="169"/>
      <c r="L13" s="5"/>
      <c r="M13" s="30"/>
      <c r="N13" s="427" t="s">
        <v>46</v>
      </c>
      <c r="O13" s="427"/>
      <c r="P13" s="30"/>
      <c r="Q13" s="6"/>
    </row>
    <row r="14" spans="1:17" x14ac:dyDescent="0.25">
      <c r="A14" s="167"/>
      <c r="B14" s="178"/>
      <c r="C14" s="186"/>
      <c r="D14" s="169"/>
      <c r="L14" s="31" t="s">
        <v>47</v>
      </c>
      <c r="M14" s="30"/>
      <c r="N14" s="30"/>
      <c r="O14" s="30"/>
      <c r="P14" s="30"/>
      <c r="Q14" s="6"/>
    </row>
    <row r="15" spans="1:17" x14ac:dyDescent="0.25">
      <c r="A15" s="167"/>
      <c r="B15" s="178"/>
      <c r="C15" s="186"/>
      <c r="D15" s="169"/>
      <c r="L15" s="31"/>
      <c r="M15" s="30"/>
      <c r="N15" s="30"/>
      <c r="O15" s="30"/>
      <c r="P15" s="30"/>
      <c r="Q15" s="6"/>
    </row>
    <row r="16" spans="1:17" x14ac:dyDescent="0.25">
      <c r="A16" s="167"/>
      <c r="B16" s="178"/>
      <c r="C16" s="186"/>
      <c r="D16" s="169"/>
      <c r="L16" s="31" t="s">
        <v>115</v>
      </c>
      <c r="M16" s="32"/>
      <c r="N16" s="30"/>
      <c r="O16" s="30"/>
      <c r="P16" s="30"/>
      <c r="Q16" s="6"/>
    </row>
    <row r="17" spans="1:22" x14ac:dyDescent="0.25">
      <c r="A17" s="167"/>
      <c r="B17" s="178"/>
      <c r="C17" s="186"/>
      <c r="D17" s="169"/>
      <c r="L17" s="31"/>
      <c r="M17" s="30"/>
      <c r="N17" s="30"/>
      <c r="O17" s="30"/>
      <c r="P17" s="30"/>
      <c r="Q17" s="6"/>
    </row>
    <row r="18" spans="1:22" x14ac:dyDescent="0.25">
      <c r="A18" s="167"/>
      <c r="B18" s="178"/>
      <c r="C18" s="186"/>
      <c r="D18" s="169"/>
      <c r="L18" s="31" t="s">
        <v>146</v>
      </c>
      <c r="M18" s="30"/>
      <c r="N18" s="30"/>
      <c r="O18" s="30"/>
      <c r="P18" s="30"/>
      <c r="Q18" s="6"/>
    </row>
    <row r="19" spans="1:22" x14ac:dyDescent="0.25">
      <c r="A19" s="167"/>
      <c r="B19" s="178"/>
      <c r="C19" s="186"/>
      <c r="D19" s="169"/>
      <c r="L19" s="31"/>
      <c r="M19" s="30"/>
      <c r="N19" s="30"/>
      <c r="O19" s="30"/>
      <c r="P19" s="30"/>
      <c r="Q19" s="6"/>
    </row>
    <row r="20" spans="1:22" x14ac:dyDescent="0.25">
      <c r="A20" s="167"/>
      <c r="B20" s="178"/>
      <c r="C20" s="186"/>
      <c r="D20" s="169"/>
      <c r="L20" s="31" t="s">
        <v>166</v>
      </c>
      <c r="M20" s="30"/>
      <c r="N20" s="30"/>
      <c r="O20" s="30"/>
      <c r="P20" s="30"/>
      <c r="Q20" s="6"/>
    </row>
    <row r="21" spans="1:22" x14ac:dyDescent="0.25">
      <c r="A21" s="167"/>
      <c r="B21" s="178"/>
      <c r="C21" s="186"/>
      <c r="D21" s="169"/>
      <c r="L21" s="5"/>
      <c r="M21" s="30"/>
      <c r="N21" s="30"/>
      <c r="O21" s="30"/>
      <c r="P21" s="30"/>
      <c r="Q21" s="6"/>
    </row>
    <row r="22" spans="1:22" x14ac:dyDescent="0.25">
      <c r="A22" s="167"/>
      <c r="B22" s="178"/>
      <c r="C22" s="186"/>
      <c r="D22" s="169"/>
      <c r="L22" s="31"/>
      <c r="M22" s="30"/>
      <c r="N22" s="30"/>
      <c r="O22" s="30"/>
      <c r="P22" s="30"/>
      <c r="Q22" s="6"/>
    </row>
    <row r="23" spans="1:22" x14ac:dyDescent="0.25">
      <c r="A23" s="167"/>
      <c r="B23" s="178"/>
      <c r="C23" s="186"/>
      <c r="D23" s="169"/>
      <c r="L23" s="5"/>
      <c r="M23" s="30"/>
      <c r="N23" s="30"/>
      <c r="O23" s="30"/>
      <c r="P23" s="30"/>
      <c r="Q23" s="6"/>
    </row>
    <row r="24" spans="1:22" x14ac:dyDescent="0.25">
      <c r="A24" s="167"/>
      <c r="B24" s="178"/>
      <c r="C24" s="186"/>
      <c r="D24" s="169"/>
      <c r="L24" s="5"/>
      <c r="M24" s="30"/>
      <c r="N24" s="30"/>
      <c r="O24" s="30"/>
      <c r="P24" s="30"/>
      <c r="Q24" s="6"/>
      <c r="V24" s="41"/>
    </row>
    <row r="25" spans="1:22" x14ac:dyDescent="0.25">
      <c r="A25" s="167"/>
      <c r="B25" s="178"/>
      <c r="C25" s="186"/>
      <c r="D25" s="169"/>
      <c r="L25" s="31"/>
      <c r="M25" s="30"/>
      <c r="N25" s="30"/>
      <c r="O25" s="30"/>
      <c r="P25" s="30"/>
      <c r="Q25" s="6"/>
    </row>
    <row r="26" spans="1:22" x14ac:dyDescent="0.25">
      <c r="A26" s="167"/>
      <c r="B26" s="178"/>
      <c r="C26" s="186"/>
      <c r="D26" s="169"/>
      <c r="L26" s="5"/>
      <c r="M26" s="30"/>
      <c r="N26" s="30"/>
      <c r="O26" s="30"/>
      <c r="P26" s="30"/>
      <c r="Q26" s="6"/>
    </row>
    <row r="27" spans="1:22" x14ac:dyDescent="0.25">
      <c r="A27" s="167"/>
      <c r="B27" s="178"/>
      <c r="C27" s="186"/>
      <c r="D27" s="169"/>
      <c r="L27" s="5"/>
      <c r="M27" s="30"/>
      <c r="N27" s="30"/>
      <c r="O27" s="30"/>
      <c r="P27" s="30"/>
      <c r="Q27" s="6"/>
    </row>
    <row r="28" spans="1:22" x14ac:dyDescent="0.25">
      <c r="A28" s="167"/>
      <c r="B28" s="178"/>
      <c r="C28" s="186"/>
      <c r="D28" s="169"/>
      <c r="L28" s="5"/>
      <c r="M28" s="30"/>
      <c r="N28" s="30"/>
      <c r="O28" s="30"/>
      <c r="P28" s="30"/>
      <c r="Q28" s="6"/>
    </row>
    <row r="29" spans="1:22" x14ac:dyDescent="0.25">
      <c r="A29" s="167"/>
      <c r="B29" s="178"/>
      <c r="C29" s="186"/>
      <c r="D29" s="169"/>
      <c r="L29" s="5"/>
      <c r="M29" s="30"/>
      <c r="N29" s="30"/>
      <c r="O29" s="30"/>
      <c r="P29" s="30"/>
      <c r="Q29" s="6"/>
    </row>
    <row r="30" spans="1:22" x14ac:dyDescent="0.25">
      <c r="A30" s="170"/>
      <c r="B30" s="180"/>
      <c r="C30" s="187"/>
      <c r="D30" s="171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94"/>
      <c r="D39" s="394"/>
      <c r="E39" s="3" t="s">
        <v>27</v>
      </c>
    </row>
    <row r="41" spans="1:17" s="24" customFormat="1" ht="15.75" x14ac:dyDescent="0.25">
      <c r="B41" s="24" t="s">
        <v>36</v>
      </c>
      <c r="C41" s="529"/>
      <c r="E41" s="25" t="s">
        <v>37</v>
      </c>
    </row>
    <row r="42" spans="1:17" s="24" customFormat="1" ht="15.75" x14ac:dyDescent="0.25">
      <c r="B42" s="24" t="s">
        <v>38</v>
      </c>
      <c r="C42" s="530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529"/>
      <c r="E44" s="4" t="s">
        <v>9</v>
      </c>
    </row>
    <row r="45" spans="1:17" x14ac:dyDescent="0.25">
      <c r="B45" s="2" t="s">
        <v>6</v>
      </c>
      <c r="C45" s="530"/>
      <c r="E45" s="4" t="s">
        <v>10</v>
      </c>
    </row>
    <row r="46" spans="1:17" x14ac:dyDescent="0.25">
      <c r="B46" s="2" t="s">
        <v>7</v>
      </c>
      <c r="C46" s="530"/>
    </row>
    <row r="47" spans="1:17" x14ac:dyDescent="0.25">
      <c r="B47" s="2" t="s">
        <v>8</v>
      </c>
      <c r="C47" s="530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39"/>
      <c r="B2" s="440"/>
      <c r="C2" s="440"/>
      <c r="D2" s="440"/>
      <c r="E2" s="440"/>
      <c r="F2" s="440"/>
      <c r="G2" s="440"/>
      <c r="H2" s="441" t="s">
        <v>53</v>
      </c>
      <c r="I2" s="441"/>
      <c r="J2" s="441"/>
      <c r="K2" s="441"/>
      <c r="L2" s="441"/>
      <c r="M2" s="441"/>
      <c r="N2" s="441"/>
      <c r="O2" s="441"/>
      <c r="P2" s="441"/>
      <c r="Q2" s="441"/>
      <c r="R2" s="441"/>
      <c r="S2" s="441"/>
      <c r="T2" s="442"/>
      <c r="U2" s="443">
        <v>0</v>
      </c>
      <c r="V2" s="444"/>
      <c r="W2" s="444"/>
      <c r="X2" s="444"/>
      <c r="Y2" s="444"/>
      <c r="Z2" s="444"/>
      <c r="AA2" s="444"/>
      <c r="AB2" s="444"/>
      <c r="AC2" s="444"/>
      <c r="AD2" s="444"/>
      <c r="AE2" s="444"/>
      <c r="AF2" s="444"/>
      <c r="AG2" s="444"/>
      <c r="AH2" s="444"/>
      <c r="AI2" s="444"/>
      <c r="AJ2" s="444"/>
      <c r="AK2" s="444"/>
      <c r="AL2" s="444"/>
      <c r="AM2" s="444"/>
      <c r="AN2" s="444"/>
      <c r="AO2" s="433" t="s">
        <v>54</v>
      </c>
      <c r="AP2" s="434"/>
      <c r="AQ2" s="434"/>
      <c r="AR2" s="434"/>
      <c r="AS2" s="434"/>
      <c r="AT2" s="434"/>
      <c r="AU2" s="434"/>
      <c r="AV2" s="434"/>
      <c r="AW2" s="434"/>
      <c r="AX2" s="434"/>
      <c r="AY2" s="434"/>
      <c r="AZ2" s="434"/>
      <c r="BA2" s="435"/>
      <c r="BB2" s="436"/>
      <c r="BC2" s="437"/>
      <c r="BD2" s="437"/>
      <c r="BE2" s="437"/>
      <c r="BF2" s="437"/>
      <c r="BG2" s="437"/>
      <c r="BH2" s="437"/>
      <c r="BI2" s="437"/>
      <c r="BJ2" s="437"/>
      <c r="BK2" s="437"/>
      <c r="BL2" s="438"/>
    </row>
    <row r="3" spans="1:65" ht="15.75" thickBot="1" x14ac:dyDescent="0.3">
      <c r="A3" s="405">
        <v>1</v>
      </c>
      <c r="B3" s="405"/>
      <c r="C3" s="405">
        <v>2</v>
      </c>
      <c r="D3" s="405"/>
      <c r="E3" s="405">
        <v>3</v>
      </c>
      <c r="F3" s="405"/>
      <c r="G3" s="405">
        <v>4</v>
      </c>
      <c r="H3" s="405"/>
      <c r="I3" s="406">
        <v>5</v>
      </c>
      <c r="J3" s="407"/>
      <c r="K3" s="406">
        <v>6</v>
      </c>
      <c r="L3" s="407"/>
      <c r="M3" s="406">
        <v>7</v>
      </c>
      <c r="N3" s="407"/>
      <c r="O3" s="406">
        <v>8</v>
      </c>
      <c r="P3" s="407"/>
      <c r="Q3" s="406">
        <v>9</v>
      </c>
      <c r="R3" s="407"/>
      <c r="S3" s="406">
        <v>10</v>
      </c>
      <c r="T3" s="408"/>
      <c r="U3" s="428">
        <v>1</v>
      </c>
      <c r="V3" s="407"/>
      <c r="W3" s="406">
        <v>2</v>
      </c>
      <c r="X3" s="407"/>
      <c r="Y3" s="406">
        <v>3</v>
      </c>
      <c r="Z3" s="407"/>
      <c r="AA3" s="406">
        <v>4</v>
      </c>
      <c r="AB3" s="407"/>
      <c r="AC3" s="406">
        <v>5</v>
      </c>
      <c r="AD3" s="407"/>
      <c r="AE3" s="406">
        <v>6</v>
      </c>
      <c r="AF3" s="407"/>
      <c r="AG3" s="406">
        <v>7</v>
      </c>
      <c r="AH3" s="407"/>
      <c r="AI3" s="406">
        <v>8</v>
      </c>
      <c r="AJ3" s="407"/>
      <c r="AK3" s="406">
        <v>9</v>
      </c>
      <c r="AL3" s="407"/>
      <c r="AM3" s="406">
        <v>10</v>
      </c>
      <c r="AN3" s="408"/>
      <c r="AO3" s="430" t="s">
        <v>55</v>
      </c>
      <c r="AP3" s="431"/>
      <c r="AQ3" s="431"/>
      <c r="AR3" s="432"/>
      <c r="AS3" s="430" t="s">
        <v>56</v>
      </c>
      <c r="AT3" s="431"/>
      <c r="AU3" s="431"/>
      <c r="AV3" s="431"/>
      <c r="AW3" s="431"/>
      <c r="AX3" s="431"/>
      <c r="AY3" s="428" t="s">
        <v>57</v>
      </c>
      <c r="AZ3" s="429"/>
      <c r="BA3" s="408"/>
      <c r="BB3" s="445" t="s">
        <v>102</v>
      </c>
      <c r="BC3" s="446"/>
      <c r="BD3" s="446"/>
      <c r="BE3" s="446"/>
      <c r="BF3" s="446"/>
      <c r="BG3" s="446"/>
      <c r="BH3" s="446"/>
      <c r="BI3" s="446"/>
      <c r="BJ3" s="446"/>
      <c r="BK3" s="446"/>
      <c r="BL3" s="447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0.58333333333333337</v>
      </c>
      <c r="B9" s="73">
        <v>0.69513888888888886</v>
      </c>
      <c r="C9" s="72">
        <v>0.7090277777777777</v>
      </c>
      <c r="D9" s="73">
        <v>0.81666666666666676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0.58333333333333337</v>
      </c>
      <c r="V9" s="73">
        <v>0.69513888888888886</v>
      </c>
      <c r="W9" s="72">
        <v>0.7090277777777777</v>
      </c>
      <c r="X9" s="73">
        <v>0.81666666666666676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0.58333333333333337</v>
      </c>
      <c r="AV9" s="81">
        <f t="shared" si="7"/>
        <v>0.69513888888888886</v>
      </c>
      <c r="AW9" s="81">
        <f t="shared" si="8"/>
        <v>0.7090277777777777</v>
      </c>
      <c r="AX9" s="81">
        <f t="shared" si="9"/>
        <v>0.81666666666666676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0.11180555555555549</v>
      </c>
      <c r="BC9" s="83">
        <f>X9 - W9</f>
        <v>0.10763888888888906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0.22222222222222221</v>
      </c>
      <c r="BM9" s="71">
        <v>45870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0.27777777777777779</v>
      </c>
      <c r="B29" s="73">
        <v>0.45902777777777781</v>
      </c>
      <c r="C29" s="72">
        <v>0.50069444444444444</v>
      </c>
      <c r="D29" s="73">
        <v>0.5805555555555556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0.27777777777777779</v>
      </c>
      <c r="V29" s="73">
        <v>0.45902777777777781</v>
      </c>
      <c r="W29" s="72">
        <v>0.50069444444444444</v>
      </c>
      <c r="X29" s="73">
        <v>0.5805555555555556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0.27777777777777779</v>
      </c>
      <c r="AT29" s="81">
        <f t="shared" si="5"/>
        <v>0.45902777777777781</v>
      </c>
      <c r="AU29" s="81">
        <f t="shared" si="6"/>
        <v>0.50069444444444444</v>
      </c>
      <c r="AV29" s="81">
        <f t="shared" si="7"/>
        <v>0.5805555555555556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0.18125000000000002</v>
      </c>
      <c r="BC29" s="83">
        <f>X29 - W29</f>
        <v>7.986111111111116E-2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0.2638888888888889</v>
      </c>
      <c r="BM29" s="71">
        <v>45890</v>
      </c>
    </row>
    <row r="30" spans="1:65" x14ac:dyDescent="0.25">
      <c r="A30" s="72">
        <v>0.3576388888888889</v>
      </c>
      <c r="B30" s="73">
        <v>0.58819444444444446</v>
      </c>
      <c r="C30" s="72">
        <v>0.62986111111111109</v>
      </c>
      <c r="D30" s="73">
        <v>0.76180555555555562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0.3576388888888889</v>
      </c>
      <c r="V30" s="73">
        <v>0.58819444444444446</v>
      </c>
      <c r="W30" s="72">
        <v>0.62986111111111109</v>
      </c>
      <c r="X30" s="73">
        <v>0.76180555555555562</v>
      </c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0.3576388888888889</v>
      </c>
      <c r="AT30" s="81">
        <f t="shared" si="5"/>
        <v>0.58819444444444446</v>
      </c>
      <c r="AU30" s="81">
        <f t="shared" si="6"/>
        <v>0.62986111111111109</v>
      </c>
      <c r="AV30" s="81">
        <f t="shared" si="7"/>
        <v>0.76180555555555562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1</v>
      </c>
      <c r="BB30" s="80">
        <f>V30 - U30</f>
        <v>0.23055555555555557</v>
      </c>
      <c r="BC30" s="83">
        <f>X30 - W30</f>
        <v>0.13194444444444453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0.36458333333333331</v>
      </c>
      <c r="BM30" s="71">
        <v>45891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0.36805555555555558</v>
      </c>
      <c r="B33" s="73">
        <v>0.55347222222222225</v>
      </c>
      <c r="C33" s="72">
        <v>0.59513888888888888</v>
      </c>
      <c r="D33" s="73">
        <v>0.71944444444444444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0.36805555555555558</v>
      </c>
      <c r="V33" s="73">
        <v>0.55347222222222225</v>
      </c>
      <c r="W33" s="72">
        <v>0.59513888888888888</v>
      </c>
      <c r="X33" s="73">
        <v>0.71944444444444444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0.36805555555555558</v>
      </c>
      <c r="AT33" s="81">
        <f t="shared" si="5"/>
        <v>0.55347222222222225</v>
      </c>
      <c r="AU33" s="81">
        <f t="shared" si="6"/>
        <v>0.59513888888888888</v>
      </c>
      <c r="AV33" s="81">
        <f t="shared" si="7"/>
        <v>0.71944444444444444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0.18541666666666667</v>
      </c>
      <c r="BC33" s="83">
        <f>X33 - W33</f>
        <v>0.12430555555555556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0.3125</v>
      </c>
      <c r="BM33" s="71">
        <v>45894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0.30902777777777779</v>
      </c>
      <c r="B35" s="86">
        <v>0.46736111111111112</v>
      </c>
      <c r="C35" s="85">
        <v>0.50208333333333333</v>
      </c>
      <c r="D35" s="86">
        <v>0.70624999999999993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0.30902777777777779</v>
      </c>
      <c r="V35" s="86">
        <v>0.46736111111111112</v>
      </c>
      <c r="W35" s="85">
        <v>0.50208333333333333</v>
      </c>
      <c r="X35" s="86">
        <v>0.70624999999999993</v>
      </c>
      <c r="Y35" s="85"/>
      <c r="Z35" s="86"/>
      <c r="AA35" s="85"/>
      <c r="AB35" s="86"/>
      <c r="AC35" s="88"/>
      <c r="AD35" s="86"/>
      <c r="AE35" s="88"/>
      <c r="AF35" s="86"/>
      <c r="AG35" s="88"/>
      <c r="AH35" s="86"/>
      <c r="AI35" s="88"/>
      <c r="AJ35" s="86"/>
      <c r="AK35" s="88"/>
      <c r="AL35" s="86"/>
      <c r="AM35" s="85"/>
      <c r="AN35" s="89"/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0.30902777777777779</v>
      </c>
      <c r="AT35" s="94">
        <f t="shared" si="5"/>
        <v>0.46736111111111112</v>
      </c>
      <c r="AU35" s="94">
        <f t="shared" si="6"/>
        <v>0.50208333333333333</v>
      </c>
      <c r="AV35" s="94">
        <f t="shared" si="7"/>
        <v>0.70624999999999993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1</v>
      </c>
      <c r="BB35" s="80">
        <f>V35 - U35</f>
        <v>0.15833333333333333</v>
      </c>
      <c r="BC35" s="83">
        <f>X35 - W35</f>
        <v>0.20416666666666661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0.36458333333333331</v>
      </c>
      <c r="BM35" s="71">
        <v>45896</v>
      </c>
    </row>
    <row r="36" spans="1:65" x14ac:dyDescent="0.25">
      <c r="A36" s="85">
        <v>0.34027777777777773</v>
      </c>
      <c r="B36" s="86">
        <v>0.50972222222222219</v>
      </c>
      <c r="C36" s="85">
        <v>0.55138888888888882</v>
      </c>
      <c r="D36" s="86">
        <v>0.72916666666666663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0.34027777777777773</v>
      </c>
      <c r="V36" s="86">
        <v>0.50972222222222219</v>
      </c>
      <c r="W36" s="85">
        <v>0.55138888888888882</v>
      </c>
      <c r="X36" s="86">
        <v>0.72916666666666663</v>
      </c>
      <c r="Y36" s="85"/>
      <c r="Z36" s="86"/>
      <c r="AA36" s="85"/>
      <c r="AB36" s="86"/>
      <c r="AC36" s="88"/>
      <c r="AD36" s="86"/>
      <c r="AE36" s="88"/>
      <c r="AF36" s="86"/>
      <c r="AG36" s="88"/>
      <c r="AH36" s="86"/>
      <c r="AI36" s="88"/>
      <c r="AJ36" s="86"/>
      <c r="AK36" s="88"/>
      <c r="AL36" s="86"/>
      <c r="AM36" s="85"/>
      <c r="AN36" s="89"/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0.34027777777777773</v>
      </c>
      <c r="AT36" s="94">
        <f t="shared" si="5"/>
        <v>0.50972222222222219</v>
      </c>
      <c r="AU36" s="94">
        <f t="shared" si="6"/>
        <v>0.55138888888888882</v>
      </c>
      <c r="AV36" s="94">
        <f t="shared" si="7"/>
        <v>0.72916666666666663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0.16944444444444445</v>
      </c>
      <c r="BC36" s="83">
        <f>X36 - W36</f>
        <v>0.17777777777777781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0.34722222222222221</v>
      </c>
      <c r="BM36" s="71">
        <v>45897</v>
      </c>
    </row>
    <row r="37" spans="1:65" x14ac:dyDescent="0.25">
      <c r="A37" s="85">
        <v>0.3125</v>
      </c>
      <c r="B37" s="86">
        <v>0.47222222222222227</v>
      </c>
      <c r="C37" s="85">
        <v>0.51388888888888895</v>
      </c>
      <c r="D37" s="86">
        <v>0.73333333333333339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0.3125</v>
      </c>
      <c r="V37" s="86">
        <v>0.47222222222222227</v>
      </c>
      <c r="W37" s="85">
        <v>0.51388888888888895</v>
      </c>
      <c r="X37" s="86">
        <v>0.73333333333333339</v>
      </c>
      <c r="Y37" s="85"/>
      <c r="Z37" s="86"/>
      <c r="AA37" s="85"/>
      <c r="AB37" s="86"/>
      <c r="AC37" s="88"/>
      <c r="AD37" s="86"/>
      <c r="AE37" s="88"/>
      <c r="AF37" s="86"/>
      <c r="AG37" s="88"/>
      <c r="AH37" s="86"/>
      <c r="AI37" s="88"/>
      <c r="AJ37" s="86"/>
      <c r="AK37" s="88"/>
      <c r="AL37" s="86"/>
      <c r="AM37" s="85"/>
      <c r="AN37" s="89"/>
      <c r="AO37" s="90">
        <f t="shared" si="0"/>
        <v>1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0.3125</v>
      </c>
      <c r="AT37" s="94">
        <f t="shared" si="5"/>
        <v>0.47222222222222227</v>
      </c>
      <c r="AU37" s="94">
        <f t="shared" si="6"/>
        <v>0.51388888888888895</v>
      </c>
      <c r="AV37" s="94">
        <f t="shared" si="7"/>
        <v>0.73333333333333339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0.15972222222222227</v>
      </c>
      <c r="BC37" s="83">
        <f>X37 - W37</f>
        <v>0.21944444444444444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0.38194444444444442</v>
      </c>
      <c r="BM37" s="71">
        <v>45898</v>
      </c>
    </row>
    <row r="38" spans="1:65" x14ac:dyDescent="0.25">
      <c r="A38" s="85">
        <v>0.58333333333333337</v>
      </c>
      <c r="B38" s="86">
        <v>0.69513888888888886</v>
      </c>
      <c r="C38" s="85">
        <v>0.7090277777777777</v>
      </c>
      <c r="D38" s="86">
        <v>0.81666666666666676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0.58333333333333337</v>
      </c>
      <c r="V38" s="86">
        <v>0.69513888888888886</v>
      </c>
      <c r="W38" s="85">
        <v>0.7090277777777777</v>
      </c>
      <c r="X38" s="86">
        <v>0.81666666666666676</v>
      </c>
      <c r="Y38" s="85"/>
      <c r="Z38" s="86"/>
      <c r="AA38" s="85"/>
      <c r="AB38" s="86"/>
      <c r="AC38" s="88"/>
      <c r="AD38" s="86"/>
      <c r="AE38" s="88"/>
      <c r="AF38" s="86"/>
      <c r="AG38" s="88"/>
      <c r="AH38" s="86"/>
      <c r="AI38" s="88"/>
      <c r="AJ38" s="86"/>
      <c r="AK38" s="88"/>
      <c r="AL38" s="86"/>
      <c r="AM38" s="85"/>
      <c r="AN38" s="89"/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0.58333333333333337</v>
      </c>
      <c r="AV38" s="94">
        <f t="shared" si="7"/>
        <v>0.69513888888888886</v>
      </c>
      <c r="AW38" s="94">
        <f t="shared" si="8"/>
        <v>0.7090277777777777</v>
      </c>
      <c r="AX38" s="94">
        <f t="shared" si="9"/>
        <v>0.81666666666666676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0.11180555555555549</v>
      </c>
      <c r="BC38" s="83">
        <f>X38 - W38</f>
        <v>0.10763888888888906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0.22222222222222221</v>
      </c>
      <c r="BM38" s="71">
        <v>45899</v>
      </c>
    </row>
    <row r="39" spans="1:65" s="257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57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57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57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57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57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57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71</v>
      </c>
      <c r="AU50" s="116" t="s">
        <v>72</v>
      </c>
      <c r="AV50" s="116" t="s">
        <v>73</v>
      </c>
      <c r="AW50" s="116" t="s">
        <v>74</v>
      </c>
      <c r="AX50" s="116"/>
      <c r="AY50" s="117">
        <f>SUM(AY5:AY49)</f>
        <v>0</v>
      </c>
      <c r="AZ50" s="118">
        <f>SUM(AZ5:AZ49)</f>
        <v>0</v>
      </c>
      <c r="BA50" s="119">
        <f>SUM(BA5:BA49)</f>
        <v>2</v>
      </c>
      <c r="BB50" s="120" t="str">
        <f t="shared" ref="BB50:BL50" si="26">TRUNC(SUM(BB5:BB49)*24,0) &amp; ":" &amp; RIGHT("00"&amp;ROUND(((SUM(BB5:BB49)*24)-TRUNC(SUM(BB5:BB49)*24,0))*60,2),2)</f>
        <v>31:24</v>
      </c>
      <c r="BC50" s="121" t="str">
        <f t="shared" si="26"/>
        <v>27:40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59:30</v>
      </c>
      <c r="BM50" s="124"/>
    </row>
    <row r="52" spans="1:65" x14ac:dyDescent="0.25">
      <c r="C52" s="412"/>
      <c r="D52" s="412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4"/>
  <sheetViews>
    <sheetView workbookViewId="0">
      <selection activeCell="C22" sqref="C22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116</v>
      </c>
      <c r="B1" t="s">
        <v>12</v>
      </c>
      <c r="C1" t="s">
        <v>130</v>
      </c>
      <c r="G1" s="196" t="s">
        <v>116</v>
      </c>
      <c r="H1" s="196" t="s">
        <v>12</v>
      </c>
    </row>
    <row r="2" spans="1:8" s="195" customFormat="1" x14ac:dyDescent="0.25">
      <c r="A2" s="195" t="s">
        <v>118</v>
      </c>
      <c r="B2" s="195" t="s">
        <v>117</v>
      </c>
      <c r="C2" s="195">
        <v>0.3</v>
      </c>
      <c r="G2" s="195" t="s">
        <v>162</v>
      </c>
      <c r="H2" s="195" t="s">
        <v>163</v>
      </c>
    </row>
    <row r="3" spans="1:8" s="195" customFormat="1" x14ac:dyDescent="0.25">
      <c r="A3" s="195" t="s">
        <v>119</v>
      </c>
      <c r="B3" s="195" t="s">
        <v>139</v>
      </c>
      <c r="C3" s="195">
        <v>0.2</v>
      </c>
      <c r="G3" s="195" t="s">
        <v>164</v>
      </c>
      <c r="H3" s="195" t="s">
        <v>127</v>
      </c>
    </row>
    <row r="4" spans="1:8" s="195" customFormat="1" x14ac:dyDescent="0.25">
      <c r="A4" s="195" t="s">
        <v>120</v>
      </c>
      <c r="B4" s="195" t="s">
        <v>121</v>
      </c>
      <c r="C4" s="195">
        <v>0.5</v>
      </c>
    </row>
    <row r="5" spans="1:8" s="195" customFormat="1" x14ac:dyDescent="0.25">
      <c r="A5" s="195" t="s">
        <v>122</v>
      </c>
      <c r="B5" s="195" t="s">
        <v>131</v>
      </c>
      <c r="C5" s="195">
        <v>0.6</v>
      </c>
    </row>
    <row r="6" spans="1:8" s="195" customFormat="1" x14ac:dyDescent="0.25">
      <c r="A6" s="195" t="s">
        <v>123</v>
      </c>
      <c r="B6" s="195" t="s">
        <v>132</v>
      </c>
      <c r="C6" s="195">
        <v>0.35</v>
      </c>
    </row>
    <row r="7" spans="1:8" s="195" customFormat="1" x14ac:dyDescent="0.25">
      <c r="A7" s="195" t="s">
        <v>124</v>
      </c>
      <c r="B7" s="195" t="s">
        <v>125</v>
      </c>
      <c r="C7" s="195">
        <v>0.25</v>
      </c>
    </row>
    <row r="8" spans="1:8" s="195" customFormat="1" x14ac:dyDescent="0.25">
      <c r="A8" s="195" t="s">
        <v>126</v>
      </c>
      <c r="B8" s="195" t="s">
        <v>127</v>
      </c>
      <c r="C8" s="195">
        <v>0.5</v>
      </c>
    </row>
    <row r="9" spans="1:8" s="195" customFormat="1" x14ac:dyDescent="0.25">
      <c r="A9" s="195" t="s">
        <v>133</v>
      </c>
      <c r="B9" s="195" t="s">
        <v>134</v>
      </c>
      <c r="C9" s="195">
        <v>6.5</v>
      </c>
    </row>
    <row r="10" spans="1:8" s="195" customFormat="1" x14ac:dyDescent="0.25">
      <c r="A10" s="195" t="s">
        <v>135</v>
      </c>
      <c r="B10" s="195" t="s">
        <v>136</v>
      </c>
      <c r="C10" s="195">
        <v>1.5</v>
      </c>
    </row>
    <row r="11" spans="1:8" s="195" customFormat="1" x14ac:dyDescent="0.25">
      <c r="A11" s="195" t="s">
        <v>138</v>
      </c>
      <c r="B11" s="195" t="s">
        <v>137</v>
      </c>
      <c r="C11" s="195">
        <v>2.5</v>
      </c>
    </row>
    <row r="12" spans="1:8" s="195" customFormat="1" x14ac:dyDescent="0.25">
      <c r="A12" s="195" t="s">
        <v>140</v>
      </c>
      <c r="B12" s="195" t="s">
        <v>141</v>
      </c>
      <c r="C12" s="195">
        <v>32.5</v>
      </c>
    </row>
    <row r="13" spans="1:8" s="195" customFormat="1" x14ac:dyDescent="0.25">
      <c r="A13" s="195" t="s">
        <v>142</v>
      </c>
      <c r="B13" s="195" t="s">
        <v>143</v>
      </c>
      <c r="C13" s="195">
        <v>0.25</v>
      </c>
    </row>
    <row r="14" spans="1:8" s="195" customFormat="1" x14ac:dyDescent="0.25">
      <c r="A14" s="195" t="s">
        <v>144</v>
      </c>
      <c r="B14" s="195" t="s">
        <v>145</v>
      </c>
      <c r="C14" s="19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74" t="s">
        <v>87</v>
      </c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</row>
    <row r="2" spans="2:17" x14ac:dyDescent="0.25"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</row>
    <row r="3" spans="2:17" x14ac:dyDescent="0.25">
      <c r="B3" s="24" t="s">
        <v>88</v>
      </c>
      <c r="C3" s="131" t="s">
        <v>89</v>
      </c>
    </row>
    <row r="4" spans="2:17" x14ac:dyDescent="0.25">
      <c r="B4" s="24" t="s">
        <v>90</v>
      </c>
      <c r="D4" s="24">
        <f>Inter!I24</f>
        <v>0</v>
      </c>
      <c r="K4" s="24" t="s">
        <v>168</v>
      </c>
    </row>
    <row r="5" spans="2:17" ht="15.75" thickBot="1" x14ac:dyDescent="0.3"/>
    <row r="6" spans="2:17" ht="15.75" customHeight="1" x14ac:dyDescent="0.25">
      <c r="C6" s="475" t="s">
        <v>91</v>
      </c>
      <c r="D6" s="478" t="s">
        <v>92</v>
      </c>
      <c r="E6" s="478" t="s">
        <v>4</v>
      </c>
      <c r="F6" s="481"/>
      <c r="G6" s="481"/>
      <c r="H6" s="483" t="s">
        <v>93</v>
      </c>
      <c r="I6" s="485" t="s">
        <v>4</v>
      </c>
      <c r="J6" s="481"/>
      <c r="K6" s="481"/>
      <c r="L6" s="483" t="s">
        <v>93</v>
      </c>
      <c r="M6" s="487" t="s">
        <v>94</v>
      </c>
      <c r="N6" s="135"/>
      <c r="O6" s="136"/>
    </row>
    <row r="7" spans="2:17" x14ac:dyDescent="0.25">
      <c r="C7" s="476"/>
      <c r="D7" s="479"/>
      <c r="E7" s="482"/>
      <c r="F7" s="482"/>
      <c r="G7" s="482"/>
      <c r="H7" s="484"/>
      <c r="I7" s="486"/>
      <c r="J7" s="482"/>
      <c r="K7" s="482"/>
      <c r="L7" s="484"/>
      <c r="M7" s="488"/>
      <c r="N7" s="135"/>
      <c r="O7" s="136"/>
    </row>
    <row r="8" spans="2:17" x14ac:dyDescent="0.25">
      <c r="C8" s="476"/>
      <c r="D8" s="479"/>
      <c r="E8" s="482"/>
      <c r="F8" s="482"/>
      <c r="G8" s="482"/>
      <c r="H8" s="484"/>
      <c r="I8" s="486"/>
      <c r="J8" s="482"/>
      <c r="K8" s="482"/>
      <c r="L8" s="484"/>
      <c r="M8" s="488"/>
      <c r="N8" s="135"/>
      <c r="O8" s="136"/>
    </row>
    <row r="9" spans="2:17" ht="15.75" thickBot="1" x14ac:dyDescent="0.3">
      <c r="C9" s="477"/>
      <c r="D9" s="480"/>
      <c r="E9" s="137" t="s">
        <v>58</v>
      </c>
      <c r="F9" s="137" t="s">
        <v>59</v>
      </c>
      <c r="G9" s="137" t="s">
        <v>95</v>
      </c>
      <c r="H9" s="484"/>
      <c r="I9" s="138" t="s">
        <v>58</v>
      </c>
      <c r="J9" s="137" t="s">
        <v>59</v>
      </c>
      <c r="K9" s="137" t="s">
        <v>95</v>
      </c>
      <c r="L9" s="484"/>
      <c r="M9" s="488"/>
      <c r="N9" s="135"/>
      <c r="O9" s="136"/>
    </row>
    <row r="10" spans="2:17" ht="15.75" thickBot="1" x14ac:dyDescent="0.3">
      <c r="B10" s="460" t="s">
        <v>80</v>
      </c>
      <c r="C10" s="461"/>
      <c r="D10" s="464"/>
      <c r="E10" s="139"/>
      <c r="F10" s="139"/>
      <c r="G10" s="140"/>
      <c r="H10" s="141"/>
      <c r="I10" s="142"/>
      <c r="J10" s="143"/>
      <c r="K10" s="144"/>
      <c r="L10" s="145"/>
      <c r="M10" s="473"/>
      <c r="N10" s="135"/>
      <c r="O10" s="136"/>
      <c r="P10" s="146"/>
      <c r="Q10" s="146"/>
    </row>
    <row r="11" spans="2:17" ht="15.75" thickBot="1" x14ac:dyDescent="0.3">
      <c r="B11" s="460"/>
      <c r="C11" s="462"/>
      <c r="D11" s="465"/>
      <c r="E11" s="147"/>
      <c r="F11" s="147"/>
      <c r="G11" s="46"/>
      <c r="H11" s="47"/>
      <c r="I11" s="148"/>
      <c r="J11" s="149"/>
      <c r="K11" s="150"/>
      <c r="L11" s="151"/>
      <c r="M11" s="468"/>
      <c r="N11" s="135"/>
      <c r="O11" s="136"/>
      <c r="P11" s="134"/>
      <c r="Q11" s="134"/>
    </row>
    <row r="12" spans="2:17" ht="15.75" thickBot="1" x14ac:dyDescent="0.3">
      <c r="B12" s="460"/>
      <c r="C12" s="463"/>
      <c r="D12" s="466"/>
      <c r="E12" s="152"/>
      <c r="F12" s="152"/>
      <c r="G12" s="153"/>
      <c r="H12" s="154"/>
      <c r="I12" s="155"/>
      <c r="J12" s="156"/>
      <c r="K12" s="157"/>
      <c r="L12" s="158"/>
      <c r="M12" s="469"/>
      <c r="N12" s="135"/>
      <c r="O12" s="136"/>
      <c r="P12" s="134"/>
      <c r="Q12" s="134"/>
    </row>
    <row r="13" spans="2:17" ht="15.75" thickBot="1" x14ac:dyDescent="0.3">
      <c r="B13" s="460" t="s">
        <v>81</v>
      </c>
      <c r="C13" s="461"/>
      <c r="D13" s="464"/>
      <c r="E13" s="139"/>
      <c r="F13" s="139"/>
      <c r="G13" s="140"/>
      <c r="H13" s="141"/>
      <c r="I13" s="142"/>
      <c r="J13" s="143"/>
      <c r="K13" s="144"/>
      <c r="L13" s="145"/>
      <c r="M13" s="467"/>
      <c r="N13" s="135"/>
      <c r="O13" s="159"/>
      <c r="P13" s="134"/>
      <c r="Q13" s="134"/>
    </row>
    <row r="14" spans="2:17" ht="15.75" thickBot="1" x14ac:dyDescent="0.3">
      <c r="B14" s="460"/>
      <c r="C14" s="462"/>
      <c r="D14" s="465"/>
      <c r="E14" s="147"/>
      <c r="F14" s="147"/>
      <c r="G14" s="46"/>
      <c r="H14" s="47"/>
      <c r="I14" s="148"/>
      <c r="J14" s="149"/>
      <c r="K14" s="150"/>
      <c r="L14" s="151"/>
      <c r="M14" s="468"/>
      <c r="N14" s="160"/>
      <c r="O14" s="159"/>
      <c r="P14" s="134"/>
      <c r="Q14" s="134"/>
    </row>
    <row r="15" spans="2:17" ht="15.75" thickBot="1" x14ac:dyDescent="0.3">
      <c r="B15" s="460"/>
      <c r="C15" s="463"/>
      <c r="D15" s="466"/>
      <c r="E15" s="152"/>
      <c r="F15" s="152"/>
      <c r="G15" s="153"/>
      <c r="H15" s="154"/>
      <c r="I15" s="155"/>
      <c r="J15" s="156"/>
      <c r="K15" s="157"/>
      <c r="L15" s="158"/>
      <c r="M15" s="469"/>
      <c r="N15" s="160"/>
      <c r="O15" s="159"/>
      <c r="P15" s="134"/>
      <c r="Q15" s="134"/>
    </row>
    <row r="16" spans="2:17" ht="15.75" thickBot="1" x14ac:dyDescent="0.3">
      <c r="B16" s="460" t="s">
        <v>82</v>
      </c>
      <c r="C16" s="461"/>
      <c r="D16" s="464"/>
      <c r="E16" s="139"/>
      <c r="F16" s="139"/>
      <c r="G16" s="140"/>
      <c r="H16" s="141"/>
      <c r="I16" s="142"/>
      <c r="J16" s="143"/>
      <c r="K16" s="144"/>
      <c r="L16" s="145"/>
      <c r="M16" s="467"/>
      <c r="N16" s="160"/>
      <c r="O16" s="159"/>
      <c r="P16" s="134"/>
      <c r="Q16" s="134"/>
    </row>
    <row r="17" spans="2:17" ht="15.75" thickBot="1" x14ac:dyDescent="0.3">
      <c r="B17" s="460"/>
      <c r="C17" s="462"/>
      <c r="D17" s="465"/>
      <c r="E17" s="147"/>
      <c r="F17" s="147"/>
      <c r="G17" s="46"/>
      <c r="H17" s="47"/>
      <c r="I17" s="148"/>
      <c r="J17" s="149"/>
      <c r="K17" s="150"/>
      <c r="L17" s="151"/>
      <c r="M17" s="468"/>
      <c r="N17" s="160"/>
      <c r="O17" s="159"/>
      <c r="P17" s="134"/>
      <c r="Q17" s="134"/>
    </row>
    <row r="18" spans="2:17" ht="15.75" thickBot="1" x14ac:dyDescent="0.3">
      <c r="B18" s="460"/>
      <c r="C18" s="463"/>
      <c r="D18" s="466"/>
      <c r="E18" s="152"/>
      <c r="F18" s="152"/>
      <c r="G18" s="153"/>
      <c r="H18" s="154"/>
      <c r="I18" s="155"/>
      <c r="J18" s="156"/>
      <c r="K18" s="157"/>
      <c r="L18" s="158"/>
      <c r="M18" s="469"/>
      <c r="N18" s="160"/>
      <c r="O18" s="159"/>
      <c r="P18" s="134"/>
      <c r="Q18" s="134"/>
    </row>
    <row r="19" spans="2:17" ht="15.75" thickBot="1" x14ac:dyDescent="0.3">
      <c r="B19" s="460" t="s">
        <v>83</v>
      </c>
      <c r="C19" s="461"/>
      <c r="D19" s="464"/>
      <c r="E19" s="139"/>
      <c r="F19" s="139"/>
      <c r="G19" s="140"/>
      <c r="H19" s="141"/>
      <c r="I19" s="142"/>
      <c r="J19" s="143"/>
      <c r="K19" s="144"/>
      <c r="L19" s="145"/>
      <c r="M19" s="467"/>
      <c r="N19" s="160"/>
      <c r="O19" s="159"/>
      <c r="P19" s="134"/>
      <c r="Q19" s="134"/>
    </row>
    <row r="20" spans="2:17" ht="15.75" thickBot="1" x14ac:dyDescent="0.3">
      <c r="B20" s="460"/>
      <c r="C20" s="462"/>
      <c r="D20" s="465"/>
      <c r="E20" s="147"/>
      <c r="F20" s="147"/>
      <c r="G20" s="46"/>
      <c r="H20" s="47"/>
      <c r="I20" s="148"/>
      <c r="J20" s="149"/>
      <c r="K20" s="150"/>
      <c r="L20" s="151"/>
      <c r="M20" s="468"/>
      <c r="N20" s="160"/>
      <c r="O20" s="159"/>
      <c r="P20" s="134"/>
      <c r="Q20" s="134"/>
    </row>
    <row r="21" spans="2:17" ht="15.75" thickBot="1" x14ac:dyDescent="0.3">
      <c r="B21" s="460"/>
      <c r="C21" s="463"/>
      <c r="D21" s="466"/>
      <c r="E21" s="152"/>
      <c r="F21" s="152"/>
      <c r="G21" s="153"/>
      <c r="H21" s="154"/>
      <c r="I21" s="155"/>
      <c r="J21" s="156"/>
      <c r="K21" s="157"/>
      <c r="L21" s="158"/>
      <c r="M21" s="469"/>
      <c r="N21" s="160"/>
      <c r="O21" s="159"/>
      <c r="P21" s="134"/>
      <c r="Q21" s="134"/>
    </row>
    <row r="22" spans="2:17" ht="15.75" thickBot="1" x14ac:dyDescent="0.3">
      <c r="B22" s="460" t="s">
        <v>84</v>
      </c>
      <c r="C22" s="461"/>
      <c r="D22" s="464"/>
      <c r="E22" s="139"/>
      <c r="F22" s="139"/>
      <c r="G22" s="140"/>
      <c r="H22" s="141"/>
      <c r="I22" s="142"/>
      <c r="J22" s="143"/>
      <c r="K22" s="144"/>
      <c r="L22" s="145"/>
      <c r="M22" s="467"/>
      <c r="N22" s="135"/>
      <c r="O22" s="159"/>
      <c r="P22" s="134"/>
      <c r="Q22" s="134"/>
    </row>
    <row r="23" spans="2:17" ht="15.75" thickBot="1" x14ac:dyDescent="0.3">
      <c r="B23" s="460"/>
      <c r="C23" s="462"/>
      <c r="D23" s="465"/>
      <c r="E23" s="147"/>
      <c r="F23" s="147"/>
      <c r="G23" s="46"/>
      <c r="H23" s="47"/>
      <c r="I23" s="148"/>
      <c r="J23" s="149"/>
      <c r="K23" s="150"/>
      <c r="L23" s="151"/>
      <c r="M23" s="468"/>
      <c r="N23" s="160"/>
      <c r="O23" s="159"/>
      <c r="P23" s="134"/>
      <c r="Q23" s="134"/>
    </row>
    <row r="24" spans="2:17" ht="15.75" thickBot="1" x14ac:dyDescent="0.3">
      <c r="B24" s="460"/>
      <c r="C24" s="463"/>
      <c r="D24" s="466"/>
      <c r="E24" s="152"/>
      <c r="F24" s="152"/>
      <c r="G24" s="153"/>
      <c r="H24" s="154"/>
      <c r="I24" s="155"/>
      <c r="J24" s="156"/>
      <c r="K24" s="157"/>
      <c r="L24" s="158"/>
      <c r="M24" s="469"/>
      <c r="N24" s="160"/>
      <c r="O24" s="159"/>
      <c r="P24" s="134"/>
      <c r="Q24" s="134"/>
    </row>
    <row r="25" spans="2:17" ht="15.75" thickBot="1" x14ac:dyDescent="0.3">
      <c r="B25" s="460" t="s">
        <v>85</v>
      </c>
      <c r="C25" s="461"/>
      <c r="D25" s="464"/>
      <c r="E25" s="139"/>
      <c r="F25" s="139"/>
      <c r="G25" s="140"/>
      <c r="H25" s="141"/>
      <c r="I25" s="142"/>
      <c r="J25" s="143"/>
      <c r="K25" s="144"/>
      <c r="L25" s="145"/>
      <c r="M25" s="467"/>
      <c r="N25" s="160"/>
      <c r="O25" s="159"/>
      <c r="P25" s="134"/>
      <c r="Q25" s="134"/>
    </row>
    <row r="26" spans="2:17" ht="15.75" thickBot="1" x14ac:dyDescent="0.3">
      <c r="B26" s="460"/>
      <c r="C26" s="462"/>
      <c r="D26" s="465"/>
      <c r="E26" s="147"/>
      <c r="F26" s="147"/>
      <c r="G26" s="46"/>
      <c r="H26" s="47"/>
      <c r="I26" s="148"/>
      <c r="J26" s="149"/>
      <c r="K26" s="150"/>
      <c r="L26" s="151"/>
      <c r="M26" s="468"/>
      <c r="N26" s="160"/>
      <c r="O26" s="159"/>
      <c r="P26" s="134"/>
      <c r="Q26" s="134"/>
    </row>
    <row r="27" spans="2:17" ht="15.75" thickBot="1" x14ac:dyDescent="0.3">
      <c r="B27" s="460"/>
      <c r="C27" s="463"/>
      <c r="D27" s="466"/>
      <c r="E27" s="152"/>
      <c r="F27" s="152"/>
      <c r="G27" s="153"/>
      <c r="H27" s="154"/>
      <c r="I27" s="155"/>
      <c r="J27" s="156"/>
      <c r="K27" s="157"/>
      <c r="L27" s="158"/>
      <c r="M27" s="469"/>
      <c r="N27" s="160"/>
      <c r="O27" s="159"/>
      <c r="P27" s="134"/>
      <c r="Q27" s="134"/>
    </row>
    <row r="28" spans="2:17" ht="15.75" thickBot="1" x14ac:dyDescent="0.3">
      <c r="B28" s="460" t="s">
        <v>86</v>
      </c>
      <c r="C28" s="461"/>
      <c r="D28" s="464"/>
      <c r="E28" s="139"/>
      <c r="F28" s="139"/>
      <c r="G28" s="140"/>
      <c r="H28" s="141"/>
      <c r="I28" s="142"/>
      <c r="J28" s="143"/>
      <c r="K28" s="144"/>
      <c r="L28" s="145"/>
      <c r="M28" s="467"/>
      <c r="N28" s="160"/>
      <c r="O28" s="159"/>
      <c r="P28" s="134"/>
      <c r="Q28" s="134"/>
    </row>
    <row r="29" spans="2:17" ht="15.75" thickBot="1" x14ac:dyDescent="0.3">
      <c r="B29" s="460"/>
      <c r="C29" s="462"/>
      <c r="D29" s="465"/>
      <c r="E29" s="147"/>
      <c r="F29" s="147"/>
      <c r="G29" s="46"/>
      <c r="H29" s="47"/>
      <c r="I29" s="148"/>
      <c r="J29" s="149"/>
      <c r="K29" s="150"/>
      <c r="L29" s="151"/>
      <c r="M29" s="468"/>
      <c r="N29" s="160"/>
      <c r="O29" s="159"/>
      <c r="P29" s="134"/>
      <c r="Q29" s="134"/>
    </row>
    <row r="30" spans="2:17" ht="15.75" thickBot="1" x14ac:dyDescent="0.3">
      <c r="B30" s="460"/>
      <c r="C30" s="463"/>
      <c r="D30" s="466"/>
      <c r="E30" s="152"/>
      <c r="F30" s="152"/>
      <c r="G30" s="153"/>
      <c r="H30" s="154"/>
      <c r="I30" s="155"/>
      <c r="J30" s="156"/>
      <c r="K30" s="157"/>
      <c r="L30" s="158"/>
      <c r="M30" s="469"/>
      <c r="N30" s="160"/>
      <c r="O30" s="159"/>
      <c r="P30" s="134"/>
      <c r="Q30" s="134"/>
    </row>
    <row r="32" spans="2:17" x14ac:dyDescent="0.25">
      <c r="B32" s="161" t="s">
        <v>96</v>
      </c>
    </row>
    <row r="33" spans="2:15" x14ac:dyDescent="0.25">
      <c r="B33" s="161" t="s">
        <v>97</v>
      </c>
    </row>
    <row r="36" spans="2:15" x14ac:dyDescent="0.25">
      <c r="B36" s="470" t="s">
        <v>98</v>
      </c>
      <c r="C36" s="471"/>
      <c r="D36" s="471"/>
      <c r="E36" s="471"/>
      <c r="F36" s="471"/>
      <c r="G36" s="471"/>
      <c r="H36" s="471"/>
      <c r="I36" s="471"/>
      <c r="J36" s="472"/>
      <c r="K36" s="470" t="s">
        <v>99</v>
      </c>
      <c r="L36" s="471"/>
      <c r="M36" s="471"/>
      <c r="N36" s="399"/>
      <c r="O36" s="458"/>
    </row>
    <row r="37" spans="2:15" x14ac:dyDescent="0.25">
      <c r="B37" s="448"/>
      <c r="C37" s="449"/>
      <c r="D37" s="449"/>
      <c r="E37" s="449"/>
      <c r="F37" s="449"/>
      <c r="G37" s="449"/>
      <c r="H37" s="449"/>
      <c r="I37" s="449"/>
      <c r="J37" s="450"/>
      <c r="K37" s="457" t="s">
        <v>100</v>
      </c>
      <c r="L37" s="399"/>
      <c r="M37" s="458"/>
      <c r="N37" s="457" t="s">
        <v>101</v>
      </c>
      <c r="O37" s="459"/>
    </row>
    <row r="38" spans="2:15" x14ac:dyDescent="0.25">
      <c r="B38" s="451"/>
      <c r="C38" s="452"/>
      <c r="D38" s="452"/>
      <c r="E38" s="452"/>
      <c r="F38" s="452"/>
      <c r="G38" s="452"/>
      <c r="H38" s="452"/>
      <c r="I38" s="452"/>
      <c r="J38" s="453"/>
      <c r="K38" s="448"/>
      <c r="L38" s="449"/>
      <c r="M38" s="450"/>
      <c r="N38" s="448"/>
      <c r="O38" s="450"/>
    </row>
    <row r="39" spans="2:15" x14ac:dyDescent="0.25">
      <c r="B39" s="451"/>
      <c r="C39" s="452"/>
      <c r="D39" s="452"/>
      <c r="E39" s="452"/>
      <c r="F39" s="452"/>
      <c r="G39" s="452"/>
      <c r="H39" s="452"/>
      <c r="I39" s="452"/>
      <c r="J39" s="453"/>
      <c r="K39" s="451"/>
      <c r="L39" s="452"/>
      <c r="M39" s="453"/>
      <c r="N39" s="451"/>
      <c r="O39" s="453"/>
    </row>
    <row r="40" spans="2:15" x14ac:dyDescent="0.25">
      <c r="B40" s="451"/>
      <c r="C40" s="452"/>
      <c r="D40" s="452"/>
      <c r="E40" s="452"/>
      <c r="F40" s="452"/>
      <c r="G40" s="452"/>
      <c r="H40" s="452"/>
      <c r="I40" s="452"/>
      <c r="J40" s="453"/>
      <c r="K40" s="451"/>
      <c r="L40" s="452"/>
      <c r="M40" s="453"/>
      <c r="N40" s="451"/>
      <c r="O40" s="453"/>
    </row>
    <row r="41" spans="2:15" x14ac:dyDescent="0.25">
      <c r="B41" s="454"/>
      <c r="C41" s="455"/>
      <c r="D41" s="455"/>
      <c r="E41" s="455"/>
      <c r="F41" s="455"/>
      <c r="G41" s="455"/>
      <c r="H41" s="455"/>
      <c r="I41" s="455"/>
      <c r="J41" s="456"/>
      <c r="K41" s="454"/>
      <c r="L41" s="455"/>
      <c r="M41" s="456"/>
      <c r="N41" s="454"/>
      <c r="O41" s="456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G19" sqref="G19"/>
    </sheetView>
  </sheetViews>
  <sheetFormatPr baseColWidth="10" defaultRowHeight="21.95" customHeight="1" x14ac:dyDescent="0.2"/>
  <cols>
    <col min="1" max="1" width="4.85546875" style="197" customWidth="1"/>
    <col min="2" max="2" width="3" style="197" customWidth="1"/>
    <col min="3" max="12" width="9.28515625" style="197" customWidth="1"/>
    <col min="13" max="16384" width="11.42578125" style="197"/>
  </cols>
  <sheetData>
    <row r="1" spans="1:14" ht="21.95" customHeight="1" x14ac:dyDescent="0.25">
      <c r="A1" s="489" t="s">
        <v>150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</row>
    <row r="2" spans="1:14" ht="21.95" customHeight="1" x14ac:dyDescent="0.2">
      <c r="A2" s="198"/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9"/>
      <c r="N2" s="200"/>
    </row>
    <row r="3" spans="1:14" ht="21.95" customHeight="1" x14ac:dyDescent="0.25">
      <c r="A3" s="201"/>
      <c r="C3" s="490" t="s">
        <v>151</v>
      </c>
      <c r="D3" s="490"/>
      <c r="E3" s="490"/>
      <c r="F3" s="490"/>
      <c r="G3" s="202"/>
      <c r="H3" s="203"/>
      <c r="I3" s="204"/>
      <c r="K3" s="205"/>
      <c r="L3" s="203" t="s">
        <v>154</v>
      </c>
      <c r="M3" s="199"/>
    </row>
    <row r="4" spans="1:14" ht="21.95" customHeight="1" x14ac:dyDescent="0.25">
      <c r="A4" s="201"/>
      <c r="B4" s="206"/>
      <c r="C4" s="207"/>
      <c r="D4" s="198"/>
      <c r="J4" s="203"/>
      <c r="K4" s="202"/>
      <c r="L4" s="207"/>
      <c r="M4" s="199"/>
    </row>
    <row r="5" spans="1:14" ht="21.95" customHeight="1" x14ac:dyDescent="0.2">
      <c r="A5" s="208" t="e">
        <f>DATEVALUE("1/"&amp;#REF!&amp;"/"&amp;#REF!)</f>
        <v>#REF!</v>
      </c>
      <c r="C5" s="491">
        <v>1</v>
      </c>
      <c r="D5" s="491"/>
      <c r="E5" s="491">
        <v>2</v>
      </c>
      <c r="F5" s="491"/>
      <c r="G5" s="491">
        <v>3</v>
      </c>
      <c r="H5" s="491"/>
      <c r="I5" s="491">
        <v>4</v>
      </c>
      <c r="J5" s="491"/>
      <c r="K5" s="491">
        <v>5</v>
      </c>
      <c r="L5" s="491"/>
      <c r="M5" s="199"/>
    </row>
    <row r="6" spans="1:14" ht="21.95" customHeight="1" x14ac:dyDescent="0.2">
      <c r="A6" s="208"/>
      <c r="C6" s="209" t="s">
        <v>58</v>
      </c>
      <c r="D6" s="210" t="s">
        <v>59</v>
      </c>
      <c r="E6" s="209" t="s">
        <v>58</v>
      </c>
      <c r="F6" s="210" t="s">
        <v>59</v>
      </c>
      <c r="G6" s="209" t="s">
        <v>58</v>
      </c>
      <c r="H6" s="210" t="s">
        <v>59</v>
      </c>
      <c r="I6" s="209" t="s">
        <v>58</v>
      </c>
      <c r="J6" s="210" t="s">
        <v>59</v>
      </c>
      <c r="K6" s="209" t="s">
        <v>58</v>
      </c>
      <c r="L6" s="210" t="s">
        <v>59</v>
      </c>
      <c r="M6" s="199"/>
    </row>
    <row r="7" spans="1:14" ht="21.95" customHeight="1" x14ac:dyDescent="0.2">
      <c r="A7" s="211" t="s">
        <v>155</v>
      </c>
      <c r="B7" s="212">
        <v>6</v>
      </c>
      <c r="C7" s="213"/>
      <c r="D7" s="214"/>
      <c r="E7" s="215"/>
      <c r="F7" s="214"/>
      <c r="G7" s="215"/>
      <c r="H7" s="214"/>
      <c r="I7" s="215"/>
      <c r="J7" s="214"/>
      <c r="K7" s="215"/>
      <c r="L7" s="214"/>
      <c r="M7" s="199"/>
    </row>
    <row r="8" spans="1:14" ht="21.95" customHeight="1" x14ac:dyDescent="0.2">
      <c r="A8" s="216" t="s">
        <v>156</v>
      </c>
      <c r="B8" s="217">
        <v>7</v>
      </c>
      <c r="C8" s="218"/>
      <c r="D8" s="219"/>
      <c r="E8" s="220"/>
      <c r="F8" s="219"/>
      <c r="G8" s="220"/>
      <c r="H8" s="219"/>
      <c r="I8" s="220"/>
      <c r="J8" s="219"/>
      <c r="K8" s="220"/>
      <c r="L8" s="219"/>
      <c r="M8" s="199"/>
    </row>
    <row r="9" spans="1:14" ht="21.95" customHeight="1" x14ac:dyDescent="0.2">
      <c r="A9" s="216" t="s">
        <v>157</v>
      </c>
      <c r="B9" s="217">
        <v>8</v>
      </c>
      <c r="C9" s="218"/>
      <c r="D9" s="219"/>
      <c r="E9" s="220"/>
      <c r="F9" s="219"/>
      <c r="G9" s="220"/>
      <c r="H9" s="219"/>
      <c r="I9" s="220"/>
      <c r="J9" s="219"/>
      <c r="K9" s="220"/>
      <c r="L9" s="219"/>
      <c r="M9" s="199"/>
    </row>
    <row r="10" spans="1:14" ht="21.95" customHeight="1" x14ac:dyDescent="0.2">
      <c r="A10" s="216" t="s">
        <v>158</v>
      </c>
      <c r="B10" s="217">
        <v>9</v>
      </c>
      <c r="C10" s="218"/>
      <c r="D10" s="219"/>
      <c r="E10" s="220"/>
      <c r="F10" s="219"/>
      <c r="G10" s="220"/>
      <c r="H10" s="219"/>
      <c r="I10" s="220"/>
      <c r="J10" s="219"/>
      <c r="K10" s="220"/>
      <c r="L10" s="219"/>
      <c r="M10" s="199"/>
    </row>
    <row r="11" spans="1:14" ht="21.95" customHeight="1" x14ac:dyDescent="0.2">
      <c r="A11" s="216" t="s">
        <v>159</v>
      </c>
      <c r="B11" s="217">
        <v>10</v>
      </c>
      <c r="C11" s="218"/>
      <c r="D11" s="219"/>
      <c r="E11" s="220"/>
      <c r="F11" s="219"/>
      <c r="G11" s="220"/>
      <c r="H11" s="219"/>
      <c r="I11" s="220"/>
      <c r="J11" s="219"/>
      <c r="K11" s="220"/>
      <c r="L11" s="219"/>
      <c r="M11" s="199"/>
    </row>
    <row r="12" spans="1:14" ht="21.95" customHeight="1" x14ac:dyDescent="0.2">
      <c r="A12" s="216" t="s">
        <v>160</v>
      </c>
      <c r="B12" s="217">
        <v>11</v>
      </c>
      <c r="C12" s="218"/>
      <c r="D12" s="219"/>
      <c r="E12" s="220"/>
      <c r="F12" s="219"/>
      <c r="G12" s="220"/>
      <c r="H12" s="219"/>
      <c r="I12" s="220"/>
      <c r="J12" s="219"/>
      <c r="K12" s="220"/>
      <c r="L12" s="219"/>
      <c r="M12" s="199"/>
    </row>
    <row r="13" spans="1:14" ht="21.95" customHeight="1" x14ac:dyDescent="0.2">
      <c r="A13" s="221" t="s">
        <v>161</v>
      </c>
      <c r="B13" s="222">
        <v>12</v>
      </c>
      <c r="C13" s="223"/>
      <c r="D13" s="224"/>
      <c r="E13" s="225"/>
      <c r="F13" s="224"/>
      <c r="G13" s="225"/>
      <c r="H13" s="224"/>
      <c r="I13" s="225"/>
      <c r="J13" s="224"/>
      <c r="K13" s="225"/>
      <c r="L13" s="224"/>
      <c r="M13" s="199"/>
    </row>
    <row r="14" spans="1:14" ht="21.95" customHeight="1" x14ac:dyDescent="0.2">
      <c r="A14" s="226"/>
      <c r="B14" s="227"/>
      <c r="C14" s="228"/>
      <c r="D14" s="228"/>
      <c r="M14" s="199"/>
    </row>
    <row r="15" spans="1:14" ht="21.95" customHeight="1" x14ac:dyDescent="0.2">
      <c r="B15" s="229"/>
      <c r="G15" s="230" t="s">
        <v>152</v>
      </c>
      <c r="H15" s="230"/>
      <c r="I15" s="230"/>
      <c r="J15" s="230" t="s">
        <v>153</v>
      </c>
      <c r="K15" s="230"/>
      <c r="M15" s="199"/>
    </row>
    <row r="16" spans="1:14" ht="68.099999999999994" customHeight="1" x14ac:dyDescent="0.2">
      <c r="B16" s="229"/>
      <c r="G16" s="230"/>
      <c r="H16" s="230"/>
      <c r="I16" s="230"/>
      <c r="J16" s="230"/>
      <c r="K16" s="230"/>
    </row>
    <row r="17" spans="8:8" ht="21.95" customHeight="1" x14ac:dyDescent="0.2">
      <c r="H17" s="198"/>
    </row>
  </sheetData>
  <sheetProtection selectLockedCells="1"/>
  <mergeCells count="7">
    <mergeCell ref="A1:L1"/>
    <mergeCell ref="C3:F3"/>
    <mergeCell ref="C5:D5"/>
    <mergeCell ref="E5:F5"/>
    <mergeCell ref="G5:H5"/>
    <mergeCell ref="I5:J5"/>
    <mergeCell ref="K5:L5"/>
  </mergeCells>
  <dataValidations count="2">
    <dataValidation type="list" allowBlank="1" showInputMessage="1" showErrorMessage="1" sqref="J4">
      <formula1>#REF!</formula1>
    </dataValidation>
    <dataValidation type="list" allowBlank="1" showInputMessage="1" showErrorMessage="1" prompt="Salarié" sqref="C3:F3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2025-11-15T22:05:13Z</dcterms:modified>
</cp:coreProperties>
</file>