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L43" i="93" s="1"/>
  <c r="BB43" i="93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L30" i="93" s="1"/>
  <c r="BB30" i="93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L27" i="93" s="1"/>
  <c r="BC27" i="93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L22" i="93" s="1"/>
  <c r="BB22" i="93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L19" i="93" s="1"/>
  <c r="BC19" i="93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L14" i="93" s="1"/>
  <c r="BC14" i="93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L11" i="93" s="1"/>
  <c r="BC11" i="93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L6" i="93" s="1"/>
  <c r="BC6" i="93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<sst xmlns="http://schemas.openxmlformats.org/spreadsheetml/2006/main" count="531" uniqueCount="330">
  <si>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</si>
  <si>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</si>
  <si>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</si>
  <si>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</si>
  <si>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</si>
  <si>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</si>
  <si>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</si>
  <si>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</si>
  <si>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</si>
  <si>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</si>
  <si>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</si>
  <si>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</si>
  <si>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</si>
  <si>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</si>
  <si>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</si>
  <si>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</si>
  <si>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</si>
  <si>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</si>
  <si>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</si>
  <si>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</si>
  <si>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</si>
  <si>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</si>
  <si>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</si>
  <si>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</si>
  <si>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</si>
  <si>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</si>
  <si>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</si>
  <si>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</si>
  <si>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</si>
  <si>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</si>
  <si>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</si>
  <si>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</si>
  <si>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</si>
  <si>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</si>
  <si>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</si>
  <si>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</si>
  <si>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</si>
  <si>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</si>
  <si>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</si>
  <si>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</si>
  <si>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</si>
  <si>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</si>
  <si>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</si>
  <si>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</si>
  <si>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</si>
  <si>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</si>
  <si>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</si>
  <si>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</si>
  <si>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</si>
  <si>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</si>
  <si>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</si>
  <si>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</si>
  <si>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</si>
  <si>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</si>
  <si>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</si>
  <si>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</si>
  <si>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</si>
  <si>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</si>
  <si>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</si>
  <si>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</si>
  <si>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</si>
  <si>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</si>
  <si>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</si>
  <si>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</si>
  <si>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</si>
  <si>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</si>
  <si>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</si>
  <si>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</si>
  <si>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</si>
  <si>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</si>
  <si>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</si>
  <si>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</si>
  <si>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</si>
  <si>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</si>
  <si>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</si>
  <si>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</si>
  <si>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</si>
  <si>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</si>
  <si>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</si>
  <si>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</si>
  <si>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</si>
  <si>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</si>
  <si>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</si>
  <si>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</si>
  <si>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</si>
  <si>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</si>
  <si>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</si>
  <si>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</si>
  <si>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</si>
  <si>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</si>
  <si>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</si>
  <si>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</si>
  <si>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</si>
  <si>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</si>
  <si>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</si>
  <si>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</si>
  <si>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</si>
  <si>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</si>
  <si>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</si>
  <si>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</si>
  <si>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</si>
  <si>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</si>
  <si>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</si>
  <si>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</si>
  <si>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</si>
  <si>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</si>
  <si>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</si>
  <si>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</si>
  <si>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</si>
  <si>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</si>
  <si>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</si>
  <si>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</si>
  <si>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</si>
  <si>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</si>
  <si>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</si>
  <si>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</si>
  <si>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</si>
  <si>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</si>
  <si>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</si>
  <si>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</si>
  <si>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</si>
  <si>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</si>
  <si>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</si>
  <si>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</si>
  <si>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</si>
  <si>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</si>
  <si>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</si>
  <si>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</si>
  <si>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</si>
  <si>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</si>
  <si>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</si>
  <si>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</si>
  <si>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</si>
  <si>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</si>
  <si>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</si>
  <si>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</si>
  <si>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</si>
  <si>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</si>
  <si>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</si>
  <si>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</si>
  <si>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</si>
  <si>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</si>
  <si>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</si>
  <si>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</si>
  <si>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</si>
  <si>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</si>
  <si>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</si>
  <si>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</si>
  <si>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</si>
  <si>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</si>
  <si>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</si>
  <si>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</si>
  <si>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</si>
  <si>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</si>
  <si>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</si>
  <si>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</si>
  <si>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</si>
  <si>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</si>
  <si>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</si>
  <si>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</si>
  <si>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</si>
  <si>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</si>
  <si>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</si>
  <si>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</si>
  <si>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</si>
  <si>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</si>
  <si>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</si>
  <si>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</si>
  <si>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</si>
  <si>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</si>
  <si>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</si>
  <si>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</si>
  <si>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</si>
  <si>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</si>
  <si>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</si>
  <si>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</si>
  <si>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</si>
  <si>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</si>
  <si>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</si>
  <si>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</si>
  <si>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</si>
  <si>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</si>
  <si>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</si>
  <si>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</si>
  <si>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</si>
  <si>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</si>
  <si>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</si>
  <si>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</si>
  <si>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</si>
  <si>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</si>
  <si>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</si>
  <si>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</si>
  <si>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</si>
  <si>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</si>
  <si>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</si>
  <si>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</si>
  <si>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</si>
  <si>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</si>
  <si>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</si>
  <si>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</si>
  <si>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</si>
  <si>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</si>
  <si>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</si>
  <si>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</si>
  <si>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</si>
  <si>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</si>
  <si>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</si>
  <si>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</si>
  <si>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</si>
  <si>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</si>
  <si>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</si>
  <si>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</si>
  <si>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</si>
  <si>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</si>
  <si>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</si>
  <si>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</si>
  <si>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</si>
  <si>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</si>
  <si>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</si>
  <si>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</si>
  <si>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</si>
  <si>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</si>
  <si>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</si>
  <si>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</si>
  <si>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</si>
  <si>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</si>
  <si>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</si>
  <si>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</si>
  <si>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</si>
  <si>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</si>
  <si>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</si>
  <si>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</si>
  <si>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</si>
  <si>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</si>
  <si>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</si>
  <si>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</si>
  <si>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</si>
  <si>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</si>
  <si>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</si>
  <si>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</si>
  <si>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</si>
  <si>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</si>
  <si>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</si>
  <si>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</si>
  <si>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</si>
  <si>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</si>
  <si>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</si>
  <si>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</si>
  <si>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</si>
  <si>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</si>
  <si>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</si>
  <si>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</si>
  <si>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</si>
  <si>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</si>
  <si>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</si>
  <si>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</si>
  <si>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</si>
  <si>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</si>
  <si>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</si>
  <si>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</si>
  <si>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</si>
  <si>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</si>
  <si>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</si>
  <si>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</si>
  <si>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</si>
  <si>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</si>
  <si>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</si>
  <si>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</si>
  <si>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</si>
  <si>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</si>
  <si>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</si>
  <si>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</si>
  <si>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</si>
  <si>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</si>
  <si>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</si>
  <si>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</si>
  <si>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</si>
  <si>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DELUC Guy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</si>
  <si>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</si>
  <si>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</si>
  <si>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</si>
  <si>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</si>
  <si>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</si>
  <si>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</si>
  <si>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</si>
  <si>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</si>
  <si>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</si>
  <si>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</si>
  <si>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</si>
  <si>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</si>
  <si>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</si>
  <si>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</si>
  <si>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</si>
  <si>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</si>
  <si>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</si>
  <si>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</si>
  <si>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</si>
  <si>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</si>
  <si>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</si>
  <si>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</si>
  <si>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</si>
  <si>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</si>
  <si>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</si>
  <si>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</si>
  <si>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</si>
  <si>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</si>
  <si>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</si>
  <si>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</si>
  <si>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</si>
  <si>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Semaine n° 53 du 29/12/2025 au 04/01/2026</t>
  </si>
  <si>
    <t>46.12378999999999,1.6070066666666667</t>
  </si>
  <si>
    <t>$O$15</t>
  </si>
  <si>
    <t>Route proche Saint-Priest-la-Plaine</t>
  </si>
  <si>
    <t>46.2091427,1.6257488</t>
  </si>
  <si>
    <t>Route proche La Brionne</t>
  </si>
  <si>
    <t>46.167026666666665,1.7987083333333336</t>
  </si>
  <si>
    <t>Brother MFC-L3770CDW (Recto Auto) (redirection de 11) sur TS002</t>
  </si>
  <si>
    <t>46.1536451,1.5075224</t>
  </si>
  <si>
    <t>Saint-Léger-le-Guérétois</t>
  </si>
  <si>
    <t>46.151914,1.8145316</t>
  </si>
  <si>
    <t>46.11164999999999,1.64289</t>
  </si>
  <si>
    <t>Décembre</t>
  </si>
  <si>
    <t>46.2173014,1.4816641</t>
  </si>
  <si>
    <t>Route proche Saint-Vaury</t>
  </si>
  <si>
    <t>46.19802500000001,1.76052</t>
  </si>
  <si>
    <t>n° 49 du 01/12/2025 au 07/12/2025</t>
  </si>
  <si>
    <t>46.17310666666667,1.8302683333333334</t>
  </si>
  <si>
    <t>46.15732333333334,1.4990983333333332</t>
  </si>
  <si>
    <t>46.121390000000005,1.624906666666667</t>
  </si>
  <si>
    <t>46.2122279,1.4940162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</si>
</sst>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7" borderId="139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8" fillId="12" borderId="166" xfId="0" applyNumberFormat="1" applyFont="1" applyFill="1" applyBorder="1" applyAlignment="1">
      <alignment horizontal="center" vertic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24" fillId="12" borderId="166" xfId="0" applyNumberFormat="1" applyFont="1" applyFill="1" applyBorder="1" applyAlignment="1">
      <alignment horizont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167" fontId="5" fillId="0" borderId="0" xfId="0" applyNumberFormat="1" applyFont="1" applyFill="1" applyBorder="1" applyAlignment="1">
      <alignment horizontal="center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F6DB-4FAE-BB06-A1887AE56FD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DB-4FAE-BB06-A1887AE56FD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F6DB-4FAE-BB06-A1887AE56FD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6DB-4FAE-BB06-A1887AE56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219075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N8" sqref="N8:Q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83" t="s">
        <v>75</v>
      </c>
      <c r="F1" s="384"/>
      <c r="G1" s="385"/>
      <c r="M1" s="125"/>
      <c r="N1" s="389" t="s">
        <v>321</v>
      </c>
      <c r="O1" s="389"/>
      <c r="P1" s="389"/>
      <c r="Q1" s="125"/>
      <c r="S1" s="389">
        <v>2025</v>
      </c>
      <c r="T1" s="389"/>
      <c r="X1" s="24" t="s">
        <v>74</v>
      </c>
      <c r="AA1" s="400"/>
      <c r="AB1" s="400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14"/>
      <c r="E4" s="514"/>
      <c r="F4" s="514"/>
      <c r="G4" s="514"/>
      <c r="H4" s="278"/>
      <c r="I4" s="514"/>
      <c r="J4" s="514"/>
      <c r="K4" s="514"/>
      <c r="L4" s="514"/>
      <c r="M4" s="278"/>
      <c r="N4" s="514"/>
      <c r="O4" s="514"/>
      <c r="P4" s="514"/>
      <c r="Q4" s="514"/>
      <c r="R4" s="278"/>
      <c r="S4" s="514"/>
      <c r="T4" s="514"/>
      <c r="U4" s="514"/>
      <c r="V4" s="514"/>
      <c r="W4" s="278"/>
      <c r="X4" s="514"/>
      <c r="Y4" s="514"/>
      <c r="Z4" s="514"/>
      <c r="AA4" s="514"/>
      <c r="AB4" s="278"/>
      <c r="AC4" s="514"/>
      <c r="AD4" s="514"/>
      <c r="AE4" s="514"/>
      <c r="AF4" s="514"/>
      <c r="AG4" s="278"/>
      <c r="AH4" s="514"/>
      <c r="AI4" s="514"/>
      <c r="AJ4" s="514"/>
      <c r="AK4" s="514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15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540"/>
      <c r="E6" s="266"/>
      <c r="F6" s="266"/>
      <c r="G6" s="266"/>
      <c r="H6" s="278"/>
      <c r="I6" s="540"/>
      <c r="J6" s="266"/>
      <c r="K6" s="266"/>
      <c r="L6" s="266"/>
      <c r="M6" s="128"/>
      <c r="N6" s="279"/>
      <c r="O6" s="266"/>
      <c r="P6" s="266"/>
      <c r="Q6" s="266"/>
      <c r="R6" s="128"/>
      <c r="S6" s="540"/>
      <c r="T6" s="266"/>
      <c r="U6" s="266"/>
      <c r="V6" s="266"/>
      <c r="W6" s="278"/>
      <c r="X6" s="540"/>
      <c r="Y6" s="266"/>
      <c r="Z6" s="266"/>
      <c r="AA6" s="266"/>
      <c r="AB6" s="278"/>
      <c r="AC6" s="540"/>
      <c r="AD6" s="266"/>
      <c r="AE6" s="266"/>
      <c r="AF6" s="266"/>
      <c r="AG6" s="128"/>
      <c r="AH6" s="540"/>
      <c r="AI6" s="266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14"/>
      <c r="E8" s="514"/>
      <c r="F8" s="514"/>
      <c r="G8" s="514"/>
      <c r="H8" s="278"/>
      <c r="I8" s="514"/>
      <c r="J8" s="514"/>
      <c r="K8" s="514"/>
      <c r="L8" s="514"/>
      <c r="M8" s="128"/>
      <c r="N8" s="516"/>
      <c r="O8" s="516"/>
      <c r="P8" s="516"/>
      <c r="Q8" s="516"/>
      <c r="R8" s="128"/>
      <c r="S8" s="514"/>
      <c r="T8" s="514"/>
      <c r="U8" s="514"/>
      <c r="V8" s="514"/>
      <c r="W8" s="278"/>
      <c r="X8" s="514"/>
      <c r="Y8" s="514"/>
      <c r="Z8" s="514"/>
      <c r="AA8" s="514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66"/>
      <c r="F10" s="266"/>
      <c r="G10" s="266"/>
      <c r="H10" s="278"/>
      <c r="I10" s="279"/>
      <c r="J10" s="266"/>
      <c r="K10" s="266"/>
      <c r="L10" s="266"/>
      <c r="M10" s="128"/>
      <c r="N10" s="279"/>
      <c r="O10" s="266"/>
      <c r="P10" s="266"/>
      <c r="Q10" s="266"/>
      <c r="R10" s="128"/>
      <c r="S10" s="279"/>
      <c r="T10" s="266"/>
      <c r="U10" s="266"/>
      <c r="V10" s="266"/>
      <c r="W10" s="278"/>
      <c r="X10" s="279"/>
      <c r="Y10" s="266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276</v>
      </c>
      <c r="B23" s="30" t="b">
        <v>1</v>
      </c>
      <c r="C23" s="235"/>
      <c r="D23" s="195" t="s">
        <v>277</v>
      </c>
      <c r="E23" s="195"/>
      <c r="F23" s="195"/>
      <c r="G23" s="195"/>
    </row>
    <row r="24" spans="1:41" ht="19.5" thickBot="1" x14ac:dyDescent="0.35">
      <c r="C24" s="126"/>
      <c r="I24" s="390"/>
      <c r="J24" s="391"/>
      <c r="K24" s="391"/>
      <c r="L24" s="391"/>
      <c r="M24" s="391"/>
      <c r="N24" s="392"/>
      <c r="Q24" s="281"/>
      <c r="R24" s="393" t="s">
        <v>76</v>
      </c>
      <c r="S24" s="394"/>
      <c r="T24" s="394"/>
      <c r="U24" s="394"/>
      <c r="V24" s="395"/>
    </row>
    <row r="25" spans="1:41" ht="15.75" thickBot="1" x14ac:dyDescent="0.3">
      <c r="A25" s="230"/>
      <c r="B25" s="396" t="s">
        <v>77</v>
      </c>
      <c r="C25" s="397"/>
      <c r="D25" s="397"/>
      <c r="E25" s="397"/>
      <c r="F25" s="397"/>
      <c r="G25" s="397"/>
      <c r="H25" s="397"/>
      <c r="I25" s="398"/>
      <c r="J25" s="398"/>
      <c r="K25" s="398"/>
      <c r="L25" s="398"/>
      <c r="M25" s="398"/>
      <c r="N25" s="398"/>
      <c r="O25" s="397"/>
      <c r="P25" s="397"/>
      <c r="Q25" s="398"/>
      <c r="R25" s="397"/>
      <c r="S25" s="397"/>
      <c r="T25" s="397"/>
      <c r="U25" s="397"/>
      <c r="V25" s="397"/>
      <c r="W25" s="399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43">
        <v>1</v>
      </c>
      <c r="E26" s="343"/>
      <c r="F26" s="343">
        <v>2</v>
      </c>
      <c r="G26" s="343"/>
      <c r="H26" s="343">
        <v>3</v>
      </c>
      <c r="I26" s="343"/>
      <c r="J26" s="343">
        <v>4</v>
      </c>
      <c r="K26" s="343"/>
      <c r="L26" s="343">
        <v>5</v>
      </c>
      <c r="M26" s="344"/>
      <c r="N26" s="344">
        <v>6</v>
      </c>
      <c r="O26" s="345"/>
      <c r="P26" s="344">
        <v>7</v>
      </c>
      <c r="Q26" s="345"/>
      <c r="R26" s="344">
        <v>8</v>
      </c>
      <c r="S26" s="345"/>
      <c r="T26" s="344">
        <v>9</v>
      </c>
      <c r="U26" s="345"/>
      <c r="V26" s="344">
        <v>10</v>
      </c>
      <c r="W26" s="346"/>
      <c r="X26" s="401" t="s">
        <v>105</v>
      </c>
      <c r="Y26" s="402"/>
      <c r="Z26" s="403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272</v>
      </c>
      <c r="AC27" s="386" t="s">
        <v>100</v>
      </c>
      <c r="AD27" s="387"/>
      <c r="AE27" s="386" t="s">
        <v>101</v>
      </c>
      <c r="AF27" s="387"/>
      <c r="AG27" s="366" t="s">
        <v>102</v>
      </c>
      <c r="AH27" s="366"/>
      <c r="AI27" s="366" t="s">
        <v>103</v>
      </c>
      <c r="AJ27" s="366"/>
    </row>
    <row r="28" spans="1:41" x14ac:dyDescent="0.25">
      <c r="A28" s="230"/>
      <c r="B28" s="518" t="s">
        <v>79</v>
      </c>
      <c r="C28" s="519">
        <v>45985</v>
      </c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2"/>
      <c r="X28" s="523"/>
      <c r="Y28" s="521"/>
      <c r="Z28" s="524"/>
      <c r="AA28" s="525"/>
      <c r="AB28" s="526"/>
      <c r="AC28" s="527"/>
      <c r="AD28" s="527"/>
      <c r="AE28" s="517" t="str">
        <f>TRUNC(SUM(AC28:AC34)*24,0) &amp; "h" &amp; RIGHT("00"&amp;ROUND(((SUM(AC28:AC34)*24)-TRUNC(SUM(AC28:AC34)*24,0))*60,2),2)</f>
        <v>0h00</v>
      </c>
      <c r="AF28" s="517"/>
      <c r="AG28" s="528"/>
      <c r="AH28" s="528"/>
      <c r="AI28" s="517" t="str">
        <f>TRUNC(SUM(AG28:AG34)*24,0) &amp; "h" &amp; RIGHT("00"&amp;ROUND(((SUM(AG28:AG34)*24)-TRUNC(SUM(AG28:AG34)*24,0))*60,2),2)</f>
        <v>0h00</v>
      </c>
      <c r="AJ28" s="517"/>
    </row>
    <row r="29" spans="1:41" ht="14.1" customHeight="1" x14ac:dyDescent="0.25">
      <c r="A29" s="230"/>
      <c r="B29" s="216" t="s">
        <v>80</v>
      </c>
      <c r="C29" s="213">
        <v>45986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62"/>
      <c r="AD29" s="362"/>
      <c r="AE29" s="349"/>
      <c r="AF29" s="349"/>
      <c r="AG29" s="354"/>
      <c r="AH29" s="354"/>
      <c r="AI29" s="349"/>
      <c r="AJ29" s="349"/>
    </row>
    <row r="30" spans="1:41" ht="14.1" customHeight="1" x14ac:dyDescent="0.25">
      <c r="A30" s="230"/>
      <c r="B30" s="216" t="s">
        <v>81</v>
      </c>
      <c r="C30" s="213">
        <v>45987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71"/>
      <c r="AD30" s="371"/>
      <c r="AE30" s="348"/>
      <c r="AF30" s="348"/>
      <c r="AG30" s="355"/>
      <c r="AH30" s="355"/>
      <c r="AI30" s="348"/>
      <c r="AJ30" s="348"/>
    </row>
    <row r="31" spans="1:41" ht="14.1" customHeight="1" x14ac:dyDescent="0.25">
      <c r="A31" s="230"/>
      <c r="B31" s="216" t="s">
        <v>82</v>
      </c>
      <c r="C31" s="213">
        <v>45988</v>
      </c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37"/>
      <c r="X31" s="246"/>
      <c r="Y31" s="204"/>
      <c r="Z31" s="247"/>
      <c r="AA31" s="254"/>
      <c r="AB31" s="255"/>
      <c r="AC31" s="362"/>
      <c r="AD31" s="362"/>
      <c r="AE31" s="349"/>
      <c r="AF31" s="349"/>
      <c r="AG31" s="354"/>
      <c r="AH31" s="354"/>
      <c r="AI31" s="349"/>
      <c r="AJ31" s="349"/>
    </row>
    <row r="32" spans="1:41" ht="14.1" customHeight="1" x14ac:dyDescent="0.25">
      <c r="A32" s="230"/>
      <c r="B32" s="216" t="s">
        <v>83</v>
      </c>
      <c r="C32" s="213">
        <v>45989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71"/>
      <c r="AD32" s="371"/>
      <c r="AE32" s="348"/>
      <c r="AF32" s="348"/>
      <c r="AG32" s="355"/>
      <c r="AH32" s="355"/>
      <c r="AI32" s="348"/>
      <c r="AJ32" s="348"/>
    </row>
    <row r="33" spans="1:42" ht="14.1" customHeight="1" x14ac:dyDescent="0.25">
      <c r="A33" s="230"/>
      <c r="B33" s="216" t="s">
        <v>84</v>
      </c>
      <c r="C33" s="213">
        <v>45990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62"/>
      <c r="AD33" s="362"/>
      <c r="AE33" s="349"/>
      <c r="AF33" s="349"/>
      <c r="AG33" s="354"/>
      <c r="AH33" s="354"/>
      <c r="AI33" s="349"/>
      <c r="AJ33" s="349"/>
    </row>
    <row r="34" spans="1:42" ht="14.1" customHeight="1" x14ac:dyDescent="0.25">
      <c r="A34" s="230"/>
      <c r="B34" s="219" t="s">
        <v>85</v>
      </c>
      <c r="C34" s="220">
        <v>45991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16"/>
      <c r="Z34" s="299"/>
      <c r="AA34" s="258"/>
      <c r="AB34" s="259"/>
      <c r="AC34" s="379"/>
      <c r="AD34" s="379"/>
      <c r="AE34" s="375"/>
      <c r="AF34" s="375"/>
      <c r="AG34" s="360"/>
      <c r="AH34" s="360"/>
      <c r="AI34" s="375"/>
      <c r="AJ34" s="375"/>
    </row>
    <row r="35" spans="1:42" ht="14.1" customHeight="1" x14ac:dyDescent="0.25">
      <c r="A35" s="230"/>
      <c r="B35" s="291" t="s">
        <v>79</v>
      </c>
      <c r="C35" s="292">
        <v>45992</v>
      </c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4"/>
      <c r="X35" s="295"/>
      <c r="Y35" s="296"/>
      <c r="Z35" s="300"/>
      <c r="AA35" s="317"/>
      <c r="AB35" s="297"/>
      <c r="AC35" s="361"/>
      <c r="AD35" s="361"/>
      <c r="AE35" s="351" t="str">
        <f>TRUNC(SUM(AC35:AC41)*24,0) &amp; "h" &amp; RIGHT("00"&amp;ROUND(((SUM(AC35:AC41)*24)-TRUNC(SUM(AC35:AC41)*24,0))*60,2),2)</f>
        <v>0h00</v>
      </c>
      <c r="AF35" s="351"/>
      <c r="AG35" s="381"/>
      <c r="AH35" s="381"/>
      <c r="AI35" s="351" t="str">
        <f>TRUNC(SUM(AG35:AG41)*24,0) &amp; "h" &amp; RIGHT("00"&amp;ROUND(((SUM(AG35:AG41)*24)-TRUNC(SUM(AG35:AG41)*24,0))*60,2),2)</f>
        <v>0h00</v>
      </c>
      <c r="AJ35" s="351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45993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71"/>
      <c r="AD36" s="371"/>
      <c r="AE36" s="348"/>
      <c r="AF36" s="348"/>
      <c r="AG36" s="355"/>
      <c r="AH36" s="355"/>
      <c r="AI36" s="348"/>
      <c r="AJ36" s="348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45994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62"/>
      <c r="AD37" s="362"/>
      <c r="AE37" s="349"/>
      <c r="AF37" s="349"/>
      <c r="AG37" s="354"/>
      <c r="AH37" s="354"/>
      <c r="AI37" s="349"/>
      <c r="AJ37" s="349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45995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71"/>
      <c r="AD38" s="371"/>
      <c r="AE38" s="348"/>
      <c r="AF38" s="348"/>
      <c r="AG38" s="355"/>
      <c r="AH38" s="355"/>
      <c r="AI38" s="348"/>
      <c r="AJ38" s="348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45996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62"/>
      <c r="AD39" s="362"/>
      <c r="AE39" s="349"/>
      <c r="AF39" s="349"/>
      <c r="AG39" s="354"/>
      <c r="AH39" s="354"/>
      <c r="AI39" s="349"/>
      <c r="AJ39" s="349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45997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71"/>
      <c r="AD40" s="371"/>
      <c r="AE40" s="348"/>
      <c r="AF40" s="348"/>
      <c r="AG40" s="355"/>
      <c r="AH40" s="355"/>
      <c r="AI40" s="348"/>
      <c r="AJ40" s="348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45998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27"/>
      <c r="Z41" s="318"/>
      <c r="AA41" s="260"/>
      <c r="AB41" s="261"/>
      <c r="AC41" s="372"/>
      <c r="AD41" s="372"/>
      <c r="AE41" s="350"/>
      <c r="AF41" s="350"/>
      <c r="AG41" s="356"/>
      <c r="AH41" s="356"/>
      <c r="AI41" s="350"/>
      <c r="AJ41" s="350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45999</v>
      </c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20"/>
      <c r="X42" s="321"/>
      <c r="Y42" s="322"/>
      <c r="Z42" s="323"/>
      <c r="AA42" s="324"/>
      <c r="AB42" s="325"/>
      <c r="AC42" s="376"/>
      <c r="AD42" s="376"/>
      <c r="AE42" s="352" t="str">
        <f>TRUNC(SUM(AC42:AC48)*24,0) &amp; "h" &amp; RIGHT("00"&amp;ROUND(((SUM(AC42:AC48)*24)-TRUNC(SUM(AC42:AC48)*24,0))*60,2),2)</f>
        <v>0h00</v>
      </c>
      <c r="AF42" s="352"/>
      <c r="AG42" s="353"/>
      <c r="AH42" s="353"/>
      <c r="AI42" s="352" t="str">
        <f>TRUNC(SUM(AG42:AG48)*24,0) &amp; "h" &amp; RIGHT("00"&amp;ROUND(((SUM(AG42:AG48)*24)-TRUNC(SUM(AG42:AG48)*24,0))*60,2),2)</f>
        <v>0h00</v>
      </c>
      <c r="AJ42" s="352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46000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62"/>
      <c r="AD43" s="362"/>
      <c r="AE43" s="349"/>
      <c r="AF43" s="349"/>
      <c r="AG43" s="354"/>
      <c r="AH43" s="354"/>
      <c r="AI43" s="349"/>
      <c r="AJ43" s="349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46001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71"/>
      <c r="AD44" s="371"/>
      <c r="AE44" s="348"/>
      <c r="AF44" s="348"/>
      <c r="AG44" s="355"/>
      <c r="AH44" s="355"/>
      <c r="AI44" s="348"/>
      <c r="AJ44" s="348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46002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62"/>
      <c r="AD45" s="362"/>
      <c r="AE45" s="349"/>
      <c r="AF45" s="349"/>
      <c r="AG45" s="354"/>
      <c r="AH45" s="354"/>
      <c r="AI45" s="349"/>
      <c r="AJ45" s="349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46003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71"/>
      <c r="AD46" s="371"/>
      <c r="AE46" s="348"/>
      <c r="AF46" s="348"/>
      <c r="AG46" s="355"/>
      <c r="AH46" s="355"/>
      <c r="AI46" s="348"/>
      <c r="AJ46" s="348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46004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62"/>
      <c r="AD47" s="362"/>
      <c r="AE47" s="349"/>
      <c r="AF47" s="349"/>
      <c r="AG47" s="354"/>
      <c r="AH47" s="354"/>
      <c r="AI47" s="349"/>
      <c r="AJ47" s="349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46005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16"/>
      <c r="Z48" s="299"/>
      <c r="AA48" s="258"/>
      <c r="AB48" s="259"/>
      <c r="AC48" s="379"/>
      <c r="AD48" s="379"/>
      <c r="AE48" s="375"/>
      <c r="AF48" s="375"/>
      <c r="AG48" s="360"/>
      <c r="AH48" s="360"/>
      <c r="AI48" s="375"/>
      <c r="AJ48" s="375"/>
    </row>
    <row r="49" spans="1:36" ht="14.1" customHeight="1" x14ac:dyDescent="0.25">
      <c r="A49" s="230"/>
      <c r="B49" s="291" t="s">
        <v>79</v>
      </c>
      <c r="C49" s="292">
        <v>46006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4"/>
      <c r="X49" s="295"/>
      <c r="Y49" s="296"/>
      <c r="Z49" s="300"/>
      <c r="AA49" s="317"/>
      <c r="AB49" s="297"/>
      <c r="AC49" s="361"/>
      <c r="AD49" s="361"/>
      <c r="AE49" s="351" t="str">
        <f>TRUNC(SUM(AC49:AC55)*24,0) &amp; "h" &amp; RIGHT("00"&amp;ROUND(((SUM(AC49:AC55)*24)-TRUNC(SUM(AC49:AC55)*24,0))*60,2),2)</f>
        <v>0h00</v>
      </c>
      <c r="AF49" s="351"/>
      <c r="AG49" s="381"/>
      <c r="AH49" s="381"/>
      <c r="AI49" s="351" t="str">
        <f>TRUNC(SUM(AG49:AG55)*24,0) &amp; "h" &amp; RIGHT("00"&amp;ROUND(((SUM(AG49:AG55)*24)-TRUNC(SUM(AG49:AG55)*24,0))*60,2),2)</f>
        <v>0h00</v>
      </c>
      <c r="AJ49" s="351"/>
    </row>
    <row r="50" spans="1:36" ht="14.1" customHeight="1" x14ac:dyDescent="0.25">
      <c r="A50" s="230"/>
      <c r="B50" s="216" t="s">
        <v>80</v>
      </c>
      <c r="C50" s="213">
        <v>46007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71"/>
      <c r="AD50" s="371"/>
      <c r="AE50" s="348"/>
      <c r="AF50" s="348"/>
      <c r="AG50" s="355"/>
      <c r="AH50" s="355"/>
      <c r="AI50" s="348"/>
      <c r="AJ50" s="348"/>
    </row>
    <row r="51" spans="1:36" ht="14.1" customHeight="1" x14ac:dyDescent="0.25">
      <c r="A51" s="230"/>
      <c r="B51" s="216" t="s">
        <v>81</v>
      </c>
      <c r="C51" s="213">
        <v>46008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62"/>
      <c r="AD51" s="362"/>
      <c r="AE51" s="349"/>
      <c r="AF51" s="349"/>
      <c r="AG51" s="354"/>
      <c r="AH51" s="354"/>
      <c r="AI51" s="349"/>
      <c r="AJ51" s="349"/>
    </row>
    <row r="52" spans="1:36" ht="14.1" customHeight="1" x14ac:dyDescent="0.25">
      <c r="A52" s="230"/>
      <c r="B52" s="216" t="s">
        <v>82</v>
      </c>
      <c r="C52" s="213">
        <v>46009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71"/>
      <c r="AD52" s="371"/>
      <c r="AE52" s="348"/>
      <c r="AF52" s="348"/>
      <c r="AG52" s="355"/>
      <c r="AH52" s="355"/>
      <c r="AI52" s="348"/>
      <c r="AJ52" s="348"/>
    </row>
    <row r="53" spans="1:36" ht="14.1" customHeight="1" x14ac:dyDescent="0.25">
      <c r="A53" s="230"/>
      <c r="B53" s="216" t="s">
        <v>83</v>
      </c>
      <c r="C53" s="213">
        <v>46010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62"/>
      <c r="AD53" s="362"/>
      <c r="AE53" s="349"/>
      <c r="AF53" s="349"/>
      <c r="AG53" s="354"/>
      <c r="AH53" s="354"/>
      <c r="AI53" s="349"/>
      <c r="AJ53" s="349"/>
    </row>
    <row r="54" spans="1:36" ht="14.1" customHeight="1" x14ac:dyDescent="0.25">
      <c r="A54" s="230"/>
      <c r="B54" s="216" t="s">
        <v>84</v>
      </c>
      <c r="C54" s="213">
        <v>46011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71"/>
      <c r="AD54" s="371"/>
      <c r="AE54" s="348"/>
      <c r="AF54" s="348"/>
      <c r="AG54" s="355"/>
      <c r="AH54" s="355"/>
      <c r="AI54" s="348"/>
      <c r="AJ54" s="348"/>
    </row>
    <row r="55" spans="1:36" ht="14.1" customHeight="1" x14ac:dyDescent="0.25">
      <c r="A55" s="230"/>
      <c r="B55" s="217" t="s">
        <v>85</v>
      </c>
      <c r="C55" s="218">
        <v>46012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27"/>
      <c r="Z55" s="318"/>
      <c r="AA55" s="260"/>
      <c r="AB55" s="261"/>
      <c r="AC55" s="372"/>
      <c r="AD55" s="372"/>
      <c r="AE55" s="350"/>
      <c r="AF55" s="350"/>
      <c r="AG55" s="356"/>
      <c r="AH55" s="356"/>
      <c r="AI55" s="350"/>
      <c r="AJ55" s="350"/>
    </row>
    <row r="56" spans="1:36" ht="14.1" customHeight="1" x14ac:dyDescent="0.25">
      <c r="A56" s="230"/>
      <c r="B56" s="214" t="s">
        <v>79</v>
      </c>
      <c r="C56" s="215">
        <v>46013</v>
      </c>
      <c r="D56" s="319"/>
      <c r="E56" s="319"/>
      <c r="F56" s="319"/>
      <c r="G56" s="319"/>
      <c r="H56" s="319"/>
      <c r="I56" s="319"/>
      <c r="J56" s="319"/>
      <c r="K56" s="319"/>
      <c r="L56" s="319"/>
      <c r="M56" s="319"/>
      <c r="N56" s="319"/>
      <c r="O56" s="319"/>
      <c r="P56" s="319"/>
      <c r="Q56" s="319"/>
      <c r="R56" s="319"/>
      <c r="S56" s="319"/>
      <c r="T56" s="319"/>
      <c r="U56" s="319"/>
      <c r="V56" s="319"/>
      <c r="W56" s="320"/>
      <c r="X56" s="321"/>
      <c r="Y56" s="322"/>
      <c r="Z56" s="323"/>
      <c r="AA56" s="324"/>
      <c r="AB56" s="325"/>
      <c r="AC56" s="376"/>
      <c r="AD56" s="376"/>
      <c r="AE56" s="352" t="str">
        <f>TRUNC(SUM(AC56:AC62)*24,0) &amp; "h" &amp; RIGHT("00"&amp;ROUND(((SUM(AC56:AC62)*24)-TRUNC(SUM(AC56:AC62)*24,0))*60,2),2)</f>
        <v>0h00</v>
      </c>
      <c r="AF56" s="352"/>
      <c r="AG56" s="353"/>
      <c r="AH56" s="353"/>
      <c r="AI56" s="352" t="str">
        <f>TRUNC(SUM(AG56:AG62)*24,0) &amp; "h" &amp; RIGHT("00"&amp;ROUND(((SUM(AG56:AG62)*24)-TRUNC(SUM(AG56:AG62)*24,0))*60,2),2)</f>
        <v>0h00</v>
      </c>
      <c r="AJ56" s="352"/>
    </row>
    <row r="57" spans="1:36" ht="14.1" customHeight="1" x14ac:dyDescent="0.25">
      <c r="A57" s="230"/>
      <c r="B57" s="216" t="s">
        <v>80</v>
      </c>
      <c r="C57" s="213">
        <v>46014</v>
      </c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  <c r="U57" s="203"/>
      <c r="V57" s="203"/>
      <c r="W57" s="237"/>
      <c r="X57" s="246"/>
      <c r="Y57" s="204"/>
      <c r="Z57" s="247"/>
      <c r="AA57" s="254"/>
      <c r="AB57" s="255"/>
      <c r="AC57" s="362"/>
      <c r="AD57" s="362"/>
      <c r="AE57" s="349"/>
      <c r="AF57" s="349"/>
      <c r="AG57" s="354"/>
      <c r="AH57" s="354"/>
      <c r="AI57" s="349"/>
      <c r="AJ57" s="349"/>
    </row>
    <row r="58" spans="1:36" ht="14.1" customHeight="1" x14ac:dyDescent="0.25">
      <c r="A58" s="230"/>
      <c r="B58" s="216" t="s">
        <v>81</v>
      </c>
      <c r="C58" s="213">
        <v>46015</v>
      </c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38"/>
      <c r="X58" s="248"/>
      <c r="Y58" s="206"/>
      <c r="Z58" s="249"/>
      <c r="AA58" s="256"/>
      <c r="AB58" s="257"/>
      <c r="AC58" s="371"/>
      <c r="AD58" s="371"/>
      <c r="AE58" s="348"/>
      <c r="AF58" s="348"/>
      <c r="AG58" s="355"/>
      <c r="AH58" s="355"/>
      <c r="AI58" s="348"/>
      <c r="AJ58" s="348"/>
    </row>
    <row r="59" spans="1:36" ht="14.1" customHeight="1" x14ac:dyDescent="0.25">
      <c r="A59" s="230"/>
      <c r="B59" s="216" t="s">
        <v>82</v>
      </c>
      <c r="C59" s="213">
        <v>46016</v>
      </c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341"/>
      <c r="X59" s="287"/>
      <c r="Y59" s="288"/>
      <c r="Z59" s="326"/>
      <c r="AA59" s="289"/>
      <c r="AB59" s="290"/>
      <c r="AC59" s="382"/>
      <c r="AD59" s="382"/>
      <c r="AE59" s="349"/>
      <c r="AF59" s="349"/>
      <c r="AG59" s="367"/>
      <c r="AH59" s="354"/>
      <c r="AI59" s="349"/>
      <c r="AJ59" s="349"/>
    </row>
    <row r="60" spans="1:36" ht="14.1" customHeight="1" x14ac:dyDescent="0.25">
      <c r="A60" s="230"/>
      <c r="B60" s="216" t="s">
        <v>83</v>
      </c>
      <c r="C60" s="213">
        <v>46017</v>
      </c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38"/>
      <c r="X60" s="248"/>
      <c r="Y60" s="206"/>
      <c r="Z60" s="249"/>
      <c r="AA60" s="256"/>
      <c r="AB60" s="257"/>
      <c r="AC60" s="371"/>
      <c r="AD60" s="371"/>
      <c r="AE60" s="348"/>
      <c r="AF60" s="348"/>
      <c r="AG60" s="355"/>
      <c r="AH60" s="355"/>
      <c r="AI60" s="348"/>
      <c r="AJ60" s="348"/>
    </row>
    <row r="61" spans="1:36" ht="14.1" customHeight="1" x14ac:dyDescent="0.25">
      <c r="A61" s="230"/>
      <c r="B61" s="216" t="s">
        <v>84</v>
      </c>
      <c r="C61" s="213">
        <v>46018</v>
      </c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37"/>
      <c r="X61" s="246"/>
      <c r="Y61" s="204"/>
      <c r="Z61" s="247"/>
      <c r="AA61" s="254"/>
      <c r="AB61" s="255"/>
      <c r="AC61" s="362"/>
      <c r="AD61" s="362"/>
      <c r="AE61" s="349"/>
      <c r="AF61" s="349"/>
      <c r="AG61" s="354"/>
      <c r="AH61" s="354"/>
      <c r="AI61" s="349"/>
      <c r="AJ61" s="349"/>
    </row>
    <row r="62" spans="1:36" ht="14.1" customHeight="1" x14ac:dyDescent="0.25">
      <c r="A62" s="230"/>
      <c r="B62" s="219" t="s">
        <v>85</v>
      </c>
      <c r="C62" s="220">
        <v>46019</v>
      </c>
      <c r="D62" s="209"/>
      <c r="E62" s="209"/>
      <c r="F62" s="209"/>
      <c r="G62" s="209"/>
      <c r="H62" s="541"/>
      <c r="I62" s="541"/>
      <c r="J62" s="541"/>
      <c r="K62" s="541"/>
      <c r="L62" s="541"/>
      <c r="M62" s="541"/>
      <c r="N62" s="541"/>
      <c r="O62" s="541"/>
      <c r="P62" s="541"/>
      <c r="Q62" s="541"/>
      <c r="R62" s="541"/>
      <c r="S62" s="541"/>
      <c r="T62" s="541"/>
      <c r="U62" s="541"/>
      <c r="V62" s="541"/>
      <c r="W62" s="542"/>
      <c r="X62" s="250"/>
      <c r="Y62" s="316"/>
      <c r="Z62" s="299"/>
      <c r="AA62" s="258"/>
      <c r="AB62" s="259"/>
      <c r="AC62" s="379"/>
      <c r="AD62" s="379"/>
      <c r="AE62" s="375"/>
      <c r="AF62" s="375"/>
      <c r="AG62" s="360"/>
      <c r="AH62" s="360"/>
      <c r="AI62" s="375"/>
      <c r="AJ62" s="375"/>
    </row>
    <row r="63" spans="1:36" ht="14.1" customHeight="1" x14ac:dyDescent="0.25">
      <c r="A63" s="230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80"/>
      <c r="AD63" s="380"/>
      <c r="AE63" s="357" t="str">
        <f>TRUNC(SUM(AC63:AC69)*24,0) &amp; "h" &amp; RIGHT("00"&amp;ROUND(((SUM(AC63:AC69)*24)-TRUNC(SUM(AC63:AC69)*24,0))*60,2),2)</f>
        <v>0h00</v>
      </c>
      <c r="AF63" s="357"/>
      <c r="AG63" s="377"/>
      <c r="AH63" s="377"/>
      <c r="AI63" s="357" t="str">
        <f>TRUNC(SUM(AG63:AG69)*24,0) &amp; "h" &amp; RIGHT("00"&amp;ROUND(((SUM(AG63:AG69)*24)-TRUNC(SUM(AG63:AG69)*24,0))*60,2),2)</f>
        <v>0h00</v>
      </c>
      <c r="AJ63" s="357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63"/>
      <c r="AD64" s="363"/>
      <c r="AE64" s="358"/>
      <c r="AF64" s="358"/>
      <c r="AG64" s="365"/>
      <c r="AH64" s="365"/>
      <c r="AI64" s="358"/>
      <c r="AJ64" s="358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63"/>
      <c r="AD65" s="363"/>
      <c r="AE65" s="358"/>
      <c r="AF65" s="358"/>
      <c r="AG65" s="365"/>
      <c r="AH65" s="365"/>
      <c r="AI65" s="358"/>
      <c r="AJ65" s="358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63"/>
      <c r="AD66" s="363"/>
      <c r="AE66" s="358"/>
      <c r="AF66" s="358"/>
      <c r="AG66" s="365"/>
      <c r="AH66" s="365"/>
      <c r="AI66" s="358"/>
      <c r="AJ66" s="358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63"/>
      <c r="AD67" s="363"/>
      <c r="AE67" s="358"/>
      <c r="AF67" s="358"/>
      <c r="AG67" s="365"/>
      <c r="AH67" s="365"/>
      <c r="AI67" s="358"/>
      <c r="AJ67" s="358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63"/>
      <c r="AD68" s="363"/>
      <c r="AE68" s="358"/>
      <c r="AF68" s="358"/>
      <c r="AG68" s="365"/>
      <c r="AH68" s="365"/>
      <c r="AI68" s="358"/>
      <c r="AJ68" s="358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364"/>
      <c r="AD69" s="364"/>
      <c r="AE69" s="359"/>
      <c r="AF69" s="359"/>
      <c r="AG69" s="347"/>
      <c r="AH69" s="347"/>
      <c r="AI69" s="359"/>
      <c r="AJ69" s="359"/>
    </row>
    <row r="70" spans="1:36" ht="24" customHeight="1" thickBot="1" x14ac:dyDescent="0.3">
      <c r="B70" s="368" t="s">
        <v>152</v>
      </c>
      <c r="C70" s="368"/>
      <c r="D70" s="369"/>
      <c r="E70" s="369"/>
      <c r="F70" s="370" t="s">
        <v>325</v>
      </c>
      <c r="G70" s="370"/>
      <c r="H70" s="370"/>
      <c r="I70" s="370"/>
      <c r="J70" s="370"/>
      <c r="K70" s="370"/>
      <c r="L70" s="370"/>
      <c r="M70" s="370"/>
      <c r="N70" s="370"/>
      <c r="O70" s="370"/>
      <c r="P70" s="231"/>
      <c r="Q70" s="232"/>
      <c r="R70" s="232"/>
      <c r="S70" s="232"/>
      <c r="T70" s="232"/>
      <c r="U70" s="232"/>
      <c r="V70" s="373" t="s">
        <v>121</v>
      </c>
      <c r="W70" s="373"/>
      <c r="X70" s="373"/>
      <c r="Y70" s="373"/>
      <c r="Z70" s="373"/>
      <c r="AA70" s="233"/>
      <c r="AB70" s="233">
        <f>MAX(AB29:AB69)</f>
        <v>0</v>
      </c>
      <c r="AC70" s="374"/>
      <c r="AD70" s="374"/>
      <c r="AE70" s="388" t="str">
        <f>TRUNC(SUM(AC28:AC69)*24,0) &amp; "h" &amp; RIGHT("00"&amp;ROUND(((SUM(AC28:AC69)*24)-TRUNC(SUM(AC28:AC69)*24,0))*60,2),2)</f>
        <v>0h00</v>
      </c>
      <c r="AF70" s="388"/>
      <c r="AG70" s="378"/>
      <c r="AH70" s="378"/>
      <c r="AI70" s="378" t="str">
        <f>TRUNC(SUM(AG29:AG69)*24,0) &amp; "h" &amp; RIGHT("00"&amp;ROUND(((SUM(AG29:AG69)*24)-TRUNC(SUM(AG29:AG69)*24,0))*60,2),2)</f>
        <v>0h00</v>
      </c>
      <c r="AJ70" s="378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219075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N19" sqref="N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311</v>
      </c>
      <c r="AB1" t="s">
        <v>15</v>
      </c>
    </row>
    <row r="2" spans="4:28" ht="17.25" x14ac:dyDescent="0.3">
      <c r="D2" t="s">
        <v>13</v>
      </c>
      <c r="E2" s="412"/>
      <c r="F2" s="412"/>
      <c r="G2" s="412"/>
      <c r="H2" s="41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4"/>
      <c r="F4" s="404"/>
      <c r="G4" s="404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08" t="s">
        <v>12</v>
      </c>
      <c r="I9" s="409"/>
      <c r="O9" s="336"/>
      <c r="P9" s="337"/>
      <c r="Q9" s="338"/>
      <c r="R9" s="339"/>
      <c r="S9" s="340"/>
    </row>
    <row r="10" spans="4:28" ht="15.75" thickBot="1" x14ac:dyDescent="0.3">
      <c r="D10" s="23"/>
      <c r="E10" s="274"/>
      <c r="F10" s="275"/>
      <c r="G10" s="276"/>
      <c r="H10" s="410"/>
      <c r="I10" s="411"/>
      <c r="O10" s="531"/>
      <c r="P10" s="532"/>
      <c r="Q10" s="533"/>
      <c r="R10" s="534"/>
      <c r="S10" s="535"/>
    </row>
    <row r="11" spans="4:28" x14ac:dyDescent="0.25">
      <c r="O11" s="531"/>
      <c r="P11" s="532"/>
      <c r="Q11" s="533"/>
      <c r="R11" s="534"/>
      <c r="S11" s="535"/>
    </row>
    <row r="12" spans="4:28" x14ac:dyDescent="0.25">
      <c r="O12" s="531"/>
      <c r="P12" s="532"/>
      <c r="Q12" s="533"/>
      <c r="R12" s="534"/>
      <c r="S12" s="535"/>
    </row>
    <row r="13" spans="4:28" x14ac:dyDescent="0.25">
      <c r="O13" s="531"/>
      <c r="P13" s="532"/>
      <c r="Q13" s="533"/>
      <c r="R13" s="534"/>
      <c r="S13" s="535"/>
    </row>
    <row r="14" spans="4:28" x14ac:dyDescent="0.25">
      <c r="O14" s="531"/>
      <c r="P14" s="532"/>
      <c r="Q14" s="533"/>
      <c r="R14" s="534"/>
      <c r="S14" s="535"/>
    </row>
    <row r="15" spans="4:28" x14ac:dyDescent="0.25">
      <c r="O15" s="531"/>
      <c r="P15" s="532"/>
      <c r="Q15" s="533"/>
      <c r="R15" s="534"/>
      <c r="S15" s="535"/>
    </row>
    <row r="16" spans="4:28" ht="15.75" thickBot="1" x14ac:dyDescent="0.3">
      <c r="O16" s="531"/>
      <c r="P16" s="532"/>
      <c r="Q16" s="533"/>
      <c r="R16" s="534"/>
      <c r="S16" s="535"/>
    </row>
    <row r="17" spans="4:19" ht="15.75" thickBot="1" x14ac:dyDescent="0.3">
      <c r="D17" s="405" t="s">
        <v>17</v>
      </c>
      <c r="E17" s="406"/>
      <c r="F17" s="406"/>
      <c r="G17" s="407"/>
      <c r="O17" s="531"/>
      <c r="P17" s="532"/>
      <c r="Q17" s="533"/>
      <c r="R17" s="534"/>
      <c r="S17" s="535"/>
    </row>
    <row r="18" spans="4:19" x14ac:dyDescent="0.25">
      <c r="D18" s="5"/>
      <c r="G18" s="6"/>
      <c r="O18" s="531"/>
      <c r="P18" s="532"/>
      <c r="Q18" s="533"/>
      <c r="R18" s="534"/>
      <c r="S18" s="535"/>
    </row>
    <row r="19" spans="4:19" x14ac:dyDescent="0.25">
      <c r="D19" s="5" t="s">
        <v>18</v>
      </c>
      <c r="E19" s="1"/>
      <c r="G19" s="6"/>
      <c r="O19" s="531"/>
      <c r="P19" s="532"/>
      <c r="Q19" s="533"/>
      <c r="R19" s="534"/>
      <c r="S19" s="535"/>
    </row>
    <row r="20" spans="4:19" ht="15.75" thickBot="1" x14ac:dyDescent="0.3">
      <c r="D20" s="16" t="s">
        <v>19</v>
      </c>
      <c r="E20" s="17"/>
      <c r="F20" s="7"/>
      <c r="G20" s="8"/>
      <c r="O20" s="531"/>
      <c r="P20" s="532"/>
      <c r="Q20" s="533"/>
      <c r="R20" s="534"/>
      <c r="S20" s="535"/>
    </row>
    <row r="21" spans="4:19" x14ac:dyDescent="0.25">
      <c r="O21" s="531"/>
      <c r="P21" s="532"/>
      <c r="Q21" s="533"/>
      <c r="R21" s="534"/>
      <c r="S21" s="535"/>
    </row>
    <row r="22" spans="4:19" x14ac:dyDescent="0.25">
      <c r="E22" s="40"/>
      <c r="O22" s="531"/>
      <c r="P22" s="532"/>
      <c r="Q22" s="533"/>
      <c r="R22" s="534"/>
      <c r="S22" s="535"/>
    </row>
    <row r="23" spans="4:19" x14ac:dyDescent="0.25">
      <c r="O23" s="531"/>
      <c r="P23" s="532"/>
      <c r="Q23" s="533"/>
      <c r="R23" s="534"/>
      <c r="S23" s="535"/>
    </row>
    <row r="24" spans="4:19" x14ac:dyDescent="0.25">
      <c r="O24" s="531"/>
      <c r="P24" s="532"/>
      <c r="Q24" s="533"/>
      <c r="R24" s="534"/>
      <c r="S24" s="535"/>
    </row>
    <row r="25" spans="4:19" x14ac:dyDescent="0.25">
      <c r="O25" s="531"/>
      <c r="P25" s="532"/>
      <c r="Q25" s="533"/>
      <c r="R25" s="534"/>
      <c r="S25" s="535"/>
    </row>
    <row r="26" spans="4:19" x14ac:dyDescent="0.25">
      <c r="O26" s="531"/>
      <c r="P26" s="532"/>
      <c r="Q26" s="533"/>
      <c r="R26" s="534"/>
      <c r="S26" s="535"/>
    </row>
    <row r="27" spans="4:19" x14ac:dyDescent="0.25">
      <c r="O27" s="531"/>
      <c r="P27" s="532"/>
      <c r="Q27" s="533"/>
      <c r="R27" s="534"/>
      <c r="S27" s="535"/>
    </row>
    <row r="28" spans="4:19" x14ac:dyDescent="0.25">
      <c r="O28" s="531"/>
      <c r="P28" s="532"/>
      <c r="Q28" s="533"/>
      <c r="R28" s="534"/>
      <c r="S28" s="535"/>
    </row>
    <row r="29" spans="4:19" x14ac:dyDescent="0.25">
      <c r="O29" s="531"/>
      <c r="P29" s="532"/>
      <c r="Q29" s="533"/>
      <c r="R29" s="534"/>
      <c r="S29" s="535"/>
    </row>
    <row r="30" spans="4:19" x14ac:dyDescent="0.25">
      <c r="O30" s="531"/>
      <c r="P30" s="532"/>
      <c r="Q30" s="533"/>
      <c r="R30" s="534"/>
      <c r="S30" s="535"/>
    </row>
    <row r="31" spans="4:19" x14ac:dyDescent="0.25">
      <c r="O31" s="531"/>
      <c r="P31" s="532"/>
      <c r="Q31" s="533"/>
      <c r="R31" s="534"/>
      <c r="S31" s="535"/>
    </row>
    <row r="32" spans="4:19" x14ac:dyDescent="0.25">
      <c r="O32" s="531"/>
      <c r="P32" s="532"/>
      <c r="Q32" s="533"/>
      <c r="R32" s="534"/>
      <c r="S32" s="535"/>
    </row>
    <row r="33" spans="15:19" x14ac:dyDescent="0.25">
      <c r="O33" s="531"/>
      <c r="P33" s="534"/>
      <c r="Q33" s="533"/>
      <c r="R33" s="534"/>
      <c r="S33" s="535"/>
    </row>
    <row r="34" spans="15:19" x14ac:dyDescent="0.25">
      <c r="O34" s="531"/>
      <c r="P34" s="534"/>
      <c r="Q34" s="533"/>
      <c r="R34" s="534"/>
      <c r="S34" s="535"/>
    </row>
    <row r="35" spans="15:19" x14ac:dyDescent="0.25">
      <c r="O35" s="531"/>
      <c r="P35" s="534"/>
      <c r="Q35" s="533"/>
      <c r="R35" s="534"/>
      <c r="S35" s="535"/>
    </row>
    <row r="36" spans="15:19" x14ac:dyDescent="0.25">
      <c r="O36" s="531"/>
      <c r="P36" s="534"/>
      <c r="Q36" s="533"/>
      <c r="R36" s="534"/>
      <c r="S36" s="535"/>
    </row>
    <row r="37" spans="15:19" x14ac:dyDescent="0.25">
      <c r="O37" s="531"/>
      <c r="P37" s="534"/>
      <c r="Q37" s="533"/>
      <c r="R37" s="534"/>
      <c r="S37" s="535"/>
    </row>
    <row r="38" spans="15:19" x14ac:dyDescent="0.25">
      <c r="O38" s="531"/>
      <c r="P38" s="534"/>
      <c r="Q38" s="533"/>
      <c r="R38" s="534"/>
      <c r="S38" s="535"/>
    </row>
    <row r="39" spans="15:19" x14ac:dyDescent="0.25">
      <c r="O39" s="531"/>
      <c r="P39" s="534"/>
      <c r="Q39" s="533"/>
      <c r="R39" s="534"/>
      <c r="S39" s="535"/>
    </row>
    <row r="40" spans="15:19" x14ac:dyDescent="0.25">
      <c r="O40" s="531"/>
      <c r="P40" s="534"/>
      <c r="Q40" s="533"/>
      <c r="R40" s="534"/>
      <c r="S40" s="535"/>
    </row>
    <row r="41" spans="15:19" x14ac:dyDescent="0.25">
      <c r="O41" s="531"/>
      <c r="P41" s="534"/>
      <c r="Q41" s="533"/>
      <c r="R41" s="534"/>
      <c r="S41" s="535"/>
    </row>
    <row r="42" spans="15:19" x14ac:dyDescent="0.25">
      <c r="O42" s="531"/>
      <c r="P42" s="534"/>
      <c r="Q42" s="533"/>
      <c r="R42" s="534"/>
      <c r="S42" s="535"/>
    </row>
    <row r="43" spans="15:19" x14ac:dyDescent="0.25">
      <c r="O43" s="531"/>
      <c r="P43" s="534"/>
      <c r="Q43" s="533"/>
      <c r="R43" s="534"/>
      <c r="S43" s="535"/>
    </row>
    <row r="44" spans="15:19" x14ac:dyDescent="0.25">
      <c r="O44" s="531"/>
      <c r="P44" s="534"/>
      <c r="Q44" s="533"/>
      <c r="R44" s="534"/>
      <c r="S44" s="535"/>
    </row>
    <row r="45" spans="15:19" x14ac:dyDescent="0.25">
      <c r="O45" s="531"/>
      <c r="P45" s="534"/>
      <c r="Q45" s="533"/>
      <c r="R45" s="534"/>
      <c r="S45" s="535"/>
    </row>
    <row r="46" spans="15:19" x14ac:dyDescent="0.25">
      <c r="O46" s="531"/>
      <c r="P46" s="534"/>
      <c r="Q46" s="533"/>
      <c r="R46" s="534"/>
      <c r="S46" s="535"/>
    </row>
    <row r="47" spans="15:19" x14ac:dyDescent="0.25">
      <c r="O47" s="531"/>
      <c r="P47" s="534"/>
      <c r="Q47" s="533"/>
      <c r="R47" s="534"/>
      <c r="S47" s="535"/>
    </row>
    <row r="48" spans="15:19" x14ac:dyDescent="0.25">
      <c r="O48" s="531"/>
      <c r="P48" s="534"/>
      <c r="Q48" s="533"/>
      <c r="R48" s="534"/>
      <c r="S48" s="535"/>
    </row>
    <row r="49" spans="15:19" ht="15.75" thickBot="1" x14ac:dyDescent="0.3">
      <c r="O49" s="536"/>
      <c r="P49" s="537"/>
      <c r="Q49" s="538"/>
      <c r="R49" s="537"/>
      <c r="S49" s="53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K24" sqref="K2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13" t="s">
        <v>45</v>
      </c>
      <c r="M2" s="414"/>
      <c r="N2" s="414"/>
      <c r="O2" s="414"/>
      <c r="P2" s="414"/>
      <c r="Q2" s="415"/>
      <c r="S2" s="420" t="s">
        <v>259</v>
      </c>
      <c r="T2" s="421"/>
    </row>
    <row r="3" spans="1:20" ht="15.75" thickBot="1" x14ac:dyDescent="0.3">
      <c r="A3" s="142"/>
      <c r="B3" s="153"/>
      <c r="C3" s="160"/>
      <c r="D3" s="144"/>
      <c r="L3" s="416"/>
      <c r="M3" s="417"/>
      <c r="N3" s="417"/>
      <c r="O3" s="417"/>
      <c r="P3" s="417"/>
      <c r="Q3" s="418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316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10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A13" s="342"/>
      <c r="B13" s="153"/>
      <c r="C13" s="161"/>
      <c r="D13" s="144"/>
      <c r="L13" s="5"/>
      <c r="M13" s="30"/>
      <c r="N13" s="419" t="s">
        <v>46</v>
      </c>
      <c r="O13" s="419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400"/>
      <c r="D39" s="400"/>
      <c r="E39" s="3" t="s">
        <v>27</v>
      </c>
    </row>
    <row r="41" spans="1:20" s="24" customFormat="1" ht="15.75" x14ac:dyDescent="0.25">
      <c r="B41" s="24" t="s">
        <v>36</v>
      </c>
      <c r="C41" s="529"/>
      <c r="E41" s="25" t="s">
        <v>37</v>
      </c>
    </row>
    <row r="42" spans="1:20" s="24" customFormat="1" ht="15.75" x14ac:dyDescent="0.25">
      <c r="B42" s="24" t="s">
        <v>38</v>
      </c>
      <c r="C42" s="530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29"/>
      <c r="E44" s="4" t="s">
        <v>9</v>
      </c>
    </row>
    <row r="45" spans="1:20" x14ac:dyDescent="0.25">
      <c r="B45" s="2" t="s">
        <v>6</v>
      </c>
      <c r="C45" s="530"/>
      <c r="E45" s="4" t="s">
        <v>10</v>
      </c>
    </row>
    <row r="46" spans="1:20" x14ac:dyDescent="0.25">
      <c r="B46" s="2" t="s">
        <v>7</v>
      </c>
      <c r="C46" s="530"/>
    </row>
    <row r="47" spans="1:20" x14ac:dyDescent="0.25">
      <c r="B47" s="2" t="s">
        <v>8</v>
      </c>
      <c r="C47" s="53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3"/>
      <c r="B2" s="434"/>
      <c r="C2" s="434"/>
      <c r="D2" s="434"/>
      <c r="E2" s="434"/>
      <c r="F2" s="434"/>
      <c r="G2" s="434"/>
      <c r="H2" s="435" t="s">
        <v>52</v>
      </c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6"/>
      <c r="U2" s="437">
        <v>0</v>
      </c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8"/>
      <c r="AM2" s="438"/>
      <c r="AN2" s="438"/>
      <c r="AO2" s="427" t="s">
        <v>53</v>
      </c>
      <c r="AP2" s="428"/>
      <c r="AQ2" s="428"/>
      <c r="AR2" s="428"/>
      <c r="AS2" s="428"/>
      <c r="AT2" s="428"/>
      <c r="AU2" s="428"/>
      <c r="AV2" s="428"/>
      <c r="AW2" s="428"/>
      <c r="AX2" s="428"/>
      <c r="AY2" s="428"/>
      <c r="AZ2" s="428"/>
      <c r="BA2" s="429"/>
      <c r="BB2" s="430"/>
      <c r="BC2" s="431"/>
      <c r="BD2" s="431"/>
      <c r="BE2" s="431"/>
      <c r="BF2" s="431"/>
      <c r="BG2" s="431"/>
      <c r="BH2" s="431"/>
      <c r="BI2" s="431"/>
      <c r="BJ2" s="431"/>
      <c r="BK2" s="431"/>
      <c r="BL2" s="432"/>
    </row>
    <row r="3" spans="1:65" ht="15.75" thickBot="1" x14ac:dyDescent="0.3">
      <c r="A3" s="343">
        <v>1</v>
      </c>
      <c r="B3" s="343"/>
      <c r="C3" s="343">
        <v>2</v>
      </c>
      <c r="D3" s="343"/>
      <c r="E3" s="343">
        <v>3</v>
      </c>
      <c r="F3" s="343"/>
      <c r="G3" s="343">
        <v>4</v>
      </c>
      <c r="H3" s="343"/>
      <c r="I3" s="344">
        <v>5</v>
      </c>
      <c r="J3" s="345"/>
      <c r="K3" s="344">
        <v>6</v>
      </c>
      <c r="L3" s="345"/>
      <c r="M3" s="344">
        <v>7</v>
      </c>
      <c r="N3" s="345"/>
      <c r="O3" s="344">
        <v>8</v>
      </c>
      <c r="P3" s="345"/>
      <c r="Q3" s="344">
        <v>9</v>
      </c>
      <c r="R3" s="345"/>
      <c r="S3" s="344">
        <v>10</v>
      </c>
      <c r="T3" s="346"/>
      <c r="U3" s="422">
        <v>1</v>
      </c>
      <c r="V3" s="345"/>
      <c r="W3" s="344">
        <v>2</v>
      </c>
      <c r="X3" s="345"/>
      <c r="Y3" s="344">
        <v>3</v>
      </c>
      <c r="Z3" s="345"/>
      <c r="AA3" s="344">
        <v>4</v>
      </c>
      <c r="AB3" s="345"/>
      <c r="AC3" s="344">
        <v>5</v>
      </c>
      <c r="AD3" s="345"/>
      <c r="AE3" s="344">
        <v>6</v>
      </c>
      <c r="AF3" s="345"/>
      <c r="AG3" s="344">
        <v>7</v>
      </c>
      <c r="AH3" s="345"/>
      <c r="AI3" s="344">
        <v>8</v>
      </c>
      <c r="AJ3" s="345"/>
      <c r="AK3" s="344">
        <v>9</v>
      </c>
      <c r="AL3" s="345"/>
      <c r="AM3" s="344">
        <v>10</v>
      </c>
      <c r="AN3" s="346"/>
      <c r="AO3" s="424" t="s">
        <v>54</v>
      </c>
      <c r="AP3" s="425"/>
      <c r="AQ3" s="425"/>
      <c r="AR3" s="426"/>
      <c r="AS3" s="424" t="s">
        <v>55</v>
      </c>
      <c r="AT3" s="425"/>
      <c r="AU3" s="425"/>
      <c r="AV3" s="425"/>
      <c r="AW3" s="425"/>
      <c r="AX3" s="425"/>
      <c r="AY3" s="422" t="s">
        <v>56</v>
      </c>
      <c r="AZ3" s="423"/>
      <c r="BA3" s="346"/>
      <c r="BB3" s="439" t="s">
        <v>99</v>
      </c>
      <c r="BC3" s="440"/>
      <c r="BD3" s="440"/>
      <c r="BE3" s="440"/>
      <c r="BF3" s="440"/>
      <c r="BG3" s="440"/>
      <c r="BH3" s="440"/>
      <c r="BI3" s="440"/>
      <c r="BJ3" s="440"/>
      <c r="BK3" s="440"/>
      <c r="BL3" s="441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0.55486111111111114</v>
      </c>
      <c r="B5" s="57">
        <v>0.61944444444444446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0.55486111111111114</v>
      </c>
      <c r="V5" s="57">
        <v>0.61944444444444446</v>
      </c>
      <c r="W5" s="56"/>
      <c r="X5" s="57"/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0.55486111111111114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0.61944444444444446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6.4583333333333326E-2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6.5972222222222224E-2</v>
      </c>
      <c r="BM5" s="71">
        <v>45992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0.4513888888888889</v>
      </c>
      <c r="B7" s="73">
        <v>0.52083333333333337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0.4513888888888889</v>
      </c>
      <c r="V7" s="73">
        <v>0.52083333333333337</v>
      </c>
      <c r="W7" s="72"/>
      <c r="X7" s="73"/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0.4513888888888889</v>
      </c>
      <c r="AT7" s="81">
        <f t="shared" si="5"/>
        <v>0.52083333333333337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6.9444444444444475E-2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6.9444444444444448E-2</v>
      </c>
      <c r="BM7" s="71">
        <v>45994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0.375</v>
      </c>
      <c r="B12" s="73">
        <v>0.46875</v>
      </c>
      <c r="C12" s="72">
        <v>0.57638888888888884</v>
      </c>
      <c r="D12" s="73">
        <v>0.68402777777777779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0.375</v>
      </c>
      <c r="V12" s="73">
        <v>0.46875</v>
      </c>
      <c r="W12" s="72">
        <v>0.57638888888888895</v>
      </c>
      <c r="X12" s="73">
        <v>0.68402777777777779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0.375</v>
      </c>
      <c r="AT12" s="81">
        <f t="shared" si="5"/>
        <v>0.46875</v>
      </c>
      <c r="AU12" s="81">
        <f t="shared" si="6"/>
        <v>0.57638888888888895</v>
      </c>
      <c r="AV12" s="81">
        <f t="shared" si="7"/>
        <v>0.68402777777777779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9.375E-2</v>
      </c>
      <c r="BC12" s="83">
        <f>X12 - W12</f>
        <v>0.10763888888888884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0.2013888888888889</v>
      </c>
      <c r="BM12" s="71">
        <v>45999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0.37152777777777779</v>
      </c>
      <c r="B15" s="73">
        <v>0.47916666666666669</v>
      </c>
      <c r="C15" s="72">
        <v>0.60138888888888886</v>
      </c>
      <c r="D15" s="73">
        <v>0.66666666666666663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0.37152777777777773</v>
      </c>
      <c r="V15" s="73">
        <v>0.47916666666666669</v>
      </c>
      <c r="W15" s="72">
        <v>0.60138888888888886</v>
      </c>
      <c r="X15" s="73">
        <v>0.66666666666666663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1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0.37152777777777773</v>
      </c>
      <c r="AT15" s="81">
        <f t="shared" si="5"/>
        <v>0.47916666666666669</v>
      </c>
      <c r="AU15" s="81">
        <f t="shared" si="6"/>
        <v>0.60138888888888886</v>
      </c>
      <c r="AV15" s="81">
        <f t="shared" si="7"/>
        <v>0.66666666666666663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0.10763888888888895</v>
      </c>
      <c r="BC15" s="83">
        <f>X15 - W15</f>
        <v>6.5277777777777768E-2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0.1736111111111111</v>
      </c>
      <c r="BM15" s="71">
        <v>46002</v>
      </c>
    </row>
    <row r="16" spans="1:65" x14ac:dyDescent="0.25">
      <c r="A16" s="72">
        <v>0.35069444444444442</v>
      </c>
      <c r="B16" s="73">
        <v>0.53194444444444444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0.35069444444444442</v>
      </c>
      <c r="V16" s="73">
        <v>0.53194444444444444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0.35069444444444442</v>
      </c>
      <c r="AT16" s="81">
        <f t="shared" si="5"/>
        <v>0.53194444444444444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0.18125000000000002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0.18402777777777779</v>
      </c>
      <c r="BM16" s="71">
        <v>46003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0.3972222222222222</v>
      </c>
      <c r="B20" s="73">
        <v>0.5</v>
      </c>
      <c r="C20" s="72">
        <v>0.54166666666666663</v>
      </c>
      <c r="D20" s="73">
        <v>0.68055555555555558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0.3972222222222222</v>
      </c>
      <c r="V20" s="73">
        <v>0.5</v>
      </c>
      <c r="W20" s="72">
        <v>0.54166666666666663</v>
      </c>
      <c r="X20" s="73">
        <v>0.68055555555555547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0.3972222222222222</v>
      </c>
      <c r="AT20" s="81">
        <f t="shared" si="5"/>
        <v>0.5</v>
      </c>
      <c r="AU20" s="81">
        <f t="shared" si="6"/>
        <v>0.54166666666666663</v>
      </c>
      <c r="AV20" s="81">
        <f t="shared" si="7"/>
        <v>0.68055555555555547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0.1027777777777778</v>
      </c>
      <c r="BC20" s="83">
        <f>X20 - W20</f>
        <v>0.13888888888888884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0.24305555555555555</v>
      </c>
      <c r="BM20" s="71">
        <v>46007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0.57638888888888884</v>
      </c>
      <c r="B27" s="73">
        <v>0.7055555555555556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0.57638888888888895</v>
      </c>
      <c r="V27" s="73">
        <v>0.7055555555555556</v>
      </c>
      <c r="W27" s="72"/>
      <c r="X27" s="73"/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0.57638888888888895</v>
      </c>
      <c r="AV27" s="81">
        <f t="shared" si="7"/>
        <v>0.7055555555555556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0.12916666666666665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0.13194444444444445</v>
      </c>
      <c r="BM27" s="71">
        <v>46014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0.4236111111111111</v>
      </c>
      <c r="B35" s="86">
        <v>0.48958333333333331</v>
      </c>
      <c r="C35" s="85">
        <v>0.54166666666666663</v>
      </c>
      <c r="D35" s="86">
        <v>0.63888888888888884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0.4236111111111111</v>
      </c>
      <c r="V35" s="86">
        <v>0.48958333333333331</v>
      </c>
      <c r="W35" s="85">
        <v>0.54166666666666663</v>
      </c>
      <c r="X35" s="86">
        <v>0.63888888888888895</v>
      </c>
      <c r="Y35" s="85"/>
      <c r="Z35" s="86"/>
      <c r="AA35" s="85"/>
      <c r="AB35" s="86"/>
      <c r="AC35" s="88"/>
      <c r="AD35" s="86"/>
      <c r="AE35" s="88"/>
      <c r="AF35" s="86"/>
      <c r="AG35" s="88"/>
      <c r="AH35" s="86"/>
      <c r="AI35" s="88"/>
      <c r="AJ35" s="86"/>
      <c r="AK35" s="88"/>
      <c r="AL35" s="86"/>
      <c r="AM35" s="85"/>
      <c r="AN35" s="89"/>
      <c r="AO35" s="90">
        <f t="shared" si="0"/>
        <v>1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0.4236111111111111</v>
      </c>
      <c r="AT35" s="94">
        <f t="shared" si="5"/>
        <v>0.48958333333333331</v>
      </c>
      <c r="AU35" s="94">
        <f t="shared" si="6"/>
        <v>0.54166666666666663</v>
      </c>
      <c r="AV35" s="94">
        <f t="shared" si="7"/>
        <v>0.63888888888888895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6.597222222222221E-2</v>
      </c>
      <c r="BC35" s="83">
        <f>X35 - W35</f>
        <v>9.7222222222222321E-2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0.16319444444444445</v>
      </c>
      <c r="BM35" s="71">
        <v>46022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19:33</v>
      </c>
      <c r="BC50" s="121" t="str">
        <f t="shared" si="26"/>
        <v>9:49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29:35</v>
      </c>
      <c r="BM50" s="124"/>
    </row>
    <row r="52" spans="1:65" x14ac:dyDescent="0.25">
      <c r="C52" s="404"/>
      <c r="D52" s="404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274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  <row r="92" spans="7:8" x14ac:dyDescent="0.25">
      <c r="G92" t="s">
        <v>193</v>
      </c>
      <c r="H92" t="s">
        <v>310</v>
      </c>
    </row>
    <row r="93" spans="7:8" x14ac:dyDescent="0.25">
      <c r="G93" t="s">
        <v>312</v>
      </c>
      <c r="H93" t="s">
        <v>313</v>
      </c>
    </row>
    <row r="94" spans="7:8" x14ac:dyDescent="0.25">
      <c r="G94" t="s">
        <v>314</v>
      </c>
      <c r="H94" t="s">
        <v>315</v>
      </c>
    </row>
    <row r="95" spans="7:8" x14ac:dyDescent="0.25">
      <c r="G95" t="s">
        <v>196</v>
      </c>
      <c r="H95" t="s">
        <v>317</v>
      </c>
    </row>
    <row r="96" spans="7:8" x14ac:dyDescent="0.25">
      <c r="G96" t="s">
        <v>318</v>
      </c>
      <c r="H96" t="s">
        <v>319</v>
      </c>
    </row>
    <row r="97" spans="7:8" x14ac:dyDescent="0.25">
      <c r="G97" t="s">
        <v>179</v>
      </c>
      <c r="H97" t="s">
        <v>320</v>
      </c>
    </row>
    <row r="98" spans="7:8" x14ac:dyDescent="0.25">
      <c r="G98" t="s">
        <v>161</v>
      </c>
      <c r="H98" t="s">
        <v>322</v>
      </c>
    </row>
    <row r="99" spans="7:8" x14ac:dyDescent="0.25">
      <c r="G99" t="s">
        <v>323</v>
      </c>
      <c r="H99" t="s">
        <v>324</v>
      </c>
    </row>
    <row r="100" spans="7:8" x14ac:dyDescent="0.25">
      <c r="G100" t="s">
        <v>285</v>
      </c>
      <c r="H100" t="s">
        <v>326</v>
      </c>
    </row>
    <row r="101" spans="7:8" x14ac:dyDescent="0.25">
      <c r="G101" t="s">
        <v>196</v>
      </c>
      <c r="H101" t="s">
        <v>327</v>
      </c>
    </row>
    <row r="102" spans="7:8" x14ac:dyDescent="0.25">
      <c r="G102" t="s">
        <v>185</v>
      </c>
      <c r="H102" t="s">
        <v>328</v>
      </c>
    </row>
    <row r="103" spans="7:8" x14ac:dyDescent="0.25">
      <c r="G103" t="s">
        <v>153</v>
      </c>
      <c r="H103" t="s">
        <v>329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83" t="s">
        <v>304</v>
      </c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24" t="s">
        <v>273</v>
      </c>
    </row>
    <row r="2" spans="1:17" ht="15" customHeight="1" x14ac:dyDescent="0.25">
      <c r="B2" s="484" t="s">
        <v>159</v>
      </c>
      <c r="C2" s="484"/>
      <c r="D2" s="484"/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</row>
    <row r="3" spans="1:17" ht="15" customHeight="1" x14ac:dyDescent="0.25">
      <c r="B3" s="313" t="s">
        <v>86</v>
      </c>
      <c r="C3" s="314" t="s">
        <v>158</v>
      </c>
      <c r="D3" s="131"/>
    </row>
    <row r="4" spans="1:17" ht="15" customHeight="1" x14ac:dyDescent="0.25">
      <c r="B4" s="313" t="s">
        <v>87</v>
      </c>
      <c r="D4" s="315">
        <f>Inter!I24</f>
        <v>0</v>
      </c>
      <c r="K4" s="313" t="s">
        <v>306</v>
      </c>
    </row>
    <row r="5" spans="1:17" ht="15" customHeight="1" thickBot="1" x14ac:dyDescent="0.3"/>
    <row r="6" spans="1:17" ht="15" customHeight="1" thickBot="1" x14ac:dyDescent="0.3">
      <c r="C6" s="498" t="s">
        <v>88</v>
      </c>
      <c r="D6" s="491" t="s">
        <v>247</v>
      </c>
      <c r="E6" s="501" t="s">
        <v>89</v>
      </c>
      <c r="F6" s="501" t="s">
        <v>4</v>
      </c>
      <c r="G6" s="504"/>
      <c r="H6" s="504"/>
      <c r="I6" s="487" t="s">
        <v>90</v>
      </c>
      <c r="J6" s="506" t="s">
        <v>4</v>
      </c>
      <c r="K6" s="504"/>
      <c r="L6" s="504"/>
      <c r="M6" s="487" t="s">
        <v>90</v>
      </c>
      <c r="N6" s="489" t="s">
        <v>91</v>
      </c>
      <c r="O6" s="494" t="s">
        <v>155</v>
      </c>
      <c r="P6" s="495" t="s">
        <v>156</v>
      </c>
    </row>
    <row r="7" spans="1:17" ht="15" customHeight="1" thickBot="1" x14ac:dyDescent="0.3">
      <c r="C7" s="499"/>
      <c r="D7" s="492"/>
      <c r="E7" s="502"/>
      <c r="F7" s="505"/>
      <c r="G7" s="505"/>
      <c r="H7" s="505"/>
      <c r="I7" s="488"/>
      <c r="J7" s="507"/>
      <c r="K7" s="505"/>
      <c r="L7" s="505"/>
      <c r="M7" s="488"/>
      <c r="N7" s="490"/>
      <c r="O7" s="494"/>
      <c r="P7" s="496"/>
    </row>
    <row r="8" spans="1:17" ht="15" customHeight="1" thickBot="1" x14ac:dyDescent="0.3">
      <c r="C8" s="499"/>
      <c r="D8" s="492"/>
      <c r="E8" s="502"/>
      <c r="F8" s="505"/>
      <c r="G8" s="505"/>
      <c r="H8" s="505"/>
      <c r="I8" s="488"/>
      <c r="J8" s="507"/>
      <c r="K8" s="505"/>
      <c r="L8" s="505"/>
      <c r="M8" s="488"/>
      <c r="N8" s="490"/>
      <c r="O8" s="494"/>
      <c r="P8" s="497"/>
    </row>
    <row r="9" spans="1:17" ht="15" customHeight="1" thickBot="1" x14ac:dyDescent="0.3">
      <c r="C9" s="500"/>
      <c r="D9" s="493"/>
      <c r="E9" s="503"/>
      <c r="F9" s="134" t="s">
        <v>57</v>
      </c>
      <c r="G9" s="134" t="s">
        <v>58</v>
      </c>
      <c r="H9" s="134" t="s">
        <v>92</v>
      </c>
      <c r="I9" s="488"/>
      <c r="J9" s="135" t="s">
        <v>57</v>
      </c>
      <c r="K9" s="134" t="s">
        <v>58</v>
      </c>
      <c r="L9" s="134" t="s">
        <v>92</v>
      </c>
      <c r="M9" s="488"/>
      <c r="N9" s="490"/>
      <c r="O9" s="494"/>
      <c r="P9" s="298" t="s">
        <v>157</v>
      </c>
    </row>
    <row r="10" spans="1:17" ht="15" customHeight="1" thickBot="1" x14ac:dyDescent="0.3">
      <c r="B10" s="463" t="s">
        <v>79</v>
      </c>
      <c r="C10" s="485" t="s">
        <v>307</v>
      </c>
      <c r="D10" s="476"/>
      <c r="E10" s="467">
        <v>0.31944444444444448</v>
      </c>
      <c r="F10" s="301">
        <v>0.52083333333333337</v>
      </c>
      <c r="G10" s="301">
        <v>0.53472222222222221</v>
      </c>
      <c r="H10" s="302"/>
      <c r="I10" s="303" t="s">
        <v>302</v>
      </c>
      <c r="J10" s="304"/>
      <c r="K10" s="301"/>
      <c r="L10" s="302"/>
      <c r="M10" s="303"/>
      <c r="N10" s="486">
        <v>0.68819444444444444</v>
      </c>
      <c r="O10" s="509">
        <v>0.36874999999999997</v>
      </c>
      <c r="P10" s="510"/>
    </row>
    <row r="11" spans="1:17" ht="15" customHeight="1" thickBot="1" x14ac:dyDescent="0.3">
      <c r="B11" s="463"/>
      <c r="C11" s="465"/>
      <c r="D11" s="477"/>
      <c r="E11" s="468"/>
      <c r="F11" s="305">
        <v>0.5854166666666667</v>
      </c>
      <c r="G11" s="305">
        <v>0.62708333333333333</v>
      </c>
      <c r="H11" s="306"/>
      <c r="I11" s="307" t="s">
        <v>302</v>
      </c>
      <c r="J11" s="308"/>
      <c r="K11" s="305"/>
      <c r="L11" s="306"/>
      <c r="M11" s="307"/>
      <c r="N11" s="471"/>
      <c r="O11" s="509"/>
      <c r="P11" s="510"/>
    </row>
    <row r="12" spans="1:17" ht="15" customHeight="1" thickBot="1" x14ac:dyDescent="0.3">
      <c r="B12" s="463"/>
      <c r="C12" s="466"/>
      <c r="D12" s="478"/>
      <c r="E12" s="469"/>
      <c r="F12" s="309"/>
      <c r="G12" s="309"/>
      <c r="H12" s="310"/>
      <c r="I12" s="311"/>
      <c r="J12" s="312"/>
      <c r="K12" s="309"/>
      <c r="L12" s="310"/>
      <c r="M12" s="311"/>
      <c r="N12" s="472"/>
      <c r="O12" s="509"/>
      <c r="P12" s="510"/>
    </row>
    <row r="13" spans="1:17" ht="15" customHeight="1" thickBot="1" x14ac:dyDescent="0.3">
      <c r="B13" s="463" t="s">
        <v>80</v>
      </c>
      <c r="C13" s="464" t="s">
        <v>307</v>
      </c>
      <c r="D13" s="476"/>
      <c r="E13" s="467">
        <v>0.29166666666666669</v>
      </c>
      <c r="F13" s="301">
        <v>0.48472222222222222</v>
      </c>
      <c r="G13" s="301">
        <v>0.53055555555555556</v>
      </c>
      <c r="H13" s="302" t="s">
        <v>301</v>
      </c>
      <c r="I13" s="303" t="s">
        <v>300</v>
      </c>
      <c r="J13" s="304"/>
      <c r="K13" s="301"/>
      <c r="L13" s="302"/>
      <c r="M13" s="303"/>
      <c r="N13" s="470">
        <v>0.65069444444444446</v>
      </c>
      <c r="O13" s="509">
        <v>0.35902777777777778</v>
      </c>
      <c r="P13" s="510"/>
    </row>
    <row r="14" spans="1:17" ht="15" customHeight="1" thickBot="1" x14ac:dyDescent="0.3">
      <c r="B14" s="463"/>
      <c r="C14" s="465"/>
      <c r="D14" s="477"/>
      <c r="E14" s="468"/>
      <c r="F14" s="305"/>
      <c r="G14" s="305"/>
      <c r="H14" s="306"/>
      <c r="I14" s="307"/>
      <c r="J14" s="308"/>
      <c r="K14" s="305"/>
      <c r="L14" s="306"/>
      <c r="M14" s="307"/>
      <c r="N14" s="471"/>
      <c r="O14" s="509"/>
      <c r="P14" s="510"/>
    </row>
    <row r="15" spans="1:17" ht="15" customHeight="1" thickBot="1" x14ac:dyDescent="0.3">
      <c r="B15" s="463"/>
      <c r="C15" s="466"/>
      <c r="D15" s="478"/>
      <c r="E15" s="469"/>
      <c r="F15" s="309"/>
      <c r="G15" s="309"/>
      <c r="H15" s="310"/>
      <c r="I15" s="311"/>
      <c r="J15" s="312"/>
      <c r="K15" s="309"/>
      <c r="L15" s="310"/>
      <c r="M15" s="311"/>
      <c r="N15" s="472"/>
      <c r="O15" s="509"/>
      <c r="P15" s="510"/>
    </row>
    <row r="16" spans="1:17" ht="15" customHeight="1" thickBot="1" x14ac:dyDescent="0.3">
      <c r="B16" s="463" t="s">
        <v>81</v>
      </c>
      <c r="C16" s="464" t="s">
        <v>307</v>
      </c>
      <c r="D16" s="476"/>
      <c r="E16" s="467">
        <v>0.36736111111111108</v>
      </c>
      <c r="F16" s="301">
        <v>0.48958333333333331</v>
      </c>
      <c r="G16" s="301">
        <v>0.51041666666666663</v>
      </c>
      <c r="H16" s="302" t="s">
        <v>308</v>
      </c>
      <c r="I16" s="303" t="s">
        <v>300</v>
      </c>
      <c r="J16" s="304"/>
      <c r="K16" s="301"/>
      <c r="L16" s="302"/>
      <c r="M16" s="303"/>
      <c r="N16" s="470">
        <v>0.76180555555555562</v>
      </c>
      <c r="O16" s="482">
        <v>0.39444444444444454</v>
      </c>
      <c r="P16" s="508"/>
    </row>
    <row r="17" spans="2:16" ht="15" customHeight="1" thickBot="1" x14ac:dyDescent="0.3">
      <c r="B17" s="463"/>
      <c r="C17" s="465"/>
      <c r="D17" s="477"/>
      <c r="E17" s="468"/>
      <c r="F17" s="305">
        <v>0.69166666666666676</v>
      </c>
      <c r="G17" s="305">
        <v>0.71319444444444446</v>
      </c>
      <c r="H17" s="306"/>
      <c r="I17" s="307" t="s">
        <v>302</v>
      </c>
      <c r="J17" s="308"/>
      <c r="K17" s="305"/>
      <c r="L17" s="306"/>
      <c r="M17" s="307"/>
      <c r="N17" s="471"/>
      <c r="O17" s="482"/>
      <c r="P17" s="508"/>
    </row>
    <row r="18" spans="2:16" ht="15" customHeight="1" thickBot="1" x14ac:dyDescent="0.3">
      <c r="B18" s="463"/>
      <c r="C18" s="466"/>
      <c r="D18" s="478"/>
      <c r="E18" s="469"/>
      <c r="F18" s="309"/>
      <c r="G18" s="309"/>
      <c r="H18" s="310"/>
      <c r="I18" s="311"/>
      <c r="J18" s="312"/>
      <c r="K18" s="309"/>
      <c r="L18" s="310"/>
      <c r="M18" s="311"/>
      <c r="N18" s="472"/>
      <c r="O18" s="482"/>
      <c r="P18" s="508"/>
    </row>
    <row r="19" spans="2:16" ht="15" customHeight="1" thickBot="1" x14ac:dyDescent="0.3">
      <c r="B19" s="463" t="s">
        <v>82</v>
      </c>
      <c r="C19" s="464"/>
      <c r="D19" s="476"/>
      <c r="E19" s="467">
        <v>0.3298611111111111</v>
      </c>
      <c r="F19" s="301">
        <v>0.46666666666666662</v>
      </c>
      <c r="G19" s="301">
        <v>0.5083333333333333</v>
      </c>
      <c r="H19" s="302" t="s">
        <v>301</v>
      </c>
      <c r="I19" s="303" t="s">
        <v>300</v>
      </c>
      <c r="J19" s="304"/>
      <c r="K19" s="301"/>
      <c r="L19" s="302"/>
      <c r="M19" s="303"/>
      <c r="N19" s="470">
        <v>0.65138888888888891</v>
      </c>
      <c r="O19" s="482">
        <v>0.3215277777777778</v>
      </c>
      <c r="P19" s="508"/>
    </row>
    <row r="20" spans="2:16" ht="15" customHeight="1" thickBot="1" x14ac:dyDescent="0.3">
      <c r="B20" s="463"/>
      <c r="C20" s="465"/>
      <c r="D20" s="477"/>
      <c r="E20" s="468"/>
      <c r="F20" s="305"/>
      <c r="G20" s="305"/>
      <c r="H20" s="306"/>
      <c r="I20" s="307"/>
      <c r="J20" s="308"/>
      <c r="K20" s="305"/>
      <c r="L20" s="306"/>
      <c r="M20" s="307"/>
      <c r="N20" s="471"/>
      <c r="O20" s="482"/>
      <c r="P20" s="508"/>
    </row>
    <row r="21" spans="2:16" ht="15" customHeight="1" thickBot="1" x14ac:dyDescent="0.3">
      <c r="B21" s="463"/>
      <c r="C21" s="466"/>
      <c r="D21" s="478"/>
      <c r="E21" s="469"/>
      <c r="F21" s="309"/>
      <c r="G21" s="309"/>
      <c r="H21" s="310"/>
      <c r="I21" s="311"/>
      <c r="J21" s="312"/>
      <c r="K21" s="309"/>
      <c r="L21" s="310"/>
      <c r="M21" s="311"/>
      <c r="N21" s="472"/>
      <c r="O21" s="482"/>
      <c r="P21" s="508"/>
    </row>
    <row r="22" spans="2:16" ht="15" customHeight="1" thickBot="1" x14ac:dyDescent="0.3">
      <c r="B22" s="463" t="s">
        <v>83</v>
      </c>
      <c r="C22" s="464"/>
      <c r="D22" s="476"/>
      <c r="E22" s="467">
        <v>0.34375</v>
      </c>
      <c r="F22" s="301">
        <v>0.45833333333333331</v>
      </c>
      <c r="G22" s="301">
        <v>0.50069444444444444</v>
      </c>
      <c r="H22" s="302" t="s">
        <v>301</v>
      </c>
      <c r="I22" s="303" t="s">
        <v>300</v>
      </c>
      <c r="J22" s="304"/>
      <c r="K22" s="301"/>
      <c r="L22" s="302"/>
      <c r="M22" s="303"/>
      <c r="N22" s="470">
        <v>0.77569444444444446</v>
      </c>
      <c r="O22" s="509">
        <v>0.43194444444444446</v>
      </c>
      <c r="P22" s="510"/>
    </row>
    <row r="23" spans="2:16" ht="15" customHeight="1" thickBot="1" x14ac:dyDescent="0.3">
      <c r="B23" s="463"/>
      <c r="C23" s="465"/>
      <c r="D23" s="477"/>
      <c r="E23" s="468"/>
      <c r="F23" s="305">
        <v>0.65277777777777779</v>
      </c>
      <c r="G23" s="305">
        <v>0.66666666666666663</v>
      </c>
      <c r="H23" s="306"/>
      <c r="I23" s="307" t="s">
        <v>302</v>
      </c>
      <c r="J23" s="308"/>
      <c r="K23" s="305"/>
      <c r="L23" s="306"/>
      <c r="M23" s="307"/>
      <c r="N23" s="471"/>
      <c r="O23" s="509"/>
      <c r="P23" s="510"/>
    </row>
    <row r="24" spans="2:16" ht="15" customHeight="1" thickBot="1" x14ac:dyDescent="0.3">
      <c r="B24" s="463"/>
      <c r="C24" s="466"/>
      <c r="D24" s="478"/>
      <c r="E24" s="469"/>
      <c r="F24" s="309"/>
      <c r="G24" s="309"/>
      <c r="H24" s="310"/>
      <c r="I24" s="311"/>
      <c r="J24" s="312"/>
      <c r="K24" s="309"/>
      <c r="L24" s="310"/>
      <c r="M24" s="311"/>
      <c r="N24" s="472"/>
      <c r="O24" s="509"/>
      <c r="P24" s="510"/>
    </row>
    <row r="25" spans="2:16" ht="15" customHeight="1" thickBot="1" x14ac:dyDescent="0.3">
      <c r="B25" s="463" t="s">
        <v>84</v>
      </c>
      <c r="C25" s="464" t="s">
        <v>303</v>
      </c>
      <c r="D25" s="476"/>
      <c r="E25" s="467"/>
      <c r="F25" s="301"/>
      <c r="G25" s="301"/>
      <c r="H25" s="302"/>
      <c r="I25" s="303"/>
      <c r="J25" s="304"/>
      <c r="K25" s="301"/>
      <c r="L25" s="302"/>
      <c r="M25" s="303"/>
      <c r="N25" s="470"/>
      <c r="O25" s="482"/>
      <c r="P25" s="508"/>
    </row>
    <row r="26" spans="2:16" ht="15" customHeight="1" thickBot="1" x14ac:dyDescent="0.3">
      <c r="B26" s="463"/>
      <c r="C26" s="465"/>
      <c r="D26" s="477"/>
      <c r="E26" s="468"/>
      <c r="F26" s="305"/>
      <c r="G26" s="305"/>
      <c r="H26" s="306"/>
      <c r="I26" s="307"/>
      <c r="J26" s="308"/>
      <c r="K26" s="305"/>
      <c r="L26" s="306"/>
      <c r="M26" s="307"/>
      <c r="N26" s="471"/>
      <c r="O26" s="482"/>
      <c r="P26" s="508"/>
    </row>
    <row r="27" spans="2:16" ht="15" customHeight="1" thickBot="1" x14ac:dyDescent="0.3">
      <c r="B27" s="463"/>
      <c r="C27" s="466"/>
      <c r="D27" s="478"/>
      <c r="E27" s="469"/>
      <c r="F27" s="309"/>
      <c r="G27" s="309"/>
      <c r="H27" s="310"/>
      <c r="I27" s="311"/>
      <c r="J27" s="312"/>
      <c r="K27" s="309"/>
      <c r="L27" s="310"/>
      <c r="M27" s="311"/>
      <c r="N27" s="472"/>
      <c r="O27" s="482"/>
      <c r="P27" s="508"/>
    </row>
    <row r="28" spans="2:16" ht="15" customHeight="1" thickBot="1" x14ac:dyDescent="0.3">
      <c r="B28" s="463" t="s">
        <v>85</v>
      </c>
      <c r="C28" s="464" t="s">
        <v>303</v>
      </c>
      <c r="D28" s="476"/>
      <c r="E28" s="467"/>
      <c r="F28" s="301"/>
      <c r="G28" s="301"/>
      <c r="H28" s="302"/>
      <c r="I28" s="303"/>
      <c r="J28" s="304"/>
      <c r="K28" s="301"/>
      <c r="L28" s="302"/>
      <c r="M28" s="303"/>
      <c r="N28" s="470"/>
      <c r="O28" s="482"/>
      <c r="P28" s="508"/>
    </row>
    <row r="29" spans="2:16" ht="15" customHeight="1" thickBot="1" x14ac:dyDescent="0.3">
      <c r="B29" s="463"/>
      <c r="C29" s="465"/>
      <c r="D29" s="477"/>
      <c r="E29" s="468"/>
      <c r="F29" s="305"/>
      <c r="G29" s="305"/>
      <c r="H29" s="306"/>
      <c r="I29" s="307"/>
      <c r="J29" s="308"/>
      <c r="K29" s="305"/>
      <c r="L29" s="306"/>
      <c r="M29" s="307"/>
      <c r="N29" s="471"/>
      <c r="O29" s="482"/>
      <c r="P29" s="508"/>
    </row>
    <row r="30" spans="2:16" ht="15" customHeight="1" thickBot="1" x14ac:dyDescent="0.3">
      <c r="B30" s="463"/>
      <c r="C30" s="466"/>
      <c r="D30" s="478"/>
      <c r="E30" s="469"/>
      <c r="F30" s="309"/>
      <c r="G30" s="309"/>
      <c r="H30" s="310"/>
      <c r="I30" s="311"/>
      <c r="J30" s="312"/>
      <c r="K30" s="309"/>
      <c r="L30" s="310"/>
      <c r="M30" s="311"/>
      <c r="N30" s="472"/>
      <c r="O30" s="482"/>
      <c r="P30" s="508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73" t="s">
        <v>95</v>
      </c>
      <c r="C35" s="474"/>
      <c r="D35" s="474"/>
      <c r="E35" s="474"/>
      <c r="F35" s="474"/>
      <c r="G35" s="474"/>
      <c r="H35" s="474"/>
      <c r="I35" s="474"/>
      <c r="J35" s="474"/>
      <c r="K35" s="475"/>
      <c r="L35" s="479" t="s">
        <v>96</v>
      </c>
      <c r="M35" s="480"/>
      <c r="N35" s="480"/>
      <c r="O35" s="480"/>
      <c r="P35" s="481"/>
    </row>
    <row r="36" spans="2:17" ht="15" customHeight="1" x14ac:dyDescent="0.25">
      <c r="B36" s="442"/>
      <c r="C36" s="443"/>
      <c r="D36" s="444"/>
      <c r="E36" s="443"/>
      <c r="F36" s="443"/>
      <c r="G36" s="443"/>
      <c r="H36" s="443"/>
      <c r="I36" s="443"/>
      <c r="J36" s="443"/>
      <c r="K36" s="445"/>
      <c r="L36" s="452" t="s">
        <v>97</v>
      </c>
      <c r="M36" s="394"/>
      <c r="N36" s="395"/>
      <c r="O36" s="452" t="s">
        <v>98</v>
      </c>
      <c r="P36" s="456"/>
    </row>
    <row r="37" spans="2:17" ht="15" customHeight="1" x14ac:dyDescent="0.25">
      <c r="B37" s="446"/>
      <c r="C37" s="447"/>
      <c r="D37" s="447"/>
      <c r="E37" s="447"/>
      <c r="F37" s="447"/>
      <c r="G37" s="447"/>
      <c r="H37" s="447"/>
      <c r="I37" s="447"/>
      <c r="J37" s="447"/>
      <c r="K37" s="448"/>
      <c r="L37" s="453"/>
      <c r="M37" s="444"/>
      <c r="N37" s="454"/>
      <c r="O37" s="457"/>
      <c r="P37" s="458"/>
    </row>
    <row r="38" spans="2:17" ht="15" customHeight="1" x14ac:dyDescent="0.25">
      <c r="B38" s="446"/>
      <c r="C38" s="447"/>
      <c r="D38" s="447"/>
      <c r="E38" s="447"/>
      <c r="F38" s="447"/>
      <c r="G38" s="447"/>
      <c r="H38" s="447"/>
      <c r="I38" s="447"/>
      <c r="J38" s="447"/>
      <c r="K38" s="448"/>
      <c r="L38" s="446"/>
      <c r="M38" s="455"/>
      <c r="N38" s="448"/>
      <c r="O38" s="459"/>
      <c r="P38" s="460"/>
    </row>
    <row r="39" spans="2:17" ht="15" customHeight="1" x14ac:dyDescent="0.25">
      <c r="B39" s="446"/>
      <c r="C39" s="447"/>
      <c r="D39" s="447"/>
      <c r="E39" s="447"/>
      <c r="F39" s="447"/>
      <c r="G39" s="447"/>
      <c r="H39" s="447"/>
      <c r="I39" s="447"/>
      <c r="J39" s="447"/>
      <c r="K39" s="448"/>
      <c r="L39" s="446"/>
      <c r="M39" s="455"/>
      <c r="N39" s="448"/>
      <c r="O39" s="459"/>
      <c r="P39" s="460"/>
    </row>
    <row r="40" spans="2:17" ht="15" customHeight="1" x14ac:dyDescent="0.25">
      <c r="B40" s="449"/>
      <c r="C40" s="450"/>
      <c r="D40" s="450"/>
      <c r="E40" s="450"/>
      <c r="F40" s="450"/>
      <c r="G40" s="450"/>
      <c r="H40" s="450"/>
      <c r="I40" s="450"/>
      <c r="J40" s="450"/>
      <c r="K40" s="451"/>
      <c r="L40" s="449"/>
      <c r="M40" s="450"/>
      <c r="N40" s="451"/>
      <c r="O40" s="461"/>
      <c r="P40" s="462"/>
      <c r="Q40" s="24" t="s">
        <v>273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11" t="s">
        <v>139</v>
      </c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168" t="s">
        <v>268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12">
        <f>Inter!I24</f>
        <v>0</v>
      </c>
      <c r="E3" s="512"/>
      <c r="F3" s="512"/>
      <c r="G3" s="512"/>
      <c r="H3" s="172"/>
      <c r="I3" s="173"/>
      <c r="J3" s="174"/>
      <c r="L3" s="175"/>
      <c r="M3" s="173" t="s">
        <v>309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13">
        <v>1</v>
      </c>
      <c r="E5" s="513"/>
      <c r="F5" s="513">
        <v>2</v>
      </c>
      <c r="G5" s="513"/>
      <c r="H5" s="513">
        <v>3</v>
      </c>
      <c r="I5" s="513"/>
      <c r="J5" s="513">
        <v>4</v>
      </c>
      <c r="K5" s="513"/>
      <c r="L5" s="513">
        <v>5</v>
      </c>
      <c r="M5" s="513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7"/>
      <c r="E7" s="268"/>
      <c r="F7" s="267"/>
      <c r="G7" s="268"/>
      <c r="H7" s="267"/>
      <c r="I7" s="268"/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30</v>
      </c>
      <c r="D8" s="269"/>
      <c r="E8" s="270"/>
      <c r="F8" s="269"/>
      <c r="G8" s="270"/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31</v>
      </c>
      <c r="D9" s="269"/>
      <c r="E9" s="270"/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1</v>
      </c>
      <c r="D10" s="269"/>
      <c r="E10" s="270"/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2</v>
      </c>
      <c r="D11" s="269"/>
      <c r="E11" s="270"/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3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4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275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2026-01-06T10:37:41Z</cp:lastPrinted>
  <dcterms:created xsi:type="dcterms:W3CDTF">2024-10-06T20:00:42Z</dcterms:created>
  <dcterms:modified xsi:type="dcterms:W3CDTF">2026-01-08T21:43:16Z</dcterms:modified>
</cp:coreProperties>
</file>