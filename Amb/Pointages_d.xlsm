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Amb\"/>
    </mc:Choice>
  </mc:AlternateContent>
  <bookViews>
    <workbookView xWindow="-120" yWindow="-120" windowWidth="29040" windowHeight="16440" tabRatio="768"/>
  </bookViews>
  <sheets>
    <sheet name="Inter" sheetId="92" r:id="rId1"/>
    <sheet name="Édition Pointages" sheetId="78" r:id="rId2"/>
    <sheet name="Gestion" sheetId="3" r:id="rId3"/>
    <sheet name="Calcul" sheetId="93" r:id="rId4"/>
    <sheet name="GPS_Data" sheetId="99" r:id="rId5"/>
    <sheet name="FHebdo" sheetId="94" r:id="rId6"/>
    <sheet name="Archives" sheetId="85" state="hidden" r:id="rId7"/>
  </sheets>
  <functionGroups builtInGroupCount="18"/>
  <definedNames>
    <definedName name="_xlnm._FilterDatabase" localSheetId="6" hidden="1">Archives!$A$1:$E$7</definedName>
    <definedName name="_xlnm._FilterDatabase" localSheetId="2" hidden="1">Gestion!$A$1:$A$37</definedName>
    <definedName name="liste1">INDIRECT("'Gestion Pointages'!$A$2:$A$"&amp;1+COUNTA(Gestion!$A$2:$A$30))</definedName>
    <definedName name="test">Gestion!$A$2:$A$3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K42" i="93" l="1"/>
  <c r="BJ42" i="93"/>
  <c r="BI42" i="93"/>
  <c r="BH42" i="93"/>
  <c r="BG42" i="93"/>
  <c r="BF42" i="93"/>
  <c r="BE42" i="93"/>
  <c r="BD42" i="93"/>
  <c r="BC42" i="93"/>
  <c r="BB42" i="93"/>
  <c r="BL42" i="93" s="1"/>
  <c r="BK41" i="93"/>
  <c r="BJ41" i="93"/>
  <c r="BI41" i="93"/>
  <c r="BH41" i="93"/>
  <c r="BG41" i="93"/>
  <c r="BF41" i="93"/>
  <c r="BE41" i="93"/>
  <c r="BD41" i="93"/>
  <c r="BC41" i="93"/>
  <c r="BB41" i="93"/>
  <c r="BL41" i="93" s="1"/>
  <c r="BK40" i="93"/>
  <c r="BJ40" i="93"/>
  <c r="BI40" i="93"/>
  <c r="BH40" i="93"/>
  <c r="BG40" i="93"/>
  <c r="BF40" i="93"/>
  <c r="BE40" i="93"/>
  <c r="BD40" i="93"/>
  <c r="BC40" i="93"/>
  <c r="BL40" i="93" s="1"/>
  <c r="BB40" i="93"/>
  <c r="BK39" i="93"/>
  <c r="BJ39" i="93"/>
  <c r="BI39" i="93"/>
  <c r="BH39" i="93"/>
  <c r="BG39" i="93"/>
  <c r="BF39" i="93"/>
  <c r="BE39" i="93"/>
  <c r="BD39" i="93"/>
  <c r="BC39" i="93"/>
  <c r="BB39" i="93"/>
  <c r="BL39" i="93" s="1"/>
  <c r="BK38" i="93"/>
  <c r="BJ38" i="93"/>
  <c r="BI38" i="93"/>
  <c r="BH38" i="93"/>
  <c r="BG38" i="93"/>
  <c r="BF38" i="93"/>
  <c r="BE38" i="93"/>
  <c r="BD38" i="93"/>
  <c r="BC38" i="93"/>
  <c r="BB38" i="93"/>
  <c r="BL38" i="93" s="1"/>
  <c r="BK37" i="93"/>
  <c r="BJ37" i="93"/>
  <c r="BI37" i="93"/>
  <c r="BH37" i="93"/>
  <c r="BG37" i="93"/>
  <c r="BF37" i="93"/>
  <c r="BE37" i="93"/>
  <c r="BD37" i="93"/>
  <c r="BL37" i="93" s="1"/>
  <c r="BC37" i="93"/>
  <c r="BB37" i="93"/>
  <c r="BK36" i="93"/>
  <c r="BJ36" i="93"/>
  <c r="BI36" i="93"/>
  <c r="BH36" i="93"/>
  <c r="BG36" i="93"/>
  <c r="BF36" i="93"/>
  <c r="BE36" i="93"/>
  <c r="BD36" i="93"/>
  <c r="BC36" i="93"/>
  <c r="BB36" i="93"/>
  <c r="BL36" i="93" s="1"/>
  <c r="BK35" i="93"/>
  <c r="BJ35" i="93"/>
  <c r="BI35" i="93"/>
  <c r="BH35" i="93"/>
  <c r="BG35" i="93"/>
  <c r="BF35" i="93"/>
  <c r="BE35" i="93"/>
  <c r="BD35" i="93"/>
  <c r="BC35" i="93"/>
  <c r="BB35" i="93"/>
  <c r="BL35" i="93" s="1"/>
  <c r="BK34" i="93"/>
  <c r="BJ34" i="93"/>
  <c r="BI34" i="93"/>
  <c r="BH34" i="93"/>
  <c r="BG34" i="93"/>
  <c r="BF34" i="93"/>
  <c r="BE34" i="93"/>
  <c r="BD34" i="93"/>
  <c r="BC34" i="93"/>
  <c r="BB34" i="93"/>
  <c r="BL34" i="93" s="1"/>
  <c r="BK33" i="93"/>
  <c r="BJ33" i="93"/>
  <c r="BI33" i="93"/>
  <c r="BH33" i="93"/>
  <c r="BG33" i="93"/>
  <c r="BF33" i="93"/>
  <c r="BE33" i="93"/>
  <c r="BD33" i="93"/>
  <c r="BC33" i="93"/>
  <c r="BB33" i="93"/>
  <c r="BL33" i="93" s="1"/>
  <c r="BK32" i="93"/>
  <c r="BJ32" i="93"/>
  <c r="BI32" i="93"/>
  <c r="BH32" i="93"/>
  <c r="BG32" i="93"/>
  <c r="BF32" i="93"/>
  <c r="BE32" i="93"/>
  <c r="BD32" i="93"/>
  <c r="BC32" i="93"/>
  <c r="BL32" i="93" s="1"/>
  <c r="BB32" i="93"/>
  <c r="BK31" i="93"/>
  <c r="BJ31" i="93"/>
  <c r="BI31" i="93"/>
  <c r="BH31" i="93"/>
  <c r="BG31" i="93"/>
  <c r="BF31" i="93"/>
  <c r="BE31" i="93"/>
  <c r="BD31" i="93"/>
  <c r="BC31" i="93"/>
  <c r="BB31" i="93"/>
  <c r="BL31" i="93" s="1"/>
  <c r="BK30" i="93"/>
  <c r="BJ30" i="93"/>
  <c r="BI30" i="93"/>
  <c r="BH30" i="93"/>
  <c r="BG30" i="93"/>
  <c r="BF30" i="93"/>
  <c r="BE30" i="93"/>
  <c r="BD30" i="93"/>
  <c r="BC30" i="93"/>
  <c r="BB30" i="93"/>
  <c r="BL30" i="93" s="1"/>
  <c r="BK29" i="93"/>
  <c r="BJ29" i="93"/>
  <c r="BI29" i="93"/>
  <c r="BH29" i="93"/>
  <c r="BG29" i="93"/>
  <c r="BF29" i="93"/>
  <c r="BE29" i="93"/>
  <c r="BD29" i="93"/>
  <c r="BL29" i="93" s="1"/>
  <c r="BC29" i="93"/>
  <c r="BB29" i="93"/>
  <c r="BK28" i="93"/>
  <c r="BJ28" i="93"/>
  <c r="BI28" i="93"/>
  <c r="BH28" i="93"/>
  <c r="BG28" i="93"/>
  <c r="BF28" i="93"/>
  <c r="BE28" i="93"/>
  <c r="BD28" i="93"/>
  <c r="BC28" i="93"/>
  <c r="BB28" i="93"/>
  <c r="BL28" i="93" s="1"/>
  <c r="BK27" i="93"/>
  <c r="BJ27" i="93"/>
  <c r="BI27" i="93"/>
  <c r="BH27" i="93"/>
  <c r="BG27" i="93"/>
  <c r="BF27" i="93"/>
  <c r="BE27" i="93"/>
  <c r="BD27" i="93"/>
  <c r="BC27" i="93"/>
  <c r="BB27" i="93"/>
  <c r="BL27" i="93" s="1"/>
  <c r="BK26" i="93"/>
  <c r="BJ26" i="93"/>
  <c r="BI26" i="93"/>
  <c r="BH26" i="93"/>
  <c r="BG26" i="93"/>
  <c r="BF26" i="93"/>
  <c r="BE26" i="93"/>
  <c r="BD26" i="93"/>
  <c r="BC26" i="93"/>
  <c r="BB26" i="93"/>
  <c r="BL26" i="93" s="1"/>
  <c r="BK25" i="93"/>
  <c r="BJ25" i="93"/>
  <c r="BI25" i="93"/>
  <c r="BH25" i="93"/>
  <c r="BG25" i="93"/>
  <c r="BF25" i="93"/>
  <c r="BE25" i="93"/>
  <c r="BD25" i="93"/>
  <c r="BC25" i="93"/>
  <c r="BB25" i="93"/>
  <c r="BL25" i="93" s="1"/>
  <c r="BK24" i="93"/>
  <c r="BJ24" i="93"/>
  <c r="BI24" i="93"/>
  <c r="BH24" i="93"/>
  <c r="BG24" i="93"/>
  <c r="BF24" i="93"/>
  <c r="BE24" i="93"/>
  <c r="BD24" i="93"/>
  <c r="BC24" i="93"/>
  <c r="BL24" i="93" s="1"/>
  <c r="BB24" i="93"/>
  <c r="BK23" i="93"/>
  <c r="BJ23" i="93"/>
  <c r="BI23" i="93"/>
  <c r="BH23" i="93"/>
  <c r="BG23" i="93"/>
  <c r="BF23" i="93"/>
  <c r="BE23" i="93"/>
  <c r="BD23" i="93"/>
  <c r="BC23" i="93"/>
  <c r="BB23" i="93"/>
  <c r="BL23" i="93" s="1"/>
  <c r="BK22" i="93"/>
  <c r="BJ22" i="93"/>
  <c r="BI22" i="93"/>
  <c r="BH22" i="93"/>
  <c r="BG22" i="93"/>
  <c r="BF22" i="93"/>
  <c r="BE22" i="93"/>
  <c r="BD22" i="93"/>
  <c r="BC22" i="93"/>
  <c r="BB22" i="93"/>
  <c r="BL22" i="93" s="1"/>
  <c r="BK21" i="93"/>
  <c r="BJ21" i="93"/>
  <c r="BI21" i="93"/>
  <c r="BH21" i="93"/>
  <c r="BG21" i="93"/>
  <c r="BF21" i="93"/>
  <c r="BE21" i="93"/>
  <c r="BD21" i="93"/>
  <c r="BL21" i="93" s="1"/>
  <c r="BC21" i="93"/>
  <c r="BB21" i="93"/>
  <c r="BK20" i="93"/>
  <c r="BJ20" i="93"/>
  <c r="BI20" i="93"/>
  <c r="BH20" i="93"/>
  <c r="BG20" i="93"/>
  <c r="BF20" i="93"/>
  <c r="BE20" i="93"/>
  <c r="BD20" i="93"/>
  <c r="BC20" i="93"/>
  <c r="BB20" i="93"/>
  <c r="BL20" i="93" s="1"/>
  <c r="BK19" i="93"/>
  <c r="BJ19" i="93"/>
  <c r="BI19" i="93"/>
  <c r="BH19" i="93"/>
  <c r="BG19" i="93"/>
  <c r="BF19" i="93"/>
  <c r="BE19" i="93"/>
  <c r="BD19" i="93"/>
  <c r="BC19" i="93"/>
  <c r="BB19" i="93"/>
  <c r="BL19" i="93" s="1"/>
  <c r="BK18" i="93"/>
  <c r="BJ18" i="93"/>
  <c r="BI18" i="93"/>
  <c r="BH18" i="93"/>
  <c r="BG18" i="93"/>
  <c r="BF18" i="93"/>
  <c r="BE18" i="93"/>
  <c r="BD18" i="93"/>
  <c r="BC18" i="93"/>
  <c r="BB18" i="93"/>
  <c r="BL18" i="93" s="1"/>
  <c r="BK17" i="93"/>
  <c r="BJ17" i="93"/>
  <c r="BI17" i="93"/>
  <c r="BH17" i="93"/>
  <c r="BG17" i="93"/>
  <c r="BF17" i="93"/>
  <c r="BE17" i="93"/>
  <c r="BD17" i="93"/>
  <c r="BC17" i="93"/>
  <c r="BB17" i="93"/>
  <c r="BL17" i="93" s="1"/>
  <c r="BK16" i="93"/>
  <c r="BJ16" i="93"/>
  <c r="BI16" i="93"/>
  <c r="BH16" i="93"/>
  <c r="BG16" i="93"/>
  <c r="BF16" i="93"/>
  <c r="BE16" i="93"/>
  <c r="BD16" i="93"/>
  <c r="BC16" i="93"/>
  <c r="BB16" i="93"/>
  <c r="BL16" i="93" s="1"/>
  <c r="BK15" i="93"/>
  <c r="BJ15" i="93"/>
  <c r="BI15" i="93"/>
  <c r="BH15" i="93"/>
  <c r="BG15" i="93"/>
  <c r="BF15" i="93"/>
  <c r="BE15" i="93"/>
  <c r="BD15" i="93"/>
  <c r="BC15" i="93"/>
  <c r="BB15" i="93"/>
  <c r="BL15" i="93" s="1"/>
  <c r="BK14" i="93"/>
  <c r="BJ14" i="93"/>
  <c r="BI14" i="93"/>
  <c r="BH14" i="93"/>
  <c r="BG14" i="93"/>
  <c r="BF14" i="93"/>
  <c r="BE14" i="93"/>
  <c r="BD14" i="93"/>
  <c r="BC14" i="93"/>
  <c r="BB14" i="93"/>
  <c r="BL14" i="93" s="1"/>
  <c r="BK13" i="93"/>
  <c r="BJ13" i="93"/>
  <c r="BI13" i="93"/>
  <c r="BH13" i="93"/>
  <c r="BG13" i="93"/>
  <c r="BF13" i="93"/>
  <c r="BE13" i="93"/>
  <c r="BD13" i="93"/>
  <c r="BL13" i="93" s="1"/>
  <c r="BC13" i="93"/>
  <c r="BB13" i="93"/>
  <c r="BK12" i="93"/>
  <c r="BJ12" i="93"/>
  <c r="BI12" i="93"/>
  <c r="BH12" i="93"/>
  <c r="BG12" i="93"/>
  <c r="BF12" i="93"/>
  <c r="BE12" i="93"/>
  <c r="BD12" i="93"/>
  <c r="BC12" i="93"/>
  <c r="BB12" i="93"/>
  <c r="BL12" i="93" s="1"/>
  <c r="BK11" i="93"/>
  <c r="BJ11" i="93"/>
  <c r="BI11" i="93"/>
  <c r="BH11" i="93"/>
  <c r="BG11" i="93"/>
  <c r="BF11" i="93"/>
  <c r="BE11" i="93"/>
  <c r="BD11" i="93"/>
  <c r="BC11" i="93"/>
  <c r="BB11" i="93"/>
  <c r="BL11" i="93" s="1"/>
  <c r="BK10" i="93"/>
  <c r="BJ10" i="93"/>
  <c r="BI10" i="93"/>
  <c r="BH10" i="93"/>
  <c r="BG10" i="93"/>
  <c r="BF10" i="93"/>
  <c r="BE10" i="93"/>
  <c r="BD10" i="93"/>
  <c r="BC10" i="93"/>
  <c r="BB10" i="93"/>
  <c r="BL10" i="93" s="1"/>
  <c r="BK9" i="93"/>
  <c r="BJ9" i="93"/>
  <c r="BI9" i="93"/>
  <c r="BH9" i="93"/>
  <c r="BG9" i="93"/>
  <c r="BF9" i="93"/>
  <c r="BE9" i="93"/>
  <c r="BD9" i="93"/>
  <c r="BC9" i="93"/>
  <c r="BB9" i="93"/>
  <c r="BL9" i="93" s="1"/>
  <c r="BK8" i="93"/>
  <c r="BJ8" i="93"/>
  <c r="BI8" i="93"/>
  <c r="BH8" i="93"/>
  <c r="BG8" i="93"/>
  <c r="BF8" i="93"/>
  <c r="BE8" i="93"/>
  <c r="BD8" i="93"/>
  <c r="BC8" i="93"/>
  <c r="BB8" i="93"/>
  <c r="BL8" i="93" s="1"/>
  <c r="BK7" i="93"/>
  <c r="BJ7" i="93"/>
  <c r="BI7" i="93"/>
  <c r="BH7" i="93"/>
  <c r="BG7" i="93"/>
  <c r="BF7" i="93"/>
  <c r="BE7" i="93"/>
  <c r="BD7" i="93"/>
  <c r="BC7" i="93"/>
  <c r="BB7" i="93"/>
  <c r="BL7" i="93" s="1"/>
  <c r="BK6" i="93"/>
  <c r="BJ6" i="93"/>
  <c r="BI6" i="93"/>
  <c r="BH6" i="93"/>
  <c r="BG6" i="93"/>
  <c r="BF6" i="93"/>
  <c r="BE6" i="93"/>
  <c r="BD6" i="93"/>
  <c r="BC6" i="93"/>
  <c r="BB6" i="93"/>
  <c r="BL6" i="93" s="1"/>
  <c r="BK5" i="93"/>
  <c r="BJ5" i="93"/>
  <c r="BI5" i="93"/>
  <c r="BH5" i="93"/>
  <c r="BG5" i="93"/>
  <c r="BF5" i="93"/>
  <c r="BE5" i="93"/>
  <c r="BD5" i="93"/>
  <c r="BC5" i="93"/>
  <c r="BB5" i="93"/>
  <c r="BL5" i="93" s="1"/>
  <c r="BL43" i="93" l="1"/>
  <c r="D4" i="94"/>
  <c r="BK43" i="93"/>
  <c r="BJ43" i="93"/>
  <c r="BI43" i="93"/>
  <c r="BH43" i="93"/>
  <c r="BG43" i="93"/>
  <c r="BF43" i="93"/>
  <c r="BE43" i="93"/>
  <c r="BD43" i="93"/>
  <c r="BC43" i="93"/>
  <c r="BB43" i="93"/>
  <c r="BA42" i="93"/>
  <c r="AZ42" i="93"/>
  <c r="AY42" i="93"/>
  <c r="AX42" i="93"/>
  <c r="AW42" i="93"/>
  <c r="AV42" i="93"/>
  <c r="AU42" i="93"/>
  <c r="AT42" i="93"/>
  <c r="AS42" i="93"/>
  <c r="AR42" i="93"/>
  <c r="AQ42" i="93"/>
  <c r="AP42" i="93"/>
  <c r="AO42" i="93"/>
  <c r="AN42" i="93"/>
  <c r="AM42" i="93"/>
  <c r="AL42" i="93"/>
  <c r="AK42" i="93"/>
  <c r="AJ42" i="93"/>
  <c r="AI42" i="93"/>
  <c r="AH42" i="93"/>
  <c r="AG42" i="93"/>
  <c r="AF42" i="93"/>
  <c r="AE42" i="93"/>
  <c r="AD42" i="93"/>
  <c r="AC42" i="93"/>
  <c r="AB42" i="93"/>
  <c r="AA42" i="93"/>
  <c r="Z42" i="93"/>
  <c r="Y42" i="93"/>
  <c r="X42" i="93"/>
  <c r="W42" i="93"/>
  <c r="V42" i="93"/>
  <c r="U42" i="93"/>
  <c r="BA41" i="93"/>
  <c r="AZ41" i="93"/>
  <c r="AY41" i="93"/>
  <c r="AX41" i="93"/>
  <c r="AW41" i="93"/>
  <c r="AV41" i="93"/>
  <c r="AU41" i="93"/>
  <c r="AT41" i="93"/>
  <c r="AS41" i="93"/>
  <c r="AR41" i="93"/>
  <c r="AQ41" i="93"/>
  <c r="AP41" i="93"/>
  <c r="AO41" i="93"/>
  <c r="AN41" i="93"/>
  <c r="AM41" i="93"/>
  <c r="AL41" i="93"/>
  <c r="AK41" i="93"/>
  <c r="AJ41" i="93"/>
  <c r="AI41" i="93"/>
  <c r="AH41" i="93"/>
  <c r="AG41" i="93"/>
  <c r="AF41" i="93"/>
  <c r="AE41" i="93"/>
  <c r="AD41" i="93"/>
  <c r="AC41" i="93"/>
  <c r="AB41" i="93"/>
  <c r="AA41" i="93"/>
  <c r="Z41" i="93"/>
  <c r="Y41" i="93"/>
  <c r="X41" i="93"/>
  <c r="W41" i="93"/>
  <c r="V41" i="93"/>
  <c r="U41" i="93"/>
  <c r="BA40" i="93"/>
  <c r="AZ40" i="93"/>
  <c r="AY40" i="93"/>
  <c r="AX40" i="93"/>
  <c r="AW40" i="93"/>
  <c r="AV40" i="93"/>
  <c r="AU40" i="93"/>
  <c r="AT40" i="93"/>
  <c r="AS40" i="93"/>
  <c r="AR40" i="93"/>
  <c r="AQ40" i="93"/>
  <c r="AP40" i="93"/>
  <c r="AO40" i="93"/>
  <c r="AN40" i="93"/>
  <c r="AM40" i="93"/>
  <c r="AL40" i="93"/>
  <c r="AK40" i="93"/>
  <c r="AJ40" i="93"/>
  <c r="AI40" i="93"/>
  <c r="AH40" i="93"/>
  <c r="AG40" i="93"/>
  <c r="AF40" i="93"/>
  <c r="AE40" i="93"/>
  <c r="AD40" i="93"/>
  <c r="AC40" i="93"/>
  <c r="AB40" i="93"/>
  <c r="AA40" i="93"/>
  <c r="Z40" i="93"/>
  <c r="Y40" i="93"/>
  <c r="X40" i="93"/>
  <c r="W40" i="93"/>
  <c r="V40" i="93"/>
  <c r="U40" i="93"/>
  <c r="AW39" i="93"/>
  <c r="AX39" i="93" s="1"/>
  <c r="AU39" i="93"/>
  <c r="AV39" i="93" s="1"/>
  <c r="AS39" i="93"/>
  <c r="AT39" i="93" s="1"/>
  <c r="AR39" i="93"/>
  <c r="AQ39" i="93"/>
  <c r="AP39" i="93"/>
  <c r="AO39" i="93"/>
  <c r="AW38" i="93"/>
  <c r="AX38" i="93" s="1"/>
  <c r="AU38" i="93"/>
  <c r="AV38" i="93" s="1"/>
  <c r="AS38" i="93"/>
  <c r="AP38" i="93"/>
  <c r="AO38" i="93"/>
  <c r="AW37" i="93"/>
  <c r="AX37" i="93" s="1"/>
  <c r="AU37" i="93"/>
  <c r="AV37" i="93" s="1"/>
  <c r="AS37" i="93"/>
  <c r="AT37" i="93" s="1"/>
  <c r="AP37" i="93"/>
  <c r="AO37" i="93"/>
  <c r="AW36" i="93"/>
  <c r="AX36" i="93" s="1"/>
  <c r="AU36" i="93"/>
  <c r="AV36" i="93" s="1"/>
  <c r="AS36" i="93"/>
  <c r="AT36" i="93" s="1"/>
  <c r="AP36" i="93"/>
  <c r="AO36" i="93"/>
  <c r="AW35" i="93"/>
  <c r="AX35" i="93" s="1"/>
  <c r="AU35" i="93"/>
  <c r="AV35" i="93" s="1"/>
  <c r="AS35" i="93"/>
  <c r="AP35" i="93"/>
  <c r="AO35" i="93"/>
  <c r="AW34" i="93"/>
  <c r="AX34" i="93" s="1"/>
  <c r="AU34" i="93"/>
  <c r="AV34" i="93" s="1"/>
  <c r="AS34" i="93"/>
  <c r="AT34" i="93" s="1"/>
  <c r="AP34" i="93"/>
  <c r="AO34" i="93"/>
  <c r="AW33" i="93"/>
  <c r="AX33" i="93" s="1"/>
  <c r="AU33" i="93"/>
  <c r="AV33" i="93" s="1"/>
  <c r="AS33" i="93"/>
  <c r="AP33" i="93"/>
  <c r="AO33" i="93"/>
  <c r="AW32" i="93"/>
  <c r="AX32" i="93" s="1"/>
  <c r="AU32" i="93"/>
  <c r="AV32" i="93" s="1"/>
  <c r="AS32" i="93"/>
  <c r="AT32" i="93" s="1"/>
  <c r="AP32" i="93"/>
  <c r="AO32" i="93"/>
  <c r="AW31" i="93"/>
  <c r="AX31" i="93" s="1"/>
  <c r="AU31" i="93"/>
  <c r="AV31" i="93" s="1"/>
  <c r="AS31" i="93"/>
  <c r="AT31" i="93" s="1"/>
  <c r="AP31" i="93"/>
  <c r="AO31" i="93"/>
  <c r="AW30" i="93"/>
  <c r="AX30" i="93" s="1"/>
  <c r="AU30" i="93"/>
  <c r="AV30" i="93" s="1"/>
  <c r="AS30" i="93"/>
  <c r="AP30" i="93"/>
  <c r="AO30" i="93"/>
  <c r="AW29" i="93"/>
  <c r="AX29" i="93" s="1"/>
  <c r="AU29" i="93"/>
  <c r="AV29" i="93" s="1"/>
  <c r="AS29" i="93"/>
  <c r="AP29" i="93"/>
  <c r="AO29" i="93"/>
  <c r="AW28" i="93"/>
  <c r="AX28" i="93" s="1"/>
  <c r="AU28" i="93"/>
  <c r="AV28" i="93" s="1"/>
  <c r="AS28" i="93"/>
  <c r="AT28" i="93" s="1"/>
  <c r="AP28" i="93"/>
  <c r="AO28" i="93"/>
  <c r="AW27" i="93"/>
  <c r="AX27" i="93" s="1"/>
  <c r="AU27" i="93"/>
  <c r="AV27" i="93" s="1"/>
  <c r="AS27" i="93"/>
  <c r="AP27" i="93"/>
  <c r="AO27" i="93"/>
  <c r="AW26" i="93"/>
  <c r="AX26" i="93" s="1"/>
  <c r="AU26" i="93"/>
  <c r="AV26" i="93" s="1"/>
  <c r="AS26" i="93"/>
  <c r="AT26" i="93" s="1"/>
  <c r="AP26" i="93"/>
  <c r="AO26" i="93"/>
  <c r="AW25" i="93"/>
  <c r="AX25" i="93" s="1"/>
  <c r="AU25" i="93"/>
  <c r="AV25" i="93" s="1"/>
  <c r="AS25" i="93"/>
  <c r="AT25" i="93" s="1"/>
  <c r="AP25" i="93"/>
  <c r="AO25" i="93"/>
  <c r="AW24" i="93"/>
  <c r="AX24" i="93" s="1"/>
  <c r="AU24" i="93"/>
  <c r="AV24" i="93" s="1"/>
  <c r="AS24" i="93"/>
  <c r="AT24" i="93" s="1"/>
  <c r="AP24" i="93"/>
  <c r="AO24" i="93"/>
  <c r="AS23" i="93"/>
  <c r="AT23" i="93" s="1"/>
  <c r="AU23" i="93" s="1"/>
  <c r="AP23" i="93"/>
  <c r="AO23" i="93"/>
  <c r="AS22" i="93"/>
  <c r="AP22" i="93"/>
  <c r="AO22" i="93"/>
  <c r="AS21" i="93"/>
  <c r="AP21" i="93"/>
  <c r="AO21" i="93"/>
  <c r="AS20" i="93"/>
  <c r="AT20" i="93" s="1"/>
  <c r="AU20" i="93" s="1"/>
  <c r="AV20" i="93" s="1"/>
  <c r="AP20" i="93"/>
  <c r="AO20" i="93"/>
  <c r="AS19" i="93"/>
  <c r="AP19" i="93"/>
  <c r="AO19" i="93"/>
  <c r="AW18" i="93"/>
  <c r="AX18" i="93" s="1"/>
  <c r="AU18" i="93"/>
  <c r="AV18" i="93" s="1"/>
  <c r="AS18" i="93"/>
  <c r="AT18" i="93" s="1"/>
  <c r="AP18" i="93"/>
  <c r="AO18" i="93"/>
  <c r="AW17" i="93"/>
  <c r="AX17" i="93" s="1"/>
  <c r="AU17" i="93"/>
  <c r="AV17" i="93" s="1"/>
  <c r="AS17" i="93"/>
  <c r="AP17" i="93"/>
  <c r="AO17" i="93"/>
  <c r="AS16" i="93"/>
  <c r="AT16" i="93" s="1"/>
  <c r="AP16" i="93"/>
  <c r="AO16" i="93"/>
  <c r="AS15" i="93"/>
  <c r="AP15" i="93"/>
  <c r="AO15" i="93"/>
  <c r="AS14" i="93"/>
  <c r="AP14" i="93"/>
  <c r="AO14" i="93"/>
  <c r="AS13" i="93"/>
  <c r="AP13" i="93"/>
  <c r="AO13" i="93"/>
  <c r="AS12" i="93"/>
  <c r="AT12" i="93" s="1"/>
  <c r="AP12" i="93"/>
  <c r="AO12" i="93"/>
  <c r="AW11" i="93"/>
  <c r="AX11" i="93" s="1"/>
  <c r="AU11" i="93"/>
  <c r="AV11" i="93" s="1"/>
  <c r="AS11" i="93"/>
  <c r="AP11" i="93"/>
  <c r="AO11" i="93"/>
  <c r="AW10" i="93"/>
  <c r="AX10" i="93" s="1"/>
  <c r="AU10" i="93"/>
  <c r="AV10" i="93" s="1"/>
  <c r="AS10" i="93"/>
  <c r="AT10" i="93" s="1"/>
  <c r="AP10" i="93"/>
  <c r="AO10" i="93"/>
  <c r="AS9" i="93"/>
  <c r="AT9" i="93" s="1"/>
  <c r="AP9" i="93"/>
  <c r="AO9" i="93"/>
  <c r="AS8" i="93"/>
  <c r="AT8" i="93" s="1"/>
  <c r="AP8" i="93"/>
  <c r="AO8" i="93"/>
  <c r="AS7" i="93"/>
  <c r="AT7" i="93" s="1"/>
  <c r="AP7" i="93"/>
  <c r="AO7" i="93"/>
  <c r="AS6" i="93"/>
  <c r="AP6" i="93"/>
  <c r="AO6" i="93"/>
  <c r="AS5" i="93"/>
  <c r="AT5" i="93" s="1"/>
  <c r="AP5" i="93"/>
  <c r="AO5" i="93"/>
  <c r="AI62" i="92"/>
  <c r="AE62" i="92"/>
  <c r="AB62" i="92"/>
  <c r="AI55" i="92"/>
  <c r="AE55" i="92"/>
  <c r="AI48" i="92"/>
  <c r="AE48" i="92"/>
  <c r="AI41" i="92"/>
  <c r="AE41" i="92"/>
  <c r="AI34" i="92"/>
  <c r="AE34" i="92"/>
  <c r="AI27" i="92"/>
  <c r="AE27" i="92"/>
  <c r="AQ33" i="93" l="1"/>
  <c r="AQ31" i="93"/>
  <c r="AU12" i="93"/>
  <c r="AV12" i="93" s="1"/>
  <c r="AW12" i="93" s="1"/>
  <c r="AX12" i="93" s="1"/>
  <c r="AR12" i="93" s="1"/>
  <c r="AU8" i="93"/>
  <c r="AV8" i="93" s="1"/>
  <c r="AW8" i="93" s="1"/>
  <c r="AX8" i="93" s="1"/>
  <c r="AR8" i="93" s="1"/>
  <c r="AV23" i="93"/>
  <c r="AQ23" i="93" s="1"/>
  <c r="AU9" i="93"/>
  <c r="AV9" i="93" s="1"/>
  <c r="AQ9" i="93" s="1"/>
  <c r="AU16" i="93"/>
  <c r="AV16" i="93" s="1"/>
  <c r="AQ16" i="93" s="1"/>
  <c r="AU5" i="93"/>
  <c r="AV5" i="93" s="1"/>
  <c r="AQ5" i="93" s="1"/>
  <c r="AU7" i="93"/>
  <c r="AV7" i="93" s="1"/>
  <c r="AQ7" i="93" s="1"/>
  <c r="AW20" i="93"/>
  <c r="AX20" i="93" s="1"/>
  <c r="AR20" i="93" s="1"/>
  <c r="AR17" i="93"/>
  <c r="AQ35" i="93"/>
  <c r="AQ38" i="93"/>
  <c r="AQ10" i="93"/>
  <c r="AQ32" i="93"/>
  <c r="AR35" i="93"/>
  <c r="AR38" i="93"/>
  <c r="AR10" i="93"/>
  <c r="AQ11" i="93"/>
  <c r="AZ10" i="93"/>
  <c r="AZ26" i="93"/>
  <c r="AQ25" i="93"/>
  <c r="AZ24" i="93"/>
  <c r="AR25" i="93"/>
  <c r="AZ18" i="93"/>
  <c r="AR33" i="93"/>
  <c r="AQ27" i="93"/>
  <c r="AQ30" i="93"/>
  <c r="AR27" i="93"/>
  <c r="AR30" i="93"/>
  <c r="AQ34" i="93"/>
  <c r="AQ29" i="93"/>
  <c r="AR34" i="93"/>
  <c r="AZ36" i="93"/>
  <c r="AR26" i="93"/>
  <c r="AR29" i="93"/>
  <c r="AZ31" i="93"/>
  <c r="AZ32" i="93"/>
  <c r="AR36" i="93"/>
  <c r="AR11" i="93"/>
  <c r="AQ17" i="93"/>
  <c r="AR18" i="93"/>
  <c r="AR28" i="93"/>
  <c r="AT17" i="93"/>
  <c r="AZ17" i="93" s="1"/>
  <c r="AQ18" i="93"/>
  <c r="AT29" i="93"/>
  <c r="AZ29" i="93" s="1"/>
  <c r="AR31" i="93"/>
  <c r="AY31" i="93" s="1"/>
  <c r="AR32" i="93"/>
  <c r="AQ36" i="93"/>
  <c r="AR37" i="93"/>
  <c r="AT21" i="93"/>
  <c r="AR24" i="93"/>
  <c r="AQ28" i="93"/>
  <c r="AZ34" i="93"/>
  <c r="AT13" i="93"/>
  <c r="AQ20" i="93"/>
  <c r="AT33" i="93"/>
  <c r="AZ33" i="93" s="1"/>
  <c r="AZ39" i="93"/>
  <c r="AQ24" i="93"/>
  <c r="AZ37" i="93"/>
  <c r="AQ12" i="93"/>
  <c r="AQ26" i="93"/>
  <c r="BA10" i="93"/>
  <c r="AZ28" i="93"/>
  <c r="BA26" i="93"/>
  <c r="BA32" i="93"/>
  <c r="BA25" i="93"/>
  <c r="BA18" i="93"/>
  <c r="BA24" i="93"/>
  <c r="AZ25" i="93"/>
  <c r="AT14" i="93"/>
  <c r="AT22" i="93"/>
  <c r="AT30" i="93"/>
  <c r="AZ30" i="93" s="1"/>
  <c r="AQ37" i="93"/>
  <c r="AT38" i="93"/>
  <c r="AZ38" i="93" s="1"/>
  <c r="AT6" i="93"/>
  <c r="AT11" i="93"/>
  <c r="AZ11" i="93" s="1"/>
  <c r="AT19" i="93"/>
  <c r="AT27" i="93"/>
  <c r="AZ27" i="93" s="1"/>
  <c r="AT35" i="93"/>
  <c r="AZ35" i="93" s="1"/>
  <c r="BA37" i="93"/>
  <c r="AY39" i="93"/>
  <c r="BA34" i="93"/>
  <c r="BA31" i="93"/>
  <c r="BA39" i="93"/>
  <c r="BA12" i="93"/>
  <c r="AT15" i="93"/>
  <c r="BA28" i="93"/>
  <c r="BA36" i="93"/>
  <c r="AZ8" i="93" l="1"/>
  <c r="AY10" i="93"/>
  <c r="AQ8" i="93"/>
  <c r="AY8" i="93" s="1"/>
  <c r="AY34" i="93"/>
  <c r="AZ20" i="93"/>
  <c r="BA20" i="93"/>
  <c r="AY12" i="93"/>
  <c r="BA8" i="93"/>
  <c r="AZ12" i="93"/>
  <c r="AU22" i="93"/>
  <c r="AU19" i="93"/>
  <c r="AU14" i="93"/>
  <c r="AW9" i="93"/>
  <c r="AZ9" i="93" s="1"/>
  <c r="AW7" i="93"/>
  <c r="AU15" i="93"/>
  <c r="AW5" i="93"/>
  <c r="AW23" i="93"/>
  <c r="AW16" i="93"/>
  <c r="AY20" i="93"/>
  <c r="AU6" i="93"/>
  <c r="AU21" i="93"/>
  <c r="AY18" i="93"/>
  <c r="AU13" i="93"/>
  <c r="AY26" i="93"/>
  <c r="AY17" i="93"/>
  <c r="AY25" i="93"/>
  <c r="AY32" i="93"/>
  <c r="AY28" i="93"/>
  <c r="AY37" i="93"/>
  <c r="AY24" i="93"/>
  <c r="AY36" i="93"/>
  <c r="AY29" i="93"/>
  <c r="BA35" i="93"/>
  <c r="AY33" i="93"/>
  <c r="BA33" i="93"/>
  <c r="BA29" i="93"/>
  <c r="AY38" i="93"/>
  <c r="BA17" i="93"/>
  <c r="AY11" i="93"/>
  <c r="BA11" i="93"/>
  <c r="AY35" i="93"/>
  <c r="BA38" i="93"/>
  <c r="BA27" i="93"/>
  <c r="BA30" i="93"/>
  <c r="AY30" i="93"/>
  <c r="AY27" i="93"/>
  <c r="AV14" i="93" l="1"/>
  <c r="AW14" i="93" s="1"/>
  <c r="AX14" i="93" s="1"/>
  <c r="AR14" i="93" s="1"/>
  <c r="AX23" i="93"/>
  <c r="AR23" i="93" s="1"/>
  <c r="AY23" i="93" s="1"/>
  <c r="AZ23" i="93"/>
  <c r="BA23" i="93"/>
  <c r="AX5" i="93"/>
  <c r="AR5" i="93" s="1"/>
  <c r="AY5" i="93" s="1"/>
  <c r="AZ5" i="93"/>
  <c r="AV19" i="93"/>
  <c r="AW19" i="93" s="1"/>
  <c r="AX19" i="93" s="1"/>
  <c r="AR19" i="93" s="1"/>
  <c r="AV21" i="93"/>
  <c r="AW21" i="93" s="1"/>
  <c r="AX21" i="93" s="1"/>
  <c r="AR21" i="93" s="1"/>
  <c r="AV15" i="93"/>
  <c r="AV22" i="93"/>
  <c r="AW22" i="93" s="1"/>
  <c r="AX22" i="93" s="1"/>
  <c r="AR22" i="93" s="1"/>
  <c r="AV6" i="93"/>
  <c r="AW6" i="93" s="1"/>
  <c r="AX6" i="93" s="1"/>
  <c r="AR6" i="93" s="1"/>
  <c r="AX7" i="93"/>
  <c r="AR7" i="93" s="1"/>
  <c r="AY7" i="93" s="1"/>
  <c r="AZ7" i="93"/>
  <c r="AX16" i="93"/>
  <c r="AR16" i="93" s="1"/>
  <c r="AY16" i="93" s="1"/>
  <c r="AZ16" i="93"/>
  <c r="AX9" i="93"/>
  <c r="AR9" i="93" s="1"/>
  <c r="AY9" i="93" s="1"/>
  <c r="AV13" i="93"/>
  <c r="AW13" i="93" s="1"/>
  <c r="AX13" i="93" s="1"/>
  <c r="AR13" i="93" s="1"/>
  <c r="AZ14" i="93" l="1"/>
  <c r="BA16" i="93"/>
  <c r="BA9" i="93"/>
  <c r="BA5" i="93"/>
  <c r="BA7" i="93"/>
  <c r="AZ22" i="93"/>
  <c r="AZ19" i="93"/>
  <c r="AQ15" i="93"/>
  <c r="AQ21" i="93"/>
  <c r="AY21" i="93" s="1"/>
  <c r="AQ19" i="93"/>
  <c r="AY19" i="93" s="1"/>
  <c r="BA19" i="93"/>
  <c r="AQ22" i="93"/>
  <c r="AY22" i="93" s="1"/>
  <c r="BA22" i="93"/>
  <c r="AQ14" i="93"/>
  <c r="AY14" i="93" s="1"/>
  <c r="AQ6" i="93"/>
  <c r="AY6" i="93" s="1"/>
  <c r="AZ6" i="93"/>
  <c r="BA6" i="93"/>
  <c r="AW15" i="93"/>
  <c r="AX15" i="93" s="1"/>
  <c r="AR15" i="93" s="1"/>
  <c r="AZ21" i="93"/>
  <c r="AZ13" i="93"/>
  <c r="AQ13" i="93"/>
  <c r="AY13" i="93" s="1"/>
  <c r="BA13" i="93"/>
  <c r="BA14" i="93" l="1"/>
  <c r="BA21" i="93"/>
  <c r="AZ15" i="93"/>
  <c r="AZ43" i="93" s="1"/>
  <c r="BA15" i="93"/>
  <c r="BA43" i="93" s="1"/>
  <c r="AY15" i="93"/>
  <c r="AY43" i="93" s="1"/>
</calcChain>
</file>

<file path=xl/comments1.xml><?xml version="1.0" encoding="utf-8"?>
<comments xmlns="http://schemas.openxmlformats.org/spreadsheetml/2006/main">
  <authors>
    <author>Utilisateur Windows</author>
  </authors>
  <commentList>
    <comment ref="Z27" authorId="0" shapeId="0">
      <text>
        <r>
          <rPr>
            <sz val="9"/>
            <color indexed="81"/>
            <rFont val="Tahoma"/>
            <family val="2"/>
          </rPr>
          <t>25/08/2025</t>
        </r>
      </text>
    </comment>
    <comment ref="Z28" authorId="0" shapeId="0">
      <text>
        <r>
          <rPr>
            <sz val="9"/>
            <color indexed="81"/>
            <rFont val="Tahoma"/>
            <family val="2"/>
          </rPr>
          <t>26/08/2025</t>
        </r>
      </text>
    </comment>
    <comment ref="Z29" authorId="0" shapeId="0">
      <text>
        <r>
          <rPr>
            <sz val="9"/>
            <color indexed="81"/>
            <rFont val="Tahoma"/>
            <family val="2"/>
          </rPr>
          <t>27/08/2025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28/08/2025</t>
        </r>
      </text>
    </comment>
    <comment ref="Z31" authorId="0" shapeId="0">
      <text>
        <r>
          <rPr>
            <sz val="9"/>
            <color indexed="81"/>
            <rFont val="Tahoma"/>
            <family val="2"/>
          </rPr>
          <t>29/08/2025</t>
        </r>
      </text>
    </comment>
    <comment ref="Z32" authorId="0" shapeId="0">
      <text>
        <r>
          <rPr>
            <sz val="9"/>
            <color indexed="81"/>
            <rFont val="Tahoma"/>
            <family val="2"/>
          </rPr>
          <t>30/08/2025</t>
        </r>
      </text>
    </comment>
    <comment ref="Z33" authorId="0" shapeId="0">
      <text>
        <r>
          <rPr>
            <sz val="9"/>
            <color indexed="81"/>
            <rFont val="Tahoma"/>
            <family val="2"/>
          </rPr>
          <t>31/08/2025</t>
        </r>
      </text>
    </comment>
    <comment ref="Z34" authorId="0" shapeId="0">
      <text>
        <r>
          <rPr>
            <sz val="9"/>
            <color indexed="81"/>
            <rFont val="Tahoma"/>
            <family val="2"/>
          </rPr>
          <t>01/09/2025</t>
        </r>
      </text>
    </comment>
    <comment ref="Z35" authorId="0" shapeId="0">
      <text>
        <r>
          <rPr>
            <sz val="9"/>
            <color indexed="81"/>
            <rFont val="Tahoma"/>
            <family val="2"/>
          </rPr>
          <t>02/09/2025</t>
        </r>
      </text>
    </comment>
    <comment ref="Z36" authorId="0" shapeId="0">
      <text>
        <r>
          <rPr>
            <sz val="9"/>
            <color indexed="81"/>
            <rFont val="Tahoma"/>
            <family val="2"/>
          </rPr>
          <t>03/09/2025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04/09/2025</t>
        </r>
      </text>
    </comment>
    <comment ref="Z38" authorId="0" shapeId="0">
      <text>
        <r>
          <rPr>
            <sz val="9"/>
            <color indexed="81"/>
            <rFont val="Tahoma"/>
            <family val="2"/>
          </rPr>
          <t>05/09/2025</t>
        </r>
      </text>
    </comment>
    <comment ref="Z39" authorId="0" shapeId="0">
      <text>
        <r>
          <rPr>
            <sz val="9"/>
            <color indexed="81"/>
            <rFont val="Tahoma"/>
            <family val="2"/>
          </rPr>
          <t>06/09/2025</t>
        </r>
      </text>
    </comment>
    <comment ref="Z40" authorId="0" shapeId="0">
      <text>
        <r>
          <rPr>
            <sz val="9"/>
            <color indexed="81"/>
            <rFont val="Tahoma"/>
            <family val="2"/>
          </rPr>
          <t>07/09/2025</t>
        </r>
      </text>
    </comment>
    <comment ref="Z41" authorId="0" shapeId="0">
      <text>
        <r>
          <rPr>
            <sz val="9"/>
            <color indexed="81"/>
            <rFont val="Tahoma"/>
            <family val="2"/>
          </rPr>
          <t>08/09/2025</t>
        </r>
      </text>
    </comment>
    <comment ref="Z42" authorId="0" shapeId="0">
      <text>
        <r>
          <rPr>
            <sz val="9"/>
            <color indexed="81"/>
            <rFont val="Tahoma"/>
            <family val="2"/>
          </rPr>
          <t>09/09/2025</t>
        </r>
      </text>
    </comment>
    <comment ref="Z43" authorId="0" shapeId="0">
      <text>
        <r>
          <rPr>
            <sz val="9"/>
            <color indexed="81"/>
            <rFont val="Tahoma"/>
            <family val="2"/>
          </rPr>
          <t>10/09/2025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11/09/2025</t>
        </r>
      </text>
    </comment>
    <comment ref="Z45" authorId="0" shapeId="0">
      <text>
        <r>
          <rPr>
            <sz val="9"/>
            <color indexed="81"/>
            <rFont val="Tahoma"/>
            <family val="2"/>
          </rPr>
          <t>12/09/2025</t>
        </r>
      </text>
    </comment>
    <comment ref="Z46" authorId="0" shapeId="0">
      <text>
        <r>
          <rPr>
            <sz val="9"/>
            <color indexed="81"/>
            <rFont val="Tahoma"/>
            <family val="2"/>
          </rPr>
          <t>13/09/2025</t>
        </r>
      </text>
    </comment>
    <comment ref="Z47" authorId="0" shapeId="0">
      <text>
        <r>
          <rPr>
            <sz val="9"/>
            <color indexed="81"/>
            <rFont val="Tahoma"/>
            <family val="2"/>
          </rPr>
          <t>14/09/2025</t>
        </r>
      </text>
    </comment>
    <comment ref="Z48" authorId="0" shapeId="0">
      <text>
        <r>
          <rPr>
            <sz val="9"/>
            <color indexed="81"/>
            <rFont val="Tahoma"/>
            <family val="2"/>
          </rPr>
          <t>15/09/2025</t>
        </r>
      </text>
    </comment>
    <comment ref="Z49" authorId="0" shapeId="0">
      <text>
        <r>
          <rPr>
            <sz val="9"/>
            <color indexed="81"/>
            <rFont val="Tahoma"/>
            <family val="2"/>
          </rPr>
          <t>16/09/2025</t>
        </r>
      </text>
    </comment>
    <comment ref="Z50" authorId="0" shapeId="0">
      <text>
        <r>
          <rPr>
            <sz val="9"/>
            <color indexed="81"/>
            <rFont val="Tahoma"/>
            <family val="2"/>
          </rPr>
          <t>17/09/2025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18/09/2025</t>
        </r>
      </text>
    </comment>
    <comment ref="Z52" authorId="0" shapeId="0">
      <text>
        <r>
          <rPr>
            <sz val="9"/>
            <color indexed="81"/>
            <rFont val="Tahoma"/>
            <family val="2"/>
          </rPr>
          <t>19/09/2025</t>
        </r>
      </text>
    </comment>
    <comment ref="Z53" authorId="0" shapeId="0">
      <text>
        <r>
          <rPr>
            <sz val="9"/>
            <color indexed="81"/>
            <rFont val="Tahoma"/>
            <family val="2"/>
          </rPr>
          <t>20/09/2025</t>
        </r>
      </text>
    </comment>
    <comment ref="Z54" authorId="0" shapeId="0">
      <text>
        <r>
          <rPr>
            <sz val="9"/>
            <color indexed="81"/>
            <rFont val="Tahoma"/>
            <family val="2"/>
          </rPr>
          <t>21/09/2025</t>
        </r>
      </text>
    </comment>
    <comment ref="Z55" authorId="0" shapeId="0">
      <text>
        <r>
          <rPr>
            <sz val="9"/>
            <color indexed="81"/>
            <rFont val="Tahoma"/>
            <family val="2"/>
          </rPr>
          <t>22/09/2025</t>
        </r>
      </text>
    </comment>
    <comment ref="Z56" authorId="0" shapeId="0">
      <text>
        <r>
          <rPr>
            <sz val="9"/>
            <color indexed="81"/>
            <rFont val="Tahoma"/>
            <family val="2"/>
          </rPr>
          <t>23/09/2025</t>
        </r>
      </text>
    </comment>
    <comment ref="Z57" authorId="0" shapeId="0">
      <text>
        <r>
          <rPr>
            <sz val="9"/>
            <color indexed="81"/>
            <rFont val="Tahoma"/>
            <family val="2"/>
          </rPr>
          <t>24/09/2025</t>
        </r>
      </text>
    </comment>
    <comment ref="Z58" authorId="0" shapeId="0">
      <text>
        <r>
          <rPr>
            <sz val="9"/>
            <color indexed="81"/>
            <rFont val="Tahoma"/>
            <family val="2"/>
          </rPr>
          <t>25/09/2025</t>
        </r>
      </text>
    </comment>
    <comment ref="Z59" authorId="0" shapeId="0">
      <text>
        <r>
          <rPr>
            <sz val="9"/>
            <color indexed="81"/>
            <rFont val="Tahoma"/>
            <family val="2"/>
          </rPr>
          <t>26/09/2025</t>
        </r>
      </text>
    </comment>
    <comment ref="Z60" authorId="0" shapeId="0">
      <text>
        <r>
          <rPr>
            <sz val="9"/>
            <color indexed="81"/>
            <rFont val="Tahoma"/>
            <family val="2"/>
          </rPr>
          <t>27/09/2025</t>
        </r>
      </text>
    </comment>
    <comment ref="Z61" authorId="0" shapeId="0">
      <text>
        <r>
          <rPr>
            <sz val="9"/>
            <color indexed="81"/>
            <rFont val="Tahoma"/>
            <family val="2"/>
          </rPr>
          <t>28/09/2025</t>
        </r>
      </text>
    </comment>
  </commentList>
</comments>
</file>

<file path=xl/comments2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43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<sst xmlns="http://schemas.openxmlformats.org/spreadsheetml/2006/main" count="274" uniqueCount="156">
  <si>
    <t>Employé</t>
  </si>
  <si>
    <t>Code</t>
  </si>
  <si>
    <t>Date</t>
  </si>
  <si>
    <t>Heure</t>
  </si>
  <si>
    <t>Pause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</si>
  <si>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</si>
  <si>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</si>
  <si>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</si>
  <si>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</si>
  <si>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</si>
  <si>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</si>
  <si>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Fct</t>
  </si>
  <si>
    <t>GPS</t>
  </si>
  <si>
    <t>Employé :</t>
  </si>
  <si>
    <t>Date :</t>
  </si>
  <si>
    <t>Entrée</t>
  </si>
  <si>
    <t>Sortie</t>
  </si>
  <si>
    <t>Créer un pointage:</t>
  </si>
  <si>
    <t>Fonction:</t>
  </si>
  <si>
    <t>Horaire: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</si>
  <si>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</si>
  <si>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</si>
  <si>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</si>
  <si>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</si>
  <si>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</si>
  <si>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</si>
  <si>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</si>
  <si>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&lt;== NE PAS TOUCHER SANS AVOIR PRÉPARÉ LA BASE DE DONNÉE !!!</t>
  </si>
  <si>
    <t>Branche :</t>
  </si>
  <si>
    <t>App Version</t>
  </si>
  <si>
    <t>Version actuelle de l'application android:</t>
  </si>
  <si>
    <t>Ajouté par l'éditeur</t>
  </si>
  <si>
    <t>Demande de suppression en attente de validation</t>
  </si>
  <si>
    <t>Demande d'ajout en attente de validation</t>
  </si>
  <si>
    <t>Désactivé</t>
  </si>
  <si>
    <t>Contrôle des pointages :</t>
  </si>
  <si>
    <t>Déb/Fin Trav :</t>
  </si>
  <si>
    <t>Seules les couleurs sont modifiable</t>
  </si>
  <si>
    <t>Pause :</t>
  </si>
  <si>
    <t>sur ces deux boutons</t>
  </si>
  <si>
    <t>Pointage en attente de validation</t>
  </si>
  <si>
    <t>Telegram =&gt;</t>
  </si>
  <si>
    <t>Token:</t>
  </si>
  <si>
    <t>Destinataires</t>
  </si>
  <si>
    <t>Configuration:</t>
  </si>
  <si>
    <t>Développement</t>
  </si>
  <si>
    <t>TODO :</t>
  </si>
  <si>
    <t>- Mise en place d'un système temps plein / temps partiel</t>
  </si>
  <si>
    <t>Temps Partiel (x)</t>
  </si>
  <si>
    <t>Code Employé</t>
  </si>
  <si>
    <t>Pointage</t>
  </si>
  <si>
    <t>Alt + A</t>
  </si>
  <si>
    <t>Calendrier</t>
  </si>
  <si>
    <t>TRADUCTION HORAIRE</t>
  </si>
  <si>
    <t>Frais de déplacement</t>
  </si>
  <si>
    <t>Pauses repas</t>
  </si>
  <si>
    <t>Indemnités</t>
  </si>
  <si>
    <t>REPAS</t>
  </si>
  <si>
    <t>Début</t>
  </si>
  <si>
    <t>Fin</t>
  </si>
  <si>
    <t>1/2</t>
  </si>
  <si>
    <t>2/3</t>
  </si>
  <si>
    <t>3/4</t>
  </si>
  <si>
    <t>4/5</t>
  </si>
  <si>
    <t>AM</t>
  </si>
  <si>
    <t>Soir</t>
  </si>
  <si>
    <t>C.C.</t>
  </si>
  <si>
    <t>I.S.</t>
  </si>
  <si>
    <t>I.R.</t>
  </si>
  <si>
    <t>Total</t>
  </si>
  <si>
    <t>Dates</t>
  </si>
  <si>
    <t>11h</t>
  </si>
  <si>
    <t>14h30</t>
  </si>
  <si>
    <t>18h30</t>
  </si>
  <si>
    <t>22h</t>
  </si>
  <si>
    <t>Liste employés :</t>
  </si>
  <si>
    <t>Actualiser</t>
  </si>
  <si>
    <t>Afficher tous les pointages</t>
  </si>
  <si>
    <t>TRAVAIL EFFECTIF</t>
  </si>
  <si>
    <t>C.Pay</t>
  </si>
  <si>
    <t>Lundi</t>
  </si>
  <si>
    <t>Mardi</t>
  </si>
  <si>
    <t>Mercredi</t>
  </si>
  <si>
    <t>Jeudi</t>
  </si>
  <si>
    <t>Vendredi</t>
  </si>
  <si>
    <t>Samedi</t>
  </si>
  <si>
    <t>Dimanche</t>
  </si>
  <si>
    <t>FEUILLE DE ROUTE HEBDOMADAIRE - TAXI</t>
  </si>
  <si>
    <t>Entreprise :</t>
  </si>
  <si>
    <t>LES TRANSPORTS SOSTRANIENS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</si>
  <si>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</si>
  <si>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</si>
  <si>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</si>
  <si>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</si>
  <si>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</si>
  <si>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</si>
  <si>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 -</t>
    </r>
    <r>
      <rPr>
        <b/>
        <i/>
        <sz val="9"/>
        <rFont val="Arial"/>
        <family val="2"/>
      </rPr>
      <t xml:space="preserve"> Ind Rep</t>
    </r>
    <r>
      <rPr>
        <i/>
        <sz val="9"/>
        <rFont val="Arial"/>
        <family val="2"/>
      </rPr>
      <t xml:space="preserve"> &gt; Indemnité Repas</t>
    </r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</si>
  <si>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</si>
  <si>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</si>
  <si>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</si>
  <si>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</si>
  <si>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</si>
  <si>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Temps de travail non arrondi</t>
  </si>
  <si>
    <t>TTE / Jr</t>
  </si>
  <si>
    <t>TTE Hebdo</t>
  </si>
  <si>
    <t>Ampl / Jr</t>
  </si>
  <si>
    <t>Ampl Hebdo</t>
  </si>
  <si>
    <t>R.Heb</t>
  </si>
  <si>
    <t>Microsoft Print to PDF</t>
  </si>
  <si>
    <t>F1</t>
  </si>
  <si>
    <t>F2</t>
  </si>
  <si>
    <t>F3</t>
  </si>
  <si>
    <t>F4</t>
  </si>
  <si>
    <t>Observations</t>
  </si>
  <si>
    <t>Autres</t>
  </si>
  <si>
    <t>- Contrôle de validité des observations</t>
  </si>
  <si>
    <t>Nom</t>
  </si>
  <si>
    <t>46.23285614859085, 1.4826128980639826</t>
  </si>
  <si>
    <t>Bureau</t>
  </si>
  <si>
    <t>CH Guéret</t>
  </si>
  <si>
    <t>MGEN Ste Feyre</t>
  </si>
  <si>
    <t>46.14013868413426, 1.8869415621329233</t>
  </si>
  <si>
    <t>CHU Limoges</t>
  </si>
  <si>
    <t>Cl Chénieux</t>
  </si>
  <si>
    <t>Cl Emailleurs</t>
  </si>
  <si>
    <t>45.81562710227935, 1.2255181095088743</t>
  </si>
  <si>
    <t>CH Chateauroux</t>
  </si>
  <si>
    <t>46.79842480902446, 1.6975370977510424</t>
  </si>
  <si>
    <t>Localisation</t>
  </si>
  <si>
    <t>TOTAL MOIS</t>
  </si>
  <si>
    <t>Précision (km)</t>
  </si>
  <si>
    <t>45.81480104706949, 1.2377474157138155</t>
  </si>
  <si>
    <t>45.81323562762661, 1.2845069859595228</t>
  </si>
  <si>
    <t>Limoges</t>
  </si>
  <si>
    <t>45.84302984316936, 1.2647604638193972</t>
  </si>
  <si>
    <t>La Souteraine</t>
  </si>
  <si>
    <t>46.23624300648508, 1.4901916896936207</t>
  </si>
  <si>
    <t>Chateauroux</t>
  </si>
  <si>
    <t>46.808885532431425, 1.6940162586597407</t>
  </si>
  <si>
    <t>46.1707573558332, 1.8751925824527278</t>
  </si>
  <si>
    <t>Guéret</t>
  </si>
  <si>
    <t>46.163923022950286, 1.8697310588252858</t>
  </si>
  <si>
    <t>Paris</t>
  </si>
  <si>
    <t>48.86189519754428, 2.3415460616961217</t>
  </si>
  <si>
    <t>CH Necker Paris</t>
  </si>
  <si>
    <t>48.84494995512461, 2.3153032912655243</t>
  </si>
  <si>
    <t>Bourganeuf</t>
  </si>
  <si>
    <t>45.95487004437042, 1.7564605180073685</t>
  </si>
  <si>
    <t>-Fusion des data GPS à l'importation</t>
  </si>
  <si>
    <t>2025.9.1</t>
  </si>
  <si>
    <t>IR</t>
  </si>
  <si>
    <t>$P$12</t>
  </si>
  <si>
    <t>I.TC</t>
  </si>
  <si>
    <t>Septembre</t>
  </si>
  <si>
    <t>PR</t>
  </si>
  <si>
    <t>Semaine n° 38 du 15/09/2025 au 21/09/2025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</si>
</sst>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[hh]:mm"/>
    <numFmt numFmtId="166" formatCode="hh&quot;h&quot;mm"/>
    <numFmt numFmtId="167" formatCode="[hh]&quot;h&quot;mm"/>
  </numFmts>
  <fonts count="29" x14ac:knownFonts="1"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u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color rgb="FF000000"/>
      <name val="Arial"/>
      <family val="2"/>
    </font>
    <font>
      <sz val="10"/>
      <color theme="0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3"/>
      <color theme="1"/>
      <name val="Calibri"/>
      <family val="2"/>
      <scheme val="minor"/>
    </font>
    <font>
      <u/>
      <sz val="11"/>
      <name val="Calibri"/>
      <family val="2"/>
      <scheme val="minor"/>
    </font>
    <font>
      <b/>
      <sz val="10"/>
      <color theme="1"/>
      <name val="Arial"/>
      <family val="2"/>
    </font>
    <font>
      <sz val="9"/>
      <color indexed="81"/>
      <name val="Tahoma"/>
      <family val="2"/>
    </font>
    <font>
      <b/>
      <sz val="11"/>
      <name val="Arial"/>
      <family val="2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8CFFFF"/>
        <bgColor indexed="64"/>
      </patternFill>
    </fill>
    <fill>
      <patternFill patternType="solid">
        <fgColor rgb="FFFFC90E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FFAA55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D1FEC6"/>
        <bgColor indexed="64"/>
      </patternFill>
    </fill>
    <fill>
      <patternFill patternType="darkGrid"/>
    </fill>
    <fill>
      <patternFill patternType="solid">
        <fgColor rgb="FF0000EE"/>
        <bgColor indexed="64"/>
      </patternFill>
    </fill>
  </fills>
  <borders count="18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dashed">
        <color auto="1"/>
      </bottom>
      <diagonal/>
    </border>
    <border>
      <left style="medium">
        <color auto="1"/>
      </left>
      <right style="medium">
        <color auto="1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/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/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 style="hair">
        <color indexed="64"/>
      </right>
      <top style="dashed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ashed">
        <color indexed="64"/>
      </top>
      <bottom style="hair">
        <color indexed="64"/>
      </bottom>
      <diagonal/>
    </border>
    <border>
      <left/>
      <right style="hair">
        <color indexed="64"/>
      </right>
      <top style="dashed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dashed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hair">
        <color indexed="64"/>
      </bottom>
      <diagonal/>
    </border>
    <border>
      <left/>
      <right style="medium">
        <color indexed="64"/>
      </right>
      <top style="dashed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hair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medium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auto="1"/>
      </bottom>
      <diagonal/>
    </border>
    <border>
      <left style="medium">
        <color indexed="8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ck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medium">
        <color indexed="8"/>
      </bottom>
      <diagonal/>
    </border>
  </borders>
  <cellStyleXfs count="1">
    <xf numFmtId="0" fontId="0" fillId="0" borderId="0"/>
  </cellStyleXfs>
  <cellXfs count="47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0" borderId="6" xfId="0" applyBorder="1"/>
    <xf numFmtId="0" fontId="0" fillId="0" borderId="8" xfId="0" applyBorder="1"/>
    <xf numFmtId="0" fontId="0" fillId="0" borderId="7" xfId="0" applyBorder="1"/>
    <xf numFmtId="49" fontId="0" fillId="0" borderId="12" xfId="0" applyNumberFormat="1" applyBorder="1"/>
    <xf numFmtId="14" fontId="0" fillId="0" borderId="15" xfId="0" applyNumberFormat="1" applyBorder="1"/>
    <xf numFmtId="20" fontId="0" fillId="0" borderId="15" xfId="0" applyNumberFormat="1" applyBorder="1"/>
    <xf numFmtId="49" fontId="0" fillId="0" borderId="13" xfId="0" applyNumberFormat="1" applyBorder="1"/>
    <xf numFmtId="14" fontId="0" fillId="0" borderId="14" xfId="0" applyNumberFormat="1" applyBorder="1"/>
    <xf numFmtId="20" fontId="0" fillId="0" borderId="14" xfId="0" applyNumberFormat="1" applyBorder="1"/>
    <xf numFmtId="49" fontId="0" fillId="0" borderId="9" xfId="0" applyNumberFormat="1" applyBorder="1"/>
    <xf numFmtId="0" fontId="0" fillId="0" borderId="2" xfId="0" applyBorder="1"/>
    <xf numFmtId="20" fontId="0" fillId="0" borderId="8" xfId="0" applyNumberFormat="1" applyBorder="1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0" borderId="0" xfId="0" applyFont="1" applyFill="1"/>
    <xf numFmtId="0" fontId="0" fillId="0" borderId="0" xfId="0"/>
    <xf numFmtId="0" fontId="4" fillId="0" borderId="0" xfId="0" applyFont="1"/>
    <xf numFmtId="0" fontId="0" fillId="0" borderId="0" xfId="0" applyAlignment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0" xfId="0" applyBorder="1"/>
    <xf numFmtId="0" fontId="0" fillId="0" borderId="1" xfId="0" quotePrefix="1" applyBorder="1"/>
    <xf numFmtId="0" fontId="0" fillId="0" borderId="0" xfId="0" quotePrefix="1" applyBorder="1"/>
    <xf numFmtId="0" fontId="0" fillId="0" borderId="21" xfId="0" applyBorder="1"/>
    <xf numFmtId="0" fontId="0" fillId="0" borderId="22" xfId="0" applyBorder="1"/>
    <xf numFmtId="0" fontId="0" fillId="0" borderId="17" xfId="0" applyBorder="1"/>
    <xf numFmtId="14" fontId="0" fillId="0" borderId="21" xfId="0" applyNumberFormat="1" applyBorder="1"/>
    <xf numFmtId="20" fontId="0" fillId="0" borderId="21" xfId="0" applyNumberFormat="1" applyBorder="1"/>
    <xf numFmtId="14" fontId="0" fillId="0" borderId="22" xfId="0" applyNumberFormat="1" applyBorder="1"/>
    <xf numFmtId="20" fontId="0" fillId="0" borderId="22" xfId="0" applyNumberFormat="1" applyBorder="1"/>
    <xf numFmtId="0" fontId="0" fillId="0" borderId="0" xfId="0" applyNumberFormat="1"/>
    <xf numFmtId="20" fontId="0" fillId="0" borderId="0" xfId="0" applyNumberFormat="1"/>
    <xf numFmtId="0" fontId="0" fillId="0" borderId="0" xfId="0" applyAlignment="1">
      <alignment horizontal="center"/>
    </xf>
    <xf numFmtId="0" fontId="0" fillId="0" borderId="0" xfId="0" applyFill="1"/>
    <xf numFmtId="0" fontId="8" fillId="0" borderId="0" xfId="0" applyFont="1" applyAlignment="1">
      <alignment horizontal="center"/>
    </xf>
    <xf numFmtId="19" fontId="8" fillId="0" borderId="0" xfId="0" applyNumberFormat="1" applyFont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8" xfId="0" quotePrefix="1" applyBorder="1" applyAlignment="1">
      <alignment horizontal="center"/>
    </xf>
    <xf numFmtId="0" fontId="0" fillId="0" borderId="36" xfId="0" quotePrefix="1" applyBorder="1" applyAlignment="1">
      <alignment horizontal="center"/>
    </xf>
    <xf numFmtId="0" fontId="0" fillId="0" borderId="37" xfId="0" quotePrefix="1" applyBorder="1" applyAlignment="1">
      <alignment horizontal="center"/>
    </xf>
    <xf numFmtId="0" fontId="8" fillId="0" borderId="38" xfId="0" applyFont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8" fillId="0" borderId="37" xfId="0" applyFont="1" applyBorder="1" applyAlignment="1">
      <alignment horizontal="center"/>
    </xf>
    <xf numFmtId="0" fontId="8" fillId="0" borderId="39" xfId="0" applyFont="1" applyBorder="1" applyAlignment="1">
      <alignment horizontal="center"/>
    </xf>
    <xf numFmtId="0" fontId="0" fillId="0" borderId="40" xfId="0" applyBorder="1" applyAlignment="1">
      <alignment horizontal="center"/>
    </xf>
    <xf numFmtId="164" fontId="0" fillId="0" borderId="41" xfId="0" applyNumberFormat="1" applyBorder="1" applyAlignment="1">
      <alignment horizontal="right"/>
    </xf>
    <xf numFmtId="164" fontId="0" fillId="0" borderId="42" xfId="0" applyNumberFormat="1" applyBorder="1" applyAlignment="1">
      <alignment horizontal="right"/>
    </xf>
    <xf numFmtId="164" fontId="0" fillId="0" borderId="43" xfId="0" applyNumberFormat="1" applyBorder="1" applyAlignment="1">
      <alignment horizontal="right"/>
    </xf>
    <xf numFmtId="164" fontId="0" fillId="0" borderId="44" xfId="0" applyNumberFormat="1" applyBorder="1" applyAlignment="1">
      <alignment horizontal="right"/>
    </xf>
    <xf numFmtId="164" fontId="0" fillId="0" borderId="45" xfId="0" applyNumberFormat="1" applyBorder="1" applyAlignment="1">
      <alignment horizontal="right"/>
    </xf>
    <xf numFmtId="0" fontId="0" fillId="0" borderId="46" xfId="0" applyBorder="1" applyAlignment="1">
      <alignment horizontal="right"/>
    </xf>
    <xf numFmtId="0" fontId="0" fillId="0" borderId="47" xfId="0" applyBorder="1" applyAlignment="1">
      <alignment horizontal="right"/>
    </xf>
    <xf numFmtId="0" fontId="0" fillId="0" borderId="48" xfId="0" applyBorder="1" applyAlignment="1">
      <alignment horizontal="right"/>
    </xf>
    <xf numFmtId="164" fontId="0" fillId="0" borderId="46" xfId="0" applyNumberFormat="1" applyBorder="1" applyAlignment="1">
      <alignment horizontal="right"/>
    </xf>
    <xf numFmtId="164" fontId="0" fillId="0" borderId="49" xfId="0" applyNumberFormat="1" applyBorder="1" applyAlignment="1">
      <alignment horizontal="right"/>
    </xf>
    <xf numFmtId="0" fontId="0" fillId="0" borderId="49" xfId="0" applyBorder="1" applyAlignment="1">
      <alignment horizontal="right"/>
    </xf>
    <xf numFmtId="164" fontId="0" fillId="0" borderId="50" xfId="0" applyNumberFormat="1" applyBorder="1" applyAlignment="1">
      <alignment horizontal="right"/>
    </xf>
    <xf numFmtId="164" fontId="0" fillId="0" borderId="51" xfId="0" applyNumberFormat="1" applyBorder="1" applyAlignment="1">
      <alignment horizontal="right"/>
    </xf>
    <xf numFmtId="164" fontId="0" fillId="0" borderId="52" xfId="0" applyNumberFormat="1" applyBorder="1" applyAlignment="1">
      <alignment horizontal="right"/>
    </xf>
    <xf numFmtId="164" fontId="8" fillId="0" borderId="53" xfId="0" applyNumberFormat="1" applyFont="1" applyBorder="1" applyAlignment="1">
      <alignment horizontal="right"/>
    </xf>
    <xf numFmtId="14" fontId="0" fillId="0" borderId="54" xfId="0" applyNumberFormat="1" applyBorder="1"/>
    <xf numFmtId="164" fontId="0" fillId="0" borderId="55" xfId="0" applyNumberFormat="1" applyBorder="1" applyAlignment="1">
      <alignment horizontal="right"/>
    </xf>
    <xf numFmtId="164" fontId="0" fillId="0" borderId="56" xfId="0" applyNumberFormat="1" applyBorder="1" applyAlignment="1">
      <alignment horizontal="right"/>
    </xf>
    <xf numFmtId="164" fontId="0" fillId="0" borderId="57" xfId="0" applyNumberFormat="1" applyBorder="1" applyAlignment="1">
      <alignment horizontal="right"/>
    </xf>
    <xf numFmtId="164" fontId="0" fillId="0" borderId="58" xfId="0" applyNumberFormat="1" applyBorder="1" applyAlignment="1">
      <alignment horizontal="right"/>
    </xf>
    <xf numFmtId="164" fontId="0" fillId="0" borderId="59" xfId="0" applyNumberFormat="1" applyBorder="1" applyAlignment="1">
      <alignment horizontal="right"/>
    </xf>
    <xf numFmtId="0" fontId="0" fillId="0" borderId="60" xfId="0" applyBorder="1" applyAlignment="1">
      <alignment horizontal="right"/>
    </xf>
    <xf numFmtId="0" fontId="0" fillId="0" borderId="61" xfId="0" applyBorder="1" applyAlignment="1">
      <alignment horizontal="right"/>
    </xf>
    <xf numFmtId="0" fontId="0" fillId="0" borderId="62" xfId="0" applyBorder="1" applyAlignment="1">
      <alignment horizontal="right"/>
    </xf>
    <xf numFmtId="164" fontId="0" fillId="0" borderId="60" xfId="0" applyNumberFormat="1" applyBorder="1" applyAlignment="1">
      <alignment horizontal="right"/>
    </xf>
    <xf numFmtId="164" fontId="0" fillId="0" borderId="63" xfId="0" applyNumberFormat="1" applyBorder="1" applyAlignment="1">
      <alignment horizontal="right"/>
    </xf>
    <xf numFmtId="0" fontId="0" fillId="0" borderId="63" xfId="0" applyBorder="1" applyAlignment="1">
      <alignment horizontal="right"/>
    </xf>
    <xf numFmtId="164" fontId="0" fillId="0" borderId="61" xfId="0" applyNumberFormat="1" applyBorder="1" applyAlignment="1">
      <alignment horizontal="right"/>
    </xf>
    <xf numFmtId="164" fontId="8" fillId="0" borderId="64" xfId="0" applyNumberFormat="1" applyFont="1" applyBorder="1" applyAlignment="1">
      <alignment horizontal="right"/>
    </xf>
    <xf numFmtId="164" fontId="0" fillId="0" borderId="65" xfId="0" applyNumberFormat="1" applyBorder="1" applyAlignment="1">
      <alignment horizontal="right"/>
    </xf>
    <xf numFmtId="164" fontId="0" fillId="0" borderId="66" xfId="0" applyNumberFormat="1" applyBorder="1" applyAlignment="1">
      <alignment horizontal="right"/>
    </xf>
    <xf numFmtId="164" fontId="0" fillId="0" borderId="67" xfId="0" applyNumberFormat="1" applyBorder="1" applyAlignment="1">
      <alignment horizontal="right"/>
    </xf>
    <xf numFmtId="164" fontId="0" fillId="0" borderId="68" xfId="0" applyNumberFormat="1" applyBorder="1" applyAlignment="1">
      <alignment horizontal="right"/>
    </xf>
    <xf numFmtId="164" fontId="0" fillId="0" borderId="69" xfId="0" applyNumberFormat="1" applyBorder="1" applyAlignment="1">
      <alignment horizontal="right"/>
    </xf>
    <xf numFmtId="0" fontId="0" fillId="0" borderId="70" xfId="0" applyBorder="1" applyAlignment="1">
      <alignment horizontal="right"/>
    </xf>
    <xf numFmtId="0" fontId="0" fillId="0" borderId="71" xfId="0" applyBorder="1" applyAlignment="1">
      <alignment horizontal="right"/>
    </xf>
    <xf numFmtId="0" fontId="0" fillId="0" borderId="72" xfId="0" applyBorder="1" applyAlignment="1">
      <alignment horizontal="right"/>
    </xf>
    <xf numFmtId="164" fontId="0" fillId="0" borderId="70" xfId="0" applyNumberFormat="1" applyBorder="1" applyAlignment="1">
      <alignment horizontal="right"/>
    </xf>
    <xf numFmtId="164" fontId="0" fillId="0" borderId="73" xfId="0" applyNumberFormat="1" applyBorder="1" applyAlignment="1">
      <alignment horizontal="right"/>
    </xf>
    <xf numFmtId="0" fontId="0" fillId="0" borderId="73" xfId="0" applyBorder="1" applyAlignment="1">
      <alignment horizontal="right"/>
    </xf>
    <xf numFmtId="164" fontId="8" fillId="0" borderId="74" xfId="0" applyNumberFormat="1" applyFont="1" applyBorder="1" applyAlignment="1">
      <alignment horizontal="right"/>
    </xf>
    <xf numFmtId="164" fontId="0" fillId="0" borderId="75" xfId="0" applyNumberFormat="1" applyBorder="1" applyAlignment="1">
      <alignment horizontal="right"/>
    </xf>
    <xf numFmtId="164" fontId="0" fillId="0" borderId="76" xfId="0" applyNumberFormat="1" applyBorder="1" applyAlignment="1">
      <alignment horizontal="right"/>
    </xf>
    <xf numFmtId="164" fontId="0" fillId="0" borderId="77" xfId="0" applyNumberFormat="1" applyBorder="1" applyAlignment="1">
      <alignment horizontal="right"/>
    </xf>
    <xf numFmtId="164" fontId="0" fillId="0" borderId="78" xfId="0" applyNumberFormat="1" applyBorder="1" applyAlignment="1">
      <alignment horizontal="right"/>
    </xf>
    <xf numFmtId="164" fontId="0" fillId="0" borderId="79" xfId="0" applyNumberFormat="1" applyBorder="1" applyAlignment="1">
      <alignment horizontal="right"/>
    </xf>
    <xf numFmtId="0" fontId="0" fillId="0" borderId="80" xfId="0" applyBorder="1" applyAlignment="1">
      <alignment horizontal="right"/>
    </xf>
    <xf numFmtId="0" fontId="0" fillId="0" borderId="81" xfId="0" applyBorder="1" applyAlignment="1">
      <alignment horizontal="right"/>
    </xf>
    <xf numFmtId="0" fontId="0" fillId="0" borderId="82" xfId="0" applyBorder="1" applyAlignment="1">
      <alignment horizontal="right"/>
    </xf>
    <xf numFmtId="164" fontId="0" fillId="0" borderId="80" xfId="0" applyNumberFormat="1" applyBorder="1" applyAlignment="1">
      <alignment horizontal="right"/>
    </xf>
    <xf numFmtId="164" fontId="0" fillId="0" borderId="83" xfId="0" applyNumberFormat="1" applyBorder="1" applyAlignment="1">
      <alignment horizontal="right"/>
    </xf>
    <xf numFmtId="0" fontId="0" fillId="0" borderId="83" xfId="0" applyBorder="1" applyAlignment="1">
      <alignment horizontal="right"/>
    </xf>
    <xf numFmtId="164" fontId="0" fillId="0" borderId="81" xfId="0" applyNumberFormat="1" applyBorder="1" applyAlignment="1">
      <alignment horizontal="right"/>
    </xf>
    <xf numFmtId="164" fontId="0" fillId="0" borderId="82" xfId="0" applyNumberFormat="1" applyBorder="1" applyAlignment="1">
      <alignment horizontal="right"/>
    </xf>
    <xf numFmtId="164" fontId="8" fillId="0" borderId="84" xfId="0" applyNumberFormat="1" applyFont="1" applyBorder="1" applyAlignment="1">
      <alignment horizontal="right"/>
    </xf>
    <xf numFmtId="0" fontId="0" fillId="0" borderId="50" xfId="0" applyBorder="1" applyAlignment="1">
      <alignment horizontal="right"/>
    </xf>
    <xf numFmtId="0" fontId="0" fillId="0" borderId="85" xfId="0" applyBorder="1" applyAlignment="1">
      <alignment horizontal="right"/>
    </xf>
    <xf numFmtId="0" fontId="0" fillId="0" borderId="52" xfId="0" applyBorder="1" applyAlignment="1">
      <alignment horizontal="right"/>
    </xf>
    <xf numFmtId="164" fontId="0" fillId="0" borderId="47" xfId="0" applyNumberFormat="1" applyBorder="1" applyAlignment="1">
      <alignment horizontal="right"/>
    </xf>
    <xf numFmtId="164" fontId="0" fillId="0" borderId="0" xfId="0" applyNumberFormat="1"/>
    <xf numFmtId="0" fontId="0" fillId="0" borderId="86" xfId="0" applyBorder="1"/>
    <xf numFmtId="0" fontId="0" fillId="0" borderId="87" xfId="0" applyBorder="1"/>
    <xf numFmtId="0" fontId="0" fillId="0" borderId="88" xfId="0" applyBorder="1"/>
    <xf numFmtId="0" fontId="0" fillId="0" borderId="89" xfId="0" applyBorder="1"/>
    <xf numFmtId="0" fontId="0" fillId="0" borderId="38" xfId="0" applyBorder="1" applyAlignment="1">
      <alignment horizontal="right"/>
    </xf>
    <xf numFmtId="0" fontId="0" fillId="0" borderId="36" xfId="0" applyBorder="1" applyAlignment="1">
      <alignment horizontal="right"/>
    </xf>
    <xf numFmtId="0" fontId="0" fillId="0" borderId="37" xfId="0" applyBorder="1" applyAlignment="1">
      <alignment horizontal="right"/>
    </xf>
    <xf numFmtId="0" fontId="8" fillId="0" borderId="90" xfId="0" applyFont="1" applyBorder="1" applyAlignment="1">
      <alignment horizontal="right"/>
    </xf>
    <xf numFmtId="0" fontId="0" fillId="0" borderId="91" xfId="0" applyBorder="1"/>
    <xf numFmtId="0" fontId="10" fillId="0" borderId="0" xfId="0" applyFont="1" applyAlignment="1">
      <alignment horizontal="center"/>
    </xf>
    <xf numFmtId="0" fontId="12" fillId="0" borderId="0" xfId="0" applyFont="1" applyAlignment="1">
      <alignment horizontal="center" vertical="center"/>
    </xf>
    <xf numFmtId="14" fontId="0" fillId="0" borderId="0" xfId="0" applyNumberFormat="1"/>
    <xf numFmtId="0" fontId="0" fillId="0" borderId="0" xfId="0" applyFont="1" applyFill="1" applyBorder="1" applyAlignment="1">
      <alignment horizontal="center"/>
    </xf>
    <xf numFmtId="165" fontId="0" fillId="0" borderId="0" xfId="0" applyNumberFormat="1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0" fontId="14" fillId="0" borderId="0" xfId="0" applyFont="1"/>
    <xf numFmtId="0" fontId="8" fillId="0" borderId="0" xfId="0" applyFont="1"/>
    <xf numFmtId="0" fontId="8" fillId="0" borderId="18" xfId="0" applyFont="1" applyBorder="1"/>
    <xf numFmtId="14" fontId="8" fillId="0" borderId="93" xfId="0" applyNumberFormat="1" applyFont="1" applyBorder="1"/>
    <xf numFmtId="0" fontId="15" fillId="0" borderId="0" xfId="0" applyFont="1"/>
    <xf numFmtId="0" fontId="13" fillId="0" borderId="97" xfId="0" applyFont="1" applyBorder="1" applyAlignment="1">
      <alignment horizontal="center"/>
    </xf>
    <xf numFmtId="14" fontId="13" fillId="0" borderId="98" xfId="0" applyNumberFormat="1" applyFont="1" applyBorder="1" applyAlignment="1">
      <alignment horizontal="center"/>
    </xf>
    <xf numFmtId="0" fontId="13" fillId="0" borderId="36" xfId="0" applyFont="1" applyBorder="1" applyAlignment="1">
      <alignment horizontal="center"/>
    </xf>
    <xf numFmtId="0" fontId="13" fillId="0" borderId="1" xfId="0" applyFont="1" applyBorder="1" applyAlignment="1">
      <alignment horizontal="right"/>
    </xf>
    <xf numFmtId="14" fontId="13" fillId="0" borderId="94" xfId="0" applyNumberFormat="1" applyFont="1" applyBorder="1" applyAlignment="1">
      <alignment horizontal="center"/>
    </xf>
    <xf numFmtId="166" fontId="16" fillId="12" borderId="41" xfId="0" applyNumberFormat="1" applyFont="1" applyFill="1" applyBorder="1" applyAlignment="1" applyProtection="1">
      <alignment horizontal="right"/>
      <protection locked="0"/>
    </xf>
    <xf numFmtId="166" fontId="16" fillId="12" borderId="42" xfId="0" applyNumberFormat="1" applyFont="1" applyFill="1" applyBorder="1" applyAlignment="1" applyProtection="1">
      <alignment horizontal="right"/>
      <protection locked="0"/>
    </xf>
    <xf numFmtId="166" fontId="16" fillId="12" borderId="44" xfId="0" applyNumberFormat="1" applyFont="1" applyFill="1" applyBorder="1" applyAlignment="1" applyProtection="1">
      <alignment horizontal="right"/>
      <protection locked="0"/>
    </xf>
    <xf numFmtId="166" fontId="16" fillId="12" borderId="45" xfId="0" applyNumberFormat="1" applyFont="1" applyFill="1" applyBorder="1" applyAlignment="1" applyProtection="1">
      <alignment horizontal="right"/>
      <protection locked="0"/>
    </xf>
    <xf numFmtId="0" fontId="13" fillId="12" borderId="46" xfId="0" applyFont="1" applyFill="1" applyBorder="1" applyAlignment="1">
      <alignment horizontal="right"/>
    </xf>
    <xf numFmtId="0" fontId="13" fillId="12" borderId="48" xfId="0" applyFont="1" applyFill="1" applyBorder="1" applyAlignment="1">
      <alignment horizontal="right"/>
    </xf>
    <xf numFmtId="166" fontId="16" fillId="12" borderId="55" xfId="0" applyNumberFormat="1" applyFont="1" applyFill="1" applyBorder="1" applyAlignment="1" applyProtection="1">
      <alignment horizontal="right"/>
      <protection locked="0"/>
    </xf>
    <xf numFmtId="166" fontId="16" fillId="12" borderId="56" xfId="0" applyNumberFormat="1" applyFont="1" applyFill="1" applyBorder="1" applyAlignment="1" applyProtection="1">
      <alignment horizontal="right"/>
      <protection locked="0"/>
    </xf>
    <xf numFmtId="166" fontId="16" fillId="12" borderId="103" xfId="0" applyNumberFormat="1" applyFont="1" applyFill="1" applyBorder="1" applyAlignment="1" applyProtection="1">
      <alignment horizontal="right"/>
      <protection locked="0"/>
    </xf>
    <xf numFmtId="166" fontId="16" fillId="12" borderId="59" xfId="0" applyNumberFormat="1" applyFont="1" applyFill="1" applyBorder="1" applyAlignment="1" applyProtection="1">
      <alignment horizontal="right"/>
      <protection locked="0"/>
    </xf>
    <xf numFmtId="0" fontId="13" fillId="12" borderId="60" xfId="0" applyFont="1" applyFill="1" applyBorder="1" applyAlignment="1">
      <alignment horizontal="right"/>
    </xf>
    <xf numFmtId="0" fontId="13" fillId="12" borderId="62" xfId="0" applyFont="1" applyFill="1" applyBorder="1" applyAlignment="1">
      <alignment horizontal="right"/>
    </xf>
    <xf numFmtId="166" fontId="13" fillId="12" borderId="55" xfId="0" applyNumberFormat="1" applyFont="1" applyFill="1" applyBorder="1" applyAlignment="1" applyProtection="1">
      <alignment horizontal="right"/>
      <protection locked="0"/>
    </xf>
    <xf numFmtId="166" fontId="13" fillId="12" borderId="56" xfId="0" applyNumberFormat="1" applyFont="1" applyFill="1" applyBorder="1" applyAlignment="1" applyProtection="1">
      <alignment horizontal="right"/>
      <protection locked="0"/>
    </xf>
    <xf numFmtId="166" fontId="13" fillId="12" borderId="103" xfId="0" applyNumberFormat="1" applyFont="1" applyFill="1" applyBorder="1" applyAlignment="1" applyProtection="1">
      <alignment horizontal="right"/>
      <protection locked="0"/>
    </xf>
    <xf numFmtId="166" fontId="13" fillId="12" borderId="59" xfId="0" applyNumberFormat="1" applyFont="1" applyFill="1" applyBorder="1" applyAlignment="1" applyProtection="1">
      <alignment horizontal="right"/>
      <protection locked="0"/>
    </xf>
    <xf numFmtId="166" fontId="13" fillId="12" borderId="65" xfId="0" applyNumberFormat="1" applyFont="1" applyFill="1" applyBorder="1" applyAlignment="1" applyProtection="1">
      <alignment horizontal="right"/>
      <protection locked="0"/>
    </xf>
    <xf numFmtId="166" fontId="13" fillId="12" borderId="66" xfId="0" applyNumberFormat="1" applyFont="1" applyFill="1" applyBorder="1" applyAlignment="1" applyProtection="1">
      <alignment horizontal="right"/>
      <protection locked="0"/>
    </xf>
    <xf numFmtId="166" fontId="13" fillId="12" borderId="105" xfId="0" applyNumberFormat="1" applyFont="1" applyFill="1" applyBorder="1" applyAlignment="1" applyProtection="1">
      <alignment horizontal="right"/>
      <protection locked="0"/>
    </xf>
    <xf numFmtId="166" fontId="13" fillId="12" borderId="69" xfId="0" applyNumberFormat="1" applyFont="1" applyFill="1" applyBorder="1" applyAlignment="1" applyProtection="1">
      <alignment horizontal="right"/>
      <protection locked="0"/>
    </xf>
    <xf numFmtId="0" fontId="13" fillId="12" borderId="70" xfId="0" applyFont="1" applyFill="1" applyBorder="1" applyAlignment="1">
      <alignment horizontal="right"/>
    </xf>
    <xf numFmtId="0" fontId="13" fillId="12" borderId="72" xfId="0" applyFont="1" applyFill="1" applyBorder="1" applyAlignment="1">
      <alignment horizontal="right"/>
    </xf>
    <xf numFmtId="0" fontId="13" fillId="0" borderId="106" xfId="0" applyFont="1" applyBorder="1" applyAlignment="1">
      <alignment horizontal="right"/>
    </xf>
    <xf numFmtId="14" fontId="13" fillId="0" borderId="107" xfId="0" applyNumberFormat="1" applyFont="1" applyBorder="1" applyAlignment="1">
      <alignment horizontal="center"/>
    </xf>
    <xf numFmtId="166" fontId="16" fillId="12" borderId="99" xfId="0" applyNumberFormat="1" applyFont="1" applyFill="1" applyBorder="1" applyAlignment="1" applyProtection="1">
      <alignment horizontal="right"/>
      <protection locked="0"/>
    </xf>
    <xf numFmtId="166" fontId="16" fillId="12" borderId="100" xfId="0" applyNumberFormat="1" applyFont="1" applyFill="1" applyBorder="1" applyAlignment="1" applyProtection="1">
      <alignment horizontal="right"/>
      <protection locked="0"/>
    </xf>
    <xf numFmtId="166" fontId="16" fillId="12" borderId="101" xfId="0" applyNumberFormat="1" applyFont="1" applyFill="1" applyBorder="1" applyAlignment="1" applyProtection="1">
      <alignment horizontal="right"/>
      <protection locked="0"/>
    </xf>
    <xf numFmtId="166" fontId="16" fillId="12" borderId="102" xfId="0" applyNumberFormat="1" applyFont="1" applyFill="1" applyBorder="1" applyAlignment="1" applyProtection="1">
      <alignment horizontal="right"/>
      <protection locked="0"/>
    </xf>
    <xf numFmtId="0" fontId="13" fillId="0" borderId="2" xfId="0" applyFont="1" applyBorder="1" applyAlignment="1">
      <alignment horizontal="right"/>
    </xf>
    <xf numFmtId="14" fontId="13" fillId="0" borderId="96" xfId="0" applyNumberFormat="1" applyFont="1" applyBorder="1" applyAlignment="1">
      <alignment horizontal="center"/>
    </xf>
    <xf numFmtId="0" fontId="13" fillId="0" borderId="0" xfId="0" applyFont="1"/>
    <xf numFmtId="0" fontId="17" fillId="0" borderId="0" xfId="0" applyFont="1"/>
    <xf numFmtId="0" fontId="13" fillId="12" borderId="112" xfId="0" applyFont="1" applyFill="1" applyBorder="1" applyAlignment="1">
      <alignment horizontal="right"/>
    </xf>
    <xf numFmtId="0" fontId="13" fillId="12" borderId="113" xfId="0" applyFont="1" applyFill="1" applyBorder="1" applyAlignment="1">
      <alignment horizontal="right"/>
    </xf>
    <xf numFmtId="0" fontId="13" fillId="0" borderId="119" xfId="0" applyFont="1" applyBorder="1" applyAlignment="1">
      <alignment horizontal="right"/>
    </xf>
    <xf numFmtId="14" fontId="13" fillId="0" borderId="120" xfId="0" applyNumberFormat="1" applyFont="1" applyBorder="1" applyAlignment="1">
      <alignment horizontal="center"/>
    </xf>
    <xf numFmtId="0" fontId="13" fillId="12" borderId="50" xfId="0" applyFont="1" applyFill="1" applyBorder="1" applyAlignment="1">
      <alignment horizontal="right"/>
    </xf>
    <xf numFmtId="0" fontId="13" fillId="12" borderId="52" xfId="0" applyFont="1" applyFill="1" applyBorder="1" applyAlignment="1">
      <alignment horizontal="right"/>
    </xf>
    <xf numFmtId="166" fontId="16" fillId="12" borderId="108" xfId="0" applyNumberFormat="1" applyFont="1" applyFill="1" applyBorder="1" applyAlignment="1" applyProtection="1">
      <alignment horizontal="right"/>
      <protection locked="0"/>
    </xf>
    <xf numFmtId="166" fontId="16" fillId="12" borderId="109" xfId="0" applyNumberFormat="1" applyFont="1" applyFill="1" applyBorder="1" applyAlignment="1" applyProtection="1">
      <alignment horizontal="right"/>
      <protection locked="0"/>
    </xf>
    <xf numFmtId="166" fontId="16" fillId="12" borderId="110" xfId="0" applyNumberFormat="1" applyFont="1" applyFill="1" applyBorder="1" applyAlignment="1" applyProtection="1">
      <alignment horizontal="right"/>
      <protection locked="0"/>
    </xf>
    <xf numFmtId="166" fontId="16" fillId="12" borderId="111" xfId="0" applyNumberFormat="1" applyFont="1" applyFill="1" applyBorder="1" applyAlignment="1" applyProtection="1">
      <alignment horizontal="right"/>
      <protection locked="0"/>
    </xf>
    <xf numFmtId="0" fontId="13" fillId="0" borderId="122" xfId="0" applyFont="1" applyBorder="1" applyAlignment="1">
      <alignment horizontal="right"/>
    </xf>
    <xf numFmtId="14" fontId="13" fillId="0" borderId="123" xfId="0" applyNumberFormat="1" applyFont="1" applyBorder="1" applyAlignment="1">
      <alignment horizontal="center"/>
    </xf>
    <xf numFmtId="166" fontId="16" fillId="12" borderId="124" xfId="0" applyNumberFormat="1" applyFont="1" applyFill="1" applyBorder="1" applyAlignment="1" applyProtection="1">
      <alignment horizontal="right"/>
      <protection locked="0"/>
    </xf>
    <xf numFmtId="166" fontId="16" fillId="12" borderId="125" xfId="0" applyNumberFormat="1" applyFont="1" applyFill="1" applyBorder="1" applyAlignment="1" applyProtection="1">
      <alignment horizontal="right"/>
      <protection locked="0"/>
    </xf>
    <xf numFmtId="166" fontId="16" fillId="12" borderId="126" xfId="0" applyNumberFormat="1" applyFont="1" applyFill="1" applyBorder="1" applyAlignment="1" applyProtection="1">
      <alignment horizontal="right"/>
      <protection locked="0"/>
    </xf>
    <xf numFmtId="166" fontId="16" fillId="12" borderId="127" xfId="0" applyNumberFormat="1" applyFont="1" applyFill="1" applyBorder="1" applyAlignment="1" applyProtection="1">
      <alignment horizontal="right"/>
      <protection locked="0"/>
    </xf>
    <xf numFmtId="0" fontId="13" fillId="12" borderId="128" xfId="0" applyFont="1" applyFill="1" applyBorder="1" applyAlignment="1">
      <alignment horizontal="right"/>
    </xf>
    <xf numFmtId="0" fontId="13" fillId="12" borderId="129" xfId="0" applyFont="1" applyFill="1" applyBorder="1" applyAlignment="1">
      <alignment horizontal="right"/>
    </xf>
    <xf numFmtId="166" fontId="13" fillId="12" borderId="115" xfId="0" applyNumberFormat="1" applyFont="1" applyFill="1" applyBorder="1" applyAlignment="1" applyProtection="1">
      <alignment horizontal="right"/>
      <protection locked="0"/>
    </xf>
    <xf numFmtId="166" fontId="13" fillId="12" borderId="116" xfId="0" applyNumberFormat="1" applyFont="1" applyFill="1" applyBorder="1" applyAlignment="1" applyProtection="1">
      <alignment horizontal="right"/>
      <protection locked="0"/>
    </xf>
    <xf numFmtId="166" fontId="13" fillId="12" borderId="117" xfId="0" applyNumberFormat="1" applyFont="1" applyFill="1" applyBorder="1" applyAlignment="1" applyProtection="1">
      <alignment horizontal="right"/>
      <protection locked="0"/>
    </xf>
    <xf numFmtId="166" fontId="13" fillId="12" borderId="118" xfId="0" applyNumberFormat="1" applyFont="1" applyFill="1" applyBorder="1" applyAlignment="1" applyProtection="1">
      <alignment horizontal="right"/>
      <protection locked="0"/>
    </xf>
    <xf numFmtId="0" fontId="13" fillId="0" borderId="1" xfId="0" applyFont="1" applyBorder="1" applyAlignment="1">
      <alignment vertical="center" wrapText="1"/>
    </xf>
    <xf numFmtId="0" fontId="13" fillId="0" borderId="0" xfId="0" applyFont="1" applyAlignment="1">
      <alignment vertical="center" wrapText="1"/>
    </xf>
    <xf numFmtId="0" fontId="13" fillId="0" borderId="140" xfId="0" applyFont="1" applyBorder="1" applyAlignment="1">
      <alignment horizontal="center"/>
    </xf>
    <xf numFmtId="0" fontId="13" fillId="0" borderId="120" xfId="0" applyFont="1" applyBorder="1" applyAlignment="1">
      <alignment horizontal="center"/>
    </xf>
    <xf numFmtId="167" fontId="0" fillId="0" borderId="28" xfId="0" applyNumberFormat="1" applyBorder="1" applyAlignment="1">
      <alignment horizontal="center"/>
    </xf>
    <xf numFmtId="0" fontId="13" fillId="0" borderId="28" xfId="0" applyFont="1" applyBorder="1" applyAlignment="1">
      <alignment horizontal="center"/>
    </xf>
    <xf numFmtId="0" fontId="3" fillId="0" borderId="141" xfId="0" applyFont="1" applyBorder="1" applyAlignment="1">
      <alignment horizontal="center"/>
    </xf>
    <xf numFmtId="167" fontId="0" fillId="0" borderId="30" xfId="0" applyNumberFormat="1" applyBorder="1"/>
    <xf numFmtId="167" fontId="0" fillId="0" borderId="28" xfId="0" applyNumberFormat="1" applyBorder="1"/>
    <xf numFmtId="0" fontId="13" fillId="0" borderId="28" xfId="0" applyFont="1" applyBorder="1"/>
    <xf numFmtId="0" fontId="3" fillId="0" borderId="141" xfId="0" applyFont="1" applyBorder="1"/>
    <xf numFmtId="0" fontId="17" fillId="0" borderId="0" xfId="0" applyFont="1" applyProtection="1">
      <protection locked="0"/>
    </xf>
    <xf numFmtId="167" fontId="0" fillId="0" borderId="36" xfId="0" applyNumberFormat="1" applyBorder="1" applyAlignment="1">
      <alignment horizontal="center"/>
    </xf>
    <xf numFmtId="167" fontId="0" fillId="0" borderId="92" xfId="0" applyNumberFormat="1" applyBorder="1"/>
    <xf numFmtId="167" fontId="0" fillId="0" borderId="36" xfId="0" applyNumberFormat="1" applyBorder="1"/>
    <xf numFmtId="0" fontId="0" fillId="0" borderId="36" xfId="0" applyBorder="1"/>
    <xf numFmtId="0" fontId="0" fillId="0" borderId="37" xfId="0" applyBorder="1"/>
    <xf numFmtId="167" fontId="0" fillId="0" borderId="143" xfId="0" applyNumberFormat="1" applyBorder="1" applyAlignment="1">
      <alignment horizontal="center"/>
    </xf>
    <xf numFmtId="0" fontId="0" fillId="0" borderId="143" xfId="0" applyBorder="1" applyAlignment="1">
      <alignment horizontal="center"/>
    </xf>
    <xf numFmtId="0" fontId="0" fillId="0" borderId="144" xfId="0" applyBorder="1" applyAlignment="1">
      <alignment horizontal="center"/>
    </xf>
    <xf numFmtId="167" fontId="0" fillId="0" borderId="25" xfId="0" applyNumberFormat="1" applyBorder="1"/>
    <xf numFmtId="167" fontId="0" fillId="0" borderId="143" xfId="0" applyNumberFormat="1" applyBorder="1"/>
    <xf numFmtId="0" fontId="0" fillId="0" borderId="143" xfId="0" applyBorder="1"/>
    <xf numFmtId="0" fontId="0" fillId="0" borderId="144" xfId="0" applyBorder="1"/>
    <xf numFmtId="0" fontId="13" fillId="0" borderId="0" xfId="0" applyFont="1" applyAlignment="1">
      <alignment vertical="center"/>
    </xf>
    <xf numFmtId="0" fontId="13" fillId="0" borderId="1" xfId="0" applyFont="1" applyBorder="1" applyAlignment="1">
      <alignment vertical="center"/>
    </xf>
    <xf numFmtId="0" fontId="20" fillId="0" borderId="0" xfId="0" applyFont="1"/>
    <xf numFmtId="0" fontId="13" fillId="0" borderId="0" xfId="0" applyFont="1" applyFill="1"/>
    <xf numFmtId="0" fontId="0" fillId="0" borderId="0" xfId="0" applyFont="1" applyFill="1" applyBorder="1" applyAlignment="1"/>
    <xf numFmtId="14" fontId="0" fillId="0" borderId="0" xfId="0" applyNumberFormat="1" applyAlignment="1"/>
    <xf numFmtId="165" fontId="0" fillId="0" borderId="0" xfId="0" applyNumberFormat="1" applyFont="1" applyFill="1" applyBorder="1" applyAlignment="1"/>
    <xf numFmtId="0" fontId="0" fillId="0" borderId="0" xfId="0" applyFont="1" applyFill="1" applyBorder="1"/>
    <xf numFmtId="0" fontId="3" fillId="0" borderId="2" xfId="0" applyFont="1" applyBorder="1"/>
    <xf numFmtId="0" fontId="7" fillId="0" borderId="8" xfId="0" applyFont="1" applyBorder="1"/>
    <xf numFmtId="0" fontId="0" fillId="0" borderId="94" xfId="0" applyBorder="1"/>
    <xf numFmtId="0" fontId="0" fillId="0" borderId="150" xfId="0" applyBorder="1"/>
    <xf numFmtId="0" fontId="0" fillId="0" borderId="151" xfId="0" applyBorder="1"/>
    <xf numFmtId="0" fontId="0" fillId="0" borderId="152" xfId="0" applyBorder="1" applyAlignment="1">
      <alignment horizontal="center"/>
    </xf>
    <xf numFmtId="0" fontId="0" fillId="0" borderId="153" xfId="0" applyBorder="1" applyAlignment="1">
      <alignment horizontal="center"/>
    </xf>
    <xf numFmtId="0" fontId="0" fillId="0" borderId="157" xfId="0" applyBorder="1"/>
    <xf numFmtId="0" fontId="0" fillId="0" borderId="159" xfId="0" applyBorder="1" applyAlignment="1">
      <alignment horizontal="center"/>
    </xf>
    <xf numFmtId="0" fontId="0" fillId="0" borderId="0" xfId="0"/>
    <xf numFmtId="0" fontId="3" fillId="0" borderId="0" xfId="0" applyFont="1" applyBorder="1"/>
    <xf numFmtId="0" fontId="3" fillId="0" borderId="0" xfId="0" applyFont="1" applyBorder="1" applyAlignment="1"/>
    <xf numFmtId="0" fontId="23" fillId="0" borderId="0" xfId="0" applyFont="1" applyBorder="1" applyAlignment="1">
      <alignment horizontal="center" vertical="center"/>
    </xf>
    <xf numFmtId="0" fontId="0" fillId="0" borderId="95" xfId="0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49" xfId="0" applyNumberFormat="1" applyBorder="1" applyAlignment="1">
      <alignment horizontal="center"/>
    </xf>
    <xf numFmtId="0" fontId="0" fillId="0" borderId="148" xfId="0" applyBorder="1" applyAlignment="1">
      <alignment horizontal="center"/>
    </xf>
    <xf numFmtId="49" fontId="0" fillId="0" borderId="158" xfId="0" applyNumberFormat="1" applyBorder="1" applyAlignment="1">
      <alignment horizontal="center"/>
    </xf>
    <xf numFmtId="0" fontId="0" fillId="0" borderId="154" xfId="0" applyBorder="1" applyAlignment="1">
      <alignment horizontal="center"/>
    </xf>
    <xf numFmtId="0" fontId="0" fillId="0" borderId="155" xfId="0" applyBorder="1" applyAlignment="1">
      <alignment horizontal="center"/>
    </xf>
    <xf numFmtId="0" fontId="0" fillId="0" borderId="156" xfId="0" applyBorder="1" applyAlignment="1">
      <alignment horizontal="center"/>
    </xf>
    <xf numFmtId="20" fontId="0" fillId="0" borderId="16" xfId="0" applyNumberFormat="1" applyBorder="1" applyAlignment="1">
      <alignment horizontal="center"/>
    </xf>
    <xf numFmtId="20" fontId="0" fillId="0" borderId="149" xfId="0" applyNumberForma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8" xfId="0" applyBorder="1" applyAlignment="1">
      <alignment horizontal="center"/>
    </xf>
    <xf numFmtId="0" fontId="8" fillId="0" borderId="161" xfId="0" applyFont="1" applyBorder="1" applyAlignment="1">
      <alignment horizontal="center"/>
    </xf>
    <xf numFmtId="0" fontId="8" fillId="0" borderId="146" xfId="0" applyFont="1" applyBorder="1" applyAlignment="1">
      <alignment horizontal="center"/>
    </xf>
    <xf numFmtId="0" fontId="13" fillId="12" borderId="85" xfId="0" applyFont="1" applyFill="1" applyBorder="1" applyAlignment="1">
      <alignment horizontal="right"/>
    </xf>
    <xf numFmtId="0" fontId="13" fillId="12" borderId="63" xfId="0" applyFont="1" applyFill="1" applyBorder="1" applyAlignment="1">
      <alignment horizontal="right"/>
    </xf>
    <xf numFmtId="0" fontId="13" fillId="12" borderId="164" xfId="0" applyFont="1" applyFill="1" applyBorder="1" applyAlignment="1">
      <alignment horizontal="right"/>
    </xf>
    <xf numFmtId="0" fontId="13" fillId="12" borderId="73" xfId="0" applyFont="1" applyFill="1" applyBorder="1" applyAlignment="1">
      <alignment horizontal="right"/>
    </xf>
    <xf numFmtId="0" fontId="13" fillId="12" borderId="165" xfId="0" applyFont="1" applyFill="1" applyBorder="1" applyAlignment="1">
      <alignment horizontal="right"/>
    </xf>
    <xf numFmtId="0" fontId="13" fillId="12" borderId="49" xfId="0" applyFont="1" applyFill="1" applyBorder="1" applyAlignment="1">
      <alignment horizontal="right"/>
    </xf>
    <xf numFmtId="0" fontId="8" fillId="0" borderId="141" xfId="0" applyFont="1" applyBorder="1" applyAlignment="1">
      <alignment horizontal="center"/>
    </xf>
    <xf numFmtId="0" fontId="13" fillId="12" borderId="166" xfId="0" applyFont="1" applyFill="1" applyBorder="1" applyAlignment="1">
      <alignment horizontal="right"/>
    </xf>
    <xf numFmtId="166" fontId="16" fillId="13" borderId="99" xfId="0" applyNumberFormat="1" applyFont="1" applyFill="1" applyBorder="1" applyAlignment="1" applyProtection="1">
      <alignment horizontal="right"/>
      <protection locked="0"/>
    </xf>
    <xf numFmtId="166" fontId="16" fillId="13" borderId="100" xfId="0" applyNumberFormat="1" applyFont="1" applyFill="1" applyBorder="1" applyAlignment="1" applyProtection="1">
      <alignment horizontal="right"/>
      <protection locked="0"/>
    </xf>
    <xf numFmtId="166" fontId="16" fillId="13" borderId="101" xfId="0" applyNumberFormat="1" applyFont="1" applyFill="1" applyBorder="1" applyAlignment="1" applyProtection="1">
      <alignment horizontal="right"/>
      <protection locked="0"/>
    </xf>
    <xf numFmtId="166" fontId="16" fillId="13" borderId="102" xfId="0" applyNumberFormat="1" applyFont="1" applyFill="1" applyBorder="1" applyAlignment="1" applyProtection="1">
      <alignment horizontal="right"/>
      <protection locked="0"/>
    </xf>
    <xf numFmtId="0" fontId="13" fillId="13" borderId="46" xfId="0" applyFont="1" applyFill="1" applyBorder="1" applyAlignment="1">
      <alignment horizontal="right"/>
    </xf>
    <xf numFmtId="0" fontId="13" fillId="13" borderId="49" xfId="0" applyFont="1" applyFill="1" applyBorder="1" applyAlignment="1">
      <alignment horizontal="right"/>
    </xf>
    <xf numFmtId="0" fontId="13" fillId="13" borderId="48" xfId="0" applyFont="1" applyFill="1" applyBorder="1" applyAlignment="1">
      <alignment horizontal="right"/>
    </xf>
    <xf numFmtId="166" fontId="16" fillId="13" borderId="55" xfId="0" applyNumberFormat="1" applyFont="1" applyFill="1" applyBorder="1" applyAlignment="1" applyProtection="1">
      <alignment horizontal="right"/>
      <protection locked="0"/>
    </xf>
    <xf numFmtId="166" fontId="16" fillId="13" borderId="56" xfId="0" applyNumberFormat="1" applyFont="1" applyFill="1" applyBorder="1" applyAlignment="1" applyProtection="1">
      <alignment horizontal="right"/>
      <protection locked="0"/>
    </xf>
    <xf numFmtId="166" fontId="16" fillId="13" borderId="103" xfId="0" applyNumberFormat="1" applyFont="1" applyFill="1" applyBorder="1" applyAlignment="1" applyProtection="1">
      <alignment horizontal="right"/>
      <protection locked="0"/>
    </xf>
    <xf numFmtId="166" fontId="16" fillId="13" borderId="59" xfId="0" applyNumberFormat="1" applyFont="1" applyFill="1" applyBorder="1" applyAlignment="1" applyProtection="1">
      <alignment horizontal="right"/>
      <protection locked="0"/>
    </xf>
    <xf numFmtId="0" fontId="13" fillId="13" borderId="60" xfId="0" applyFont="1" applyFill="1" applyBorder="1" applyAlignment="1">
      <alignment horizontal="right"/>
    </xf>
    <xf numFmtId="0" fontId="13" fillId="13" borderId="63" xfId="0" applyFont="1" applyFill="1" applyBorder="1" applyAlignment="1">
      <alignment horizontal="right"/>
    </xf>
    <xf numFmtId="0" fontId="13" fillId="13" borderId="62" xfId="0" applyFont="1" applyFill="1" applyBorder="1" applyAlignment="1">
      <alignment horizontal="right"/>
    </xf>
    <xf numFmtId="166" fontId="13" fillId="13" borderId="65" xfId="0" applyNumberFormat="1" applyFont="1" applyFill="1" applyBorder="1" applyAlignment="1" applyProtection="1">
      <alignment horizontal="right"/>
      <protection locked="0"/>
    </xf>
    <xf numFmtId="166" fontId="13" fillId="13" borderId="66" xfId="0" applyNumberFormat="1" applyFont="1" applyFill="1" applyBorder="1" applyAlignment="1" applyProtection="1">
      <alignment horizontal="right"/>
      <protection locked="0"/>
    </xf>
    <xf numFmtId="166" fontId="13" fillId="13" borderId="105" xfId="0" applyNumberFormat="1" applyFont="1" applyFill="1" applyBorder="1" applyAlignment="1" applyProtection="1">
      <alignment horizontal="right"/>
      <protection locked="0"/>
    </xf>
    <xf numFmtId="166" fontId="13" fillId="13" borderId="69" xfId="0" applyNumberFormat="1" applyFont="1" applyFill="1" applyBorder="1" applyAlignment="1" applyProtection="1">
      <alignment horizontal="right"/>
      <protection locked="0"/>
    </xf>
    <xf numFmtId="0" fontId="13" fillId="13" borderId="70" xfId="0" applyFont="1" applyFill="1" applyBorder="1" applyAlignment="1">
      <alignment horizontal="right"/>
    </xf>
    <xf numFmtId="0" fontId="13" fillId="13" borderId="73" xfId="0" applyFont="1" applyFill="1" applyBorder="1" applyAlignment="1">
      <alignment horizontal="right"/>
    </xf>
    <xf numFmtId="0" fontId="13" fillId="13" borderId="72" xfId="0" applyFont="1" applyFill="1" applyBorder="1" applyAlignment="1">
      <alignment horizontal="right"/>
    </xf>
    <xf numFmtId="166" fontId="13" fillId="13" borderId="108" xfId="0" applyNumberFormat="1" applyFont="1" applyFill="1" applyBorder="1" applyAlignment="1" applyProtection="1">
      <alignment horizontal="right"/>
      <protection locked="0"/>
    </xf>
    <xf numFmtId="166" fontId="13" fillId="13" borderId="109" xfId="0" applyNumberFormat="1" applyFont="1" applyFill="1" applyBorder="1" applyAlignment="1" applyProtection="1">
      <alignment horizontal="right"/>
      <protection locked="0"/>
    </xf>
    <xf numFmtId="166" fontId="13" fillId="13" borderId="110" xfId="0" applyNumberFormat="1" applyFont="1" applyFill="1" applyBorder="1" applyAlignment="1" applyProtection="1">
      <alignment horizontal="right"/>
      <protection locked="0"/>
    </xf>
    <xf numFmtId="166" fontId="13" fillId="13" borderId="111" xfId="0" applyNumberFormat="1" applyFont="1" applyFill="1" applyBorder="1" applyAlignment="1" applyProtection="1">
      <alignment horizontal="right"/>
      <protection locked="0"/>
    </xf>
    <xf numFmtId="0" fontId="13" fillId="13" borderId="112" xfId="0" applyFont="1" applyFill="1" applyBorder="1" applyAlignment="1">
      <alignment horizontal="right"/>
    </xf>
    <xf numFmtId="0" fontId="13" fillId="13" borderId="164" xfId="0" applyFont="1" applyFill="1" applyBorder="1" applyAlignment="1">
      <alignment horizontal="right"/>
    </xf>
    <xf numFmtId="0" fontId="13" fillId="13" borderId="113" xfId="0" applyFont="1" applyFill="1" applyBorder="1" applyAlignment="1">
      <alignment horizontal="right"/>
    </xf>
    <xf numFmtId="0" fontId="0" fillId="0" borderId="39" xfId="0" applyBorder="1"/>
    <xf numFmtId="14" fontId="0" fillId="0" borderId="0" xfId="0" applyNumberFormat="1" applyFill="1" applyAlignment="1"/>
    <xf numFmtId="14" fontId="3" fillId="0" borderId="10" xfId="0" applyNumberFormat="1" applyFont="1" applyFill="1" applyBorder="1"/>
    <xf numFmtId="14" fontId="3" fillId="0" borderId="11" xfId="0" applyNumberFormat="1" applyFont="1" applyFill="1" applyBorder="1"/>
    <xf numFmtId="20" fontId="3" fillId="0" borderId="11" xfId="0" applyNumberFormat="1" applyFont="1" applyFill="1" applyBorder="1"/>
    <xf numFmtId="0" fontId="0" fillId="0" borderId="0" xfId="0"/>
    <xf numFmtId="0" fontId="8" fillId="0" borderId="0" xfId="0" applyFont="1" applyBorder="1" applyAlignment="1">
      <alignment horizontal="center"/>
    </xf>
    <xf numFmtId="166" fontId="16" fillId="13" borderId="65" xfId="0" applyNumberFormat="1" applyFont="1" applyFill="1" applyBorder="1" applyAlignment="1" applyProtection="1">
      <alignment horizontal="right"/>
      <protection locked="0"/>
    </xf>
    <xf numFmtId="166" fontId="16" fillId="13" borderId="66" xfId="0" applyNumberFormat="1" applyFont="1" applyFill="1" applyBorder="1" applyAlignment="1" applyProtection="1">
      <alignment horizontal="right"/>
      <protection locked="0"/>
    </xf>
    <xf numFmtId="0" fontId="8" fillId="0" borderId="40" xfId="0" applyFont="1" applyBorder="1" applyAlignment="1">
      <alignment horizontal="center"/>
    </xf>
    <xf numFmtId="0" fontId="13" fillId="13" borderId="170" xfId="0" applyFont="1" applyFill="1" applyBorder="1" applyAlignment="1">
      <alignment horizontal="right"/>
    </xf>
    <xf numFmtId="0" fontId="13" fillId="12" borderId="64" xfId="0" applyFont="1" applyFill="1" applyBorder="1" applyAlignment="1">
      <alignment horizontal="right"/>
    </xf>
    <xf numFmtId="0" fontId="13" fillId="13" borderId="64" xfId="0" applyFont="1" applyFill="1" applyBorder="1" applyAlignment="1">
      <alignment horizontal="right"/>
    </xf>
    <xf numFmtId="0" fontId="13" fillId="12" borderId="171" xfId="0" applyFont="1" applyFill="1" applyBorder="1" applyAlignment="1">
      <alignment horizontal="right"/>
    </xf>
    <xf numFmtId="0" fontId="13" fillId="13" borderId="74" xfId="0" applyFont="1" applyFill="1" applyBorder="1" applyAlignment="1">
      <alignment horizontal="right"/>
    </xf>
    <xf numFmtId="0" fontId="13" fillId="12" borderId="74" xfId="0" applyFont="1" applyFill="1" applyBorder="1" applyAlignment="1">
      <alignment horizontal="right"/>
    </xf>
    <xf numFmtId="0" fontId="13" fillId="13" borderId="171" xfId="0" applyFont="1" applyFill="1" applyBorder="1" applyAlignment="1">
      <alignment horizontal="right"/>
    </xf>
    <xf numFmtId="0" fontId="13" fillId="12" borderId="172" xfId="0" applyFont="1" applyFill="1" applyBorder="1" applyAlignment="1">
      <alignment horizontal="right"/>
    </xf>
    <xf numFmtId="0" fontId="13" fillId="12" borderId="170" xfId="0" applyFont="1" applyFill="1" applyBorder="1" applyAlignment="1">
      <alignment horizontal="right"/>
    </xf>
    <xf numFmtId="0" fontId="13" fillId="12" borderId="173" xfId="0" applyFont="1" applyFill="1" applyBorder="1" applyAlignment="1">
      <alignment horizontal="right"/>
    </xf>
    <xf numFmtId="0" fontId="0" fillId="14" borderId="17" xfId="0" applyFill="1" applyBorder="1"/>
    <xf numFmtId="0" fontId="13" fillId="12" borderId="53" xfId="0" applyFont="1" applyFill="1" applyBorder="1" applyAlignment="1">
      <alignment horizontal="center"/>
    </xf>
    <xf numFmtId="0" fontId="13" fillId="13" borderId="170" xfId="0" applyFont="1" applyFill="1" applyBorder="1" applyAlignment="1">
      <alignment horizontal="center"/>
    </xf>
    <xf numFmtId="0" fontId="13" fillId="12" borderId="64" xfId="0" applyFont="1" applyFill="1" applyBorder="1" applyAlignment="1">
      <alignment horizontal="center"/>
    </xf>
    <xf numFmtId="0" fontId="13" fillId="13" borderId="64" xfId="0" applyFont="1" applyFill="1" applyBorder="1" applyAlignment="1">
      <alignment horizontal="center"/>
    </xf>
    <xf numFmtId="0" fontId="13" fillId="12" borderId="171" xfId="0" applyFont="1" applyFill="1" applyBorder="1" applyAlignment="1">
      <alignment horizontal="center"/>
    </xf>
    <xf numFmtId="0" fontId="13" fillId="13" borderId="74" xfId="0" applyFont="1" applyFill="1" applyBorder="1" applyAlignment="1">
      <alignment horizontal="center"/>
    </xf>
    <xf numFmtId="0" fontId="13" fillId="12" borderId="74" xfId="0" applyFont="1" applyFill="1" applyBorder="1" applyAlignment="1">
      <alignment horizontal="center"/>
    </xf>
    <xf numFmtId="0" fontId="13" fillId="13" borderId="171" xfId="0" applyFont="1" applyFill="1" applyBorder="1" applyAlignment="1">
      <alignment horizontal="center"/>
    </xf>
    <xf numFmtId="0" fontId="13" fillId="12" borderId="172" xfId="0" applyFont="1" applyFill="1" applyBorder="1" applyAlignment="1">
      <alignment horizontal="center"/>
    </xf>
    <xf numFmtId="0" fontId="13" fillId="12" borderId="170" xfId="0" applyFont="1" applyFill="1" applyBorder="1" applyAlignment="1">
      <alignment horizontal="center"/>
    </xf>
    <xf numFmtId="0" fontId="13" fillId="12" borderId="173" xfId="0" applyFont="1" applyFill="1" applyBorder="1" applyAlignment="1">
      <alignment horizontal="center"/>
    </xf>
    <xf numFmtId="0" fontId="27" fillId="0" borderId="17" xfId="0" applyFont="1" applyFill="1" applyBorder="1" applyAlignment="1">
      <alignment horizontal="center" vertical="center"/>
    </xf>
    <xf numFmtId="0" fontId="3" fillId="0" borderId="167" xfId="0" applyFont="1" applyFill="1" applyBorder="1"/>
    <xf numFmtId="14" fontId="3" fillId="0" borderId="168" xfId="0" applyNumberFormat="1" applyFont="1" applyFill="1" applyBorder="1"/>
    <xf numFmtId="20" fontId="3" fillId="0" borderId="168" xfId="0" applyNumberFormat="1" applyFont="1" applyFill="1" applyBorder="1"/>
    <xf numFmtId="0" fontId="3" fillId="0" borderId="168" xfId="0" applyFont="1" applyFill="1" applyBorder="1"/>
    <xf numFmtId="0" fontId="3" fillId="0" borderId="169" xfId="0" applyFont="1" applyFill="1" applyBorder="1"/>
    <xf numFmtId="0" fontId="13" fillId="12" borderId="53" xfId="0" applyFont="1" applyFill="1" applyBorder="1" applyAlignment="1">
      <alignment horizontal="right"/>
    </xf>
    <xf numFmtId="0" fontId="26" fillId="0" borderId="17" xfId="0" applyFont="1" applyFill="1" applyBorder="1" applyAlignment="1">
      <alignment horizontal="center" vertical="center"/>
    </xf>
    <xf numFmtId="0" fontId="27" fillId="0" borderId="17" xfId="0" applyFont="1" applyFill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8" fillId="0" borderId="90" xfId="0" applyFont="1" applyFill="1" applyBorder="1" applyAlignment="1">
      <alignment horizontal="center" vertical="center"/>
    </xf>
    <xf numFmtId="0" fontId="5" fillId="0" borderId="90" xfId="0" applyFont="1" applyBorder="1" applyAlignment="1">
      <alignment horizontal="center" vertical="center"/>
    </xf>
    <xf numFmtId="166" fontId="24" fillId="13" borderId="64" xfId="0" applyNumberFormat="1" applyFont="1" applyFill="1" applyBorder="1" applyAlignment="1">
      <alignment horizontal="center"/>
    </xf>
    <xf numFmtId="166" fontId="8" fillId="12" borderId="132" xfId="0" applyNumberFormat="1" applyFont="1" applyFill="1" applyBorder="1" applyAlignment="1">
      <alignment horizontal="center"/>
    </xf>
    <xf numFmtId="166" fontId="8" fillId="12" borderId="104" xfId="0" applyNumberFormat="1" applyFont="1" applyFill="1" applyBorder="1" applyAlignment="1">
      <alignment horizontal="center"/>
    </xf>
    <xf numFmtId="166" fontId="8" fillId="13" borderId="132" xfId="0" applyNumberFormat="1" applyFont="1" applyFill="1" applyBorder="1" applyAlignment="1">
      <alignment horizontal="center"/>
    </xf>
    <xf numFmtId="166" fontId="8" fillId="13" borderId="104" xfId="0" applyNumberFormat="1" applyFont="1" applyFill="1" applyBorder="1" applyAlignment="1">
      <alignment horizontal="center"/>
    </xf>
    <xf numFmtId="166" fontId="8" fillId="12" borderId="131" xfId="0" applyNumberFormat="1" applyFont="1" applyFill="1" applyBorder="1" applyAlignment="1">
      <alignment horizontal="center"/>
    </xf>
    <xf numFmtId="166" fontId="8" fillId="12" borderId="121" xfId="0" applyNumberFormat="1" applyFont="1" applyFill="1" applyBorder="1" applyAlignment="1">
      <alignment horizontal="center"/>
    </xf>
    <xf numFmtId="166" fontId="8" fillId="12" borderId="133" xfId="0" applyNumberFormat="1" applyFont="1" applyFill="1" applyBorder="1" applyAlignment="1">
      <alignment horizontal="center"/>
    </xf>
    <xf numFmtId="166" fontId="8" fillId="12" borderId="114" xfId="0" applyNumberFormat="1" applyFont="1" applyFill="1" applyBorder="1" applyAlignment="1">
      <alignment horizontal="center"/>
    </xf>
    <xf numFmtId="166" fontId="8" fillId="13" borderId="134" xfId="0" applyNumberFormat="1" applyFont="1" applyFill="1" applyBorder="1" applyAlignment="1">
      <alignment horizontal="center"/>
    </xf>
    <xf numFmtId="166" fontId="8" fillId="13" borderId="130" xfId="0" applyNumberFormat="1" applyFont="1" applyFill="1" applyBorder="1" applyAlignment="1">
      <alignment horizontal="center"/>
    </xf>
    <xf numFmtId="166" fontId="8" fillId="12" borderId="134" xfId="0" applyNumberFormat="1" applyFont="1" applyFill="1" applyBorder="1" applyAlignment="1">
      <alignment horizontal="center"/>
    </xf>
    <xf numFmtId="166" fontId="8" fillId="12" borderId="130" xfId="0" applyNumberFormat="1" applyFont="1" applyFill="1" applyBorder="1" applyAlignment="1">
      <alignment horizontal="center"/>
    </xf>
    <xf numFmtId="166" fontId="8" fillId="12" borderId="119" xfId="0" applyNumberFormat="1" applyFont="1" applyFill="1" applyBorder="1" applyAlignment="1">
      <alignment horizontal="center" vertical="center"/>
    </xf>
    <xf numFmtId="166" fontId="8" fillId="12" borderId="136" xfId="0" applyNumberFormat="1" applyFont="1" applyFill="1" applyBorder="1" applyAlignment="1">
      <alignment horizontal="center" vertical="center"/>
    </xf>
    <xf numFmtId="166" fontId="8" fillId="13" borderId="1" xfId="0" applyNumberFormat="1" applyFont="1" applyFill="1" applyBorder="1" applyAlignment="1">
      <alignment horizontal="center" vertical="center"/>
    </xf>
    <xf numFmtId="166" fontId="8" fillId="13" borderId="6" xfId="0" applyNumberFormat="1" applyFont="1" applyFill="1" applyBorder="1" applyAlignment="1">
      <alignment horizontal="center" vertical="center"/>
    </xf>
    <xf numFmtId="166" fontId="8" fillId="12" borderId="1" xfId="0" applyNumberFormat="1" applyFont="1" applyFill="1" applyBorder="1" applyAlignment="1">
      <alignment horizontal="center" vertical="center"/>
    </xf>
    <xf numFmtId="166" fontId="8" fillId="12" borderId="6" xfId="0" applyNumberFormat="1" applyFont="1" applyFill="1" applyBorder="1" applyAlignment="1">
      <alignment horizontal="center" vertical="center"/>
    </xf>
    <xf numFmtId="166" fontId="8" fillId="12" borderId="106" xfId="0" applyNumberFormat="1" applyFont="1" applyFill="1" applyBorder="1" applyAlignment="1">
      <alignment horizontal="center" vertical="center"/>
    </xf>
    <xf numFmtId="166" fontId="8" fillId="12" borderId="135" xfId="0" applyNumberFormat="1" applyFont="1" applyFill="1" applyBorder="1" applyAlignment="1">
      <alignment horizontal="center" vertical="center"/>
    </xf>
    <xf numFmtId="166" fontId="8" fillId="13" borderId="119" xfId="0" applyNumberFormat="1" applyFont="1" applyFill="1" applyBorder="1" applyAlignment="1">
      <alignment horizontal="center" vertical="center"/>
    </xf>
    <xf numFmtId="166" fontId="8" fillId="13" borderId="136" xfId="0" applyNumberFormat="1" applyFont="1" applyFill="1" applyBorder="1" applyAlignment="1">
      <alignment horizontal="center" vertical="center"/>
    </xf>
    <xf numFmtId="166" fontId="8" fillId="13" borderId="106" xfId="0" applyNumberFormat="1" applyFont="1" applyFill="1" applyBorder="1" applyAlignment="1">
      <alignment horizontal="center" vertical="center"/>
    </xf>
    <xf numFmtId="166" fontId="8" fillId="13" borderId="135" xfId="0" applyNumberFormat="1" applyFont="1" applyFill="1" applyBorder="1" applyAlignment="1">
      <alignment horizontal="center" vertical="center"/>
    </xf>
    <xf numFmtId="166" fontId="8" fillId="12" borderId="162" xfId="0" applyNumberFormat="1" applyFont="1" applyFill="1" applyBorder="1" applyAlignment="1">
      <alignment horizontal="center"/>
    </xf>
    <xf numFmtId="166" fontId="8" fillId="12" borderId="163" xfId="0" applyNumberFormat="1" applyFont="1" applyFill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166" fontId="24" fillId="12" borderId="64" xfId="0" applyNumberFormat="1" applyFont="1" applyFill="1" applyBorder="1" applyAlignment="1">
      <alignment horizontal="center"/>
    </xf>
    <xf numFmtId="166" fontId="24" fillId="12" borderId="74" xfId="0" applyNumberFormat="1" applyFont="1" applyFill="1" applyBorder="1" applyAlignment="1">
      <alignment horizontal="center"/>
    </xf>
    <xf numFmtId="0" fontId="24" fillId="0" borderId="40" xfId="0" applyFont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92" xfId="0" applyBorder="1" applyAlignment="1">
      <alignment horizontal="center"/>
    </xf>
    <xf numFmtId="166" fontId="24" fillId="12" borderId="53" xfId="0" applyNumberFormat="1" applyFont="1" applyFill="1" applyBorder="1" applyAlignment="1">
      <alignment horizontal="center"/>
    </xf>
    <xf numFmtId="166" fontId="8" fillId="13" borderId="133" xfId="0" applyNumberFormat="1" applyFont="1" applyFill="1" applyBorder="1" applyAlignment="1">
      <alignment horizontal="center"/>
    </xf>
    <xf numFmtId="166" fontId="8" fillId="13" borderId="114" xfId="0" applyNumberFormat="1" applyFont="1" applyFill="1" applyBorder="1" applyAlignment="1">
      <alignment horizontal="center"/>
    </xf>
    <xf numFmtId="0" fontId="8" fillId="0" borderId="32" xfId="0" applyFont="1" applyBorder="1" applyAlignment="1">
      <alignment horizontal="center"/>
    </xf>
    <xf numFmtId="0" fontId="8" fillId="0" borderId="31" xfId="0" applyFont="1" applyBorder="1" applyAlignment="1">
      <alignment horizontal="center"/>
    </xf>
    <xf numFmtId="0" fontId="8" fillId="0" borderId="29" xfId="0" applyFont="1" applyBorder="1" applyAlignment="1">
      <alignment horizontal="center"/>
    </xf>
    <xf numFmtId="0" fontId="8" fillId="0" borderId="30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0" fillId="11" borderId="3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11" borderId="5" xfId="0" applyFill="1" applyBorder="1" applyAlignment="1">
      <alignment horizontal="center"/>
    </xf>
    <xf numFmtId="0" fontId="6" fillId="0" borderId="26" xfId="0" applyFont="1" applyBorder="1" applyAlignment="1">
      <alignment horizontal="center"/>
    </xf>
    <xf numFmtId="0" fontId="6" fillId="0" borderId="27" xfId="0" applyFont="1" applyBorder="1" applyAlignment="1">
      <alignment horizontal="center"/>
    </xf>
    <xf numFmtId="0" fontId="6" fillId="0" borderId="92" xfId="0" applyFont="1" applyBorder="1" applyAlignment="1">
      <alignment horizontal="center"/>
    </xf>
    <xf numFmtId="0" fontId="0" fillId="0" borderId="33" xfId="0" applyBorder="1" applyAlignment="1">
      <alignment horizontal="center"/>
    </xf>
    <xf numFmtId="0" fontId="13" fillId="0" borderId="23" xfId="0" applyFont="1" applyBorder="1" applyAlignment="1">
      <alignment horizontal="center"/>
    </xf>
    <xf numFmtId="0" fontId="13" fillId="0" borderId="24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0" borderId="25" xfId="0" applyFont="1" applyBorder="1" applyAlignment="1">
      <alignment horizontal="center"/>
    </xf>
    <xf numFmtId="0" fontId="8" fillId="0" borderId="28" xfId="0" applyFont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49" fontId="0" fillId="0" borderId="160" xfId="0" applyNumberFormat="1" applyBorder="1" applyAlignment="1">
      <alignment horizontal="center"/>
    </xf>
    <xf numFmtId="49" fontId="0" fillId="0" borderId="5" xfId="0" applyNumberFormat="1" applyBorder="1" applyAlignment="1">
      <alignment horizontal="center"/>
    </xf>
    <xf numFmtId="0" fontId="3" fillId="0" borderId="160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22" fillId="0" borderId="0" xfId="0" applyFont="1" applyAlignment="1">
      <alignment horizontal="center"/>
    </xf>
    <xf numFmtId="0" fontId="6" fillId="0" borderId="18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5" fillId="0" borderId="0" xfId="0" applyFont="1" applyBorder="1" applyAlignment="1">
      <alignment horizontal="center"/>
    </xf>
    <xf numFmtId="0" fontId="8" fillId="0" borderId="35" xfId="0" applyFont="1" applyBorder="1" applyAlignment="1">
      <alignment horizontal="center"/>
    </xf>
    <xf numFmtId="0" fontId="8" fillId="0" borderId="33" xfId="0" applyFont="1" applyBorder="1" applyAlignment="1">
      <alignment horizontal="center"/>
    </xf>
    <xf numFmtId="0" fontId="8" fillId="0" borderId="27" xfId="0" applyFont="1" applyBorder="1" applyAlignment="1">
      <alignment horizontal="center"/>
    </xf>
    <xf numFmtId="0" fontId="8" fillId="0" borderId="34" xfId="0" applyFont="1" applyBorder="1" applyAlignment="1">
      <alignment horizontal="center"/>
    </xf>
    <xf numFmtId="0" fontId="8" fillId="9" borderId="18" xfId="0" applyFont="1" applyFill="1" applyBorder="1" applyAlignment="1">
      <alignment horizontal="center"/>
    </xf>
    <xf numFmtId="0" fontId="8" fillId="9" borderId="19" xfId="0" applyFont="1" applyFill="1" applyBorder="1" applyAlignment="1">
      <alignment horizontal="center"/>
    </xf>
    <xf numFmtId="0" fontId="8" fillId="9" borderId="20" xfId="0" applyFon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5" xfId="0" applyFill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8" fillId="0" borderId="24" xfId="0" applyFont="1" applyBorder="1" applyAlignment="1">
      <alignment horizontal="center"/>
    </xf>
    <xf numFmtId="0" fontId="8" fillId="0" borderId="24" xfId="0" applyFont="1" applyBorder="1" applyAlignment="1">
      <alignment horizontal="left"/>
    </xf>
    <xf numFmtId="0" fontId="8" fillId="0" borderId="25" xfId="0" applyFont="1" applyBorder="1" applyAlignment="1">
      <alignment horizontal="left"/>
    </xf>
    <xf numFmtId="19" fontId="8" fillId="8" borderId="26" xfId="0" applyNumberFormat="1" applyFont="1" applyFill="1" applyBorder="1" applyAlignment="1">
      <alignment horizontal="center"/>
    </xf>
    <xf numFmtId="0" fontId="8" fillId="8" borderId="27" xfId="0" applyFont="1" applyFill="1" applyBorder="1" applyAlignment="1">
      <alignment horizontal="center"/>
    </xf>
    <xf numFmtId="0" fontId="8" fillId="0" borderId="18" xfId="0" applyFont="1" applyBorder="1" applyAlignment="1">
      <alignment horizontal="center" shrinkToFit="1"/>
    </xf>
    <xf numFmtId="0" fontId="0" fillId="0" borderId="19" xfId="0" applyBorder="1" applyAlignment="1">
      <alignment horizontal="center" shrinkToFit="1"/>
    </xf>
    <xf numFmtId="0" fontId="0" fillId="0" borderId="20" xfId="0" applyBorder="1" applyAlignment="1">
      <alignment horizontal="center" shrinkToFit="1"/>
    </xf>
    <xf numFmtId="0" fontId="0" fillId="0" borderId="145" xfId="0" applyBorder="1"/>
    <xf numFmtId="0" fontId="0" fillId="0" borderId="86" xfId="0" applyBorder="1"/>
    <xf numFmtId="0" fontId="0" fillId="0" borderId="120" xfId="0" applyBorder="1"/>
    <xf numFmtId="0" fontId="0" fillId="0" borderId="95" xfId="0" applyBorder="1"/>
    <xf numFmtId="0" fontId="0" fillId="0" borderId="0" xfId="0"/>
    <xf numFmtId="0" fontId="0" fillId="0" borderId="94" xfId="0" applyBorder="1"/>
    <xf numFmtId="0" fontId="0" fillId="0" borderId="146" xfId="0" applyBorder="1"/>
    <xf numFmtId="0" fontId="0" fillId="0" borderId="147" xfId="0" applyBorder="1"/>
    <xf numFmtId="0" fontId="0" fillId="0" borderId="98" xfId="0" applyBorder="1"/>
    <xf numFmtId="0" fontId="13" fillId="0" borderId="26" xfId="0" applyFont="1" applyBorder="1" applyAlignment="1">
      <alignment horizontal="center"/>
    </xf>
    <xf numFmtId="0" fontId="13" fillId="0" borderId="92" xfId="0" applyFont="1" applyBorder="1" applyAlignment="1">
      <alignment horizontal="center"/>
    </xf>
    <xf numFmtId="0" fontId="0" fillId="0" borderId="17" xfId="0" applyBorder="1" applyAlignment="1">
      <alignment horizontal="center" vertical="center"/>
    </xf>
    <xf numFmtId="0" fontId="19" fillId="0" borderId="137" xfId="0" applyFont="1" applyBorder="1" applyAlignment="1">
      <alignment horizontal="center" vertical="center"/>
    </xf>
    <xf numFmtId="0" fontId="19" fillId="0" borderId="38" xfId="0" applyFont="1" applyBorder="1" applyAlignment="1">
      <alignment horizontal="center" vertical="center"/>
    </xf>
    <xf numFmtId="0" fontId="19" fillId="0" borderId="142" xfId="0" applyFont="1" applyBorder="1" applyAlignment="1">
      <alignment horizontal="center" vertical="center"/>
    </xf>
    <xf numFmtId="167" fontId="13" fillId="0" borderId="28" xfId="0" applyNumberFormat="1" applyFont="1" applyBorder="1" applyAlignment="1">
      <alignment horizontal="center" vertical="center"/>
    </xf>
    <xf numFmtId="167" fontId="13" fillId="0" borderId="36" xfId="0" applyNumberFormat="1" applyFont="1" applyBorder="1" applyAlignment="1">
      <alignment horizontal="center" vertical="center"/>
    </xf>
    <xf numFmtId="167" fontId="13" fillId="0" borderId="143" xfId="0" applyNumberFormat="1" applyFont="1" applyBorder="1" applyAlignment="1">
      <alignment horizontal="center" vertical="center"/>
    </xf>
    <xf numFmtId="167" fontId="13" fillId="0" borderId="35" xfId="0" applyNumberFormat="1" applyFont="1" applyBorder="1" applyAlignment="1">
      <alignment horizontal="center" vertical="center"/>
    </xf>
    <xf numFmtId="167" fontId="13" fillId="0" borderId="27" xfId="0" applyNumberFormat="1" applyFont="1" applyBorder="1" applyAlignment="1">
      <alignment horizontal="center" vertical="center"/>
    </xf>
    <xf numFmtId="167" fontId="13" fillId="0" borderId="24" xfId="0" applyNumberFormat="1" applyFont="1" applyBorder="1" applyAlignment="1">
      <alignment horizontal="center" vertical="center"/>
    </xf>
    <xf numFmtId="0" fontId="13" fillId="1" borderId="26" xfId="0" applyFont="1" applyFill="1" applyBorder="1" applyAlignment="1">
      <alignment horizontal="center"/>
    </xf>
    <xf numFmtId="0" fontId="0" fillId="1" borderId="27" xfId="0" applyFill="1" applyBorder="1" applyAlignment="1">
      <alignment horizontal="center"/>
    </xf>
    <xf numFmtId="0" fontId="0" fillId="1" borderId="92" xfId="0" applyFill="1" applyBorder="1" applyAlignment="1">
      <alignment horizontal="center"/>
    </xf>
    <xf numFmtId="167" fontId="13" fillId="0" borderId="35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/>
    </xf>
    <xf numFmtId="0" fontId="18" fillId="0" borderId="137" xfId="0" applyFont="1" applyBorder="1" applyAlignment="1">
      <alignment horizontal="center" vertical="center" textRotation="90" wrapText="1"/>
    </xf>
    <xf numFmtId="0" fontId="18" fillId="0" borderId="38" xfId="0" applyFont="1" applyBorder="1" applyAlignment="1">
      <alignment horizontal="center" vertical="center" textRotation="90" wrapText="1"/>
    </xf>
    <xf numFmtId="0" fontId="18" fillId="0" borderId="139" xfId="0" applyFont="1" applyBorder="1" applyAlignment="1">
      <alignment horizontal="center" vertical="center" textRotation="90" wrapText="1"/>
    </xf>
    <xf numFmtId="0" fontId="13" fillId="0" borderId="28" xfId="0" applyFont="1" applyBorder="1" applyAlignment="1">
      <alignment horizontal="center" vertical="center" wrapText="1"/>
    </xf>
    <xf numFmtId="0" fontId="13" fillId="0" borderId="36" xfId="0" applyFont="1" applyBorder="1" applyAlignment="1">
      <alignment horizontal="center" vertical="center" wrapText="1"/>
    </xf>
    <xf numFmtId="0" fontId="13" fillId="0" borderId="140" xfId="0" applyFont="1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0" fillId="0" borderId="36" xfId="0" applyBorder="1" applyAlignment="1">
      <alignment horizontal="center" vertical="center" wrapText="1"/>
    </xf>
    <xf numFmtId="0" fontId="18" fillId="0" borderId="9" xfId="0" applyFont="1" applyBorder="1" applyAlignment="1">
      <alignment horizontal="center" vertical="center" textRotation="90"/>
    </xf>
    <xf numFmtId="0" fontId="18" fillId="0" borderId="138" xfId="0" applyFont="1" applyBorder="1" applyAlignment="1">
      <alignment horizontal="center" vertical="center" textRotation="90"/>
    </xf>
    <xf numFmtId="0" fontId="13" fillId="0" borderId="30" xfId="0" applyFont="1" applyBorder="1" applyAlignment="1">
      <alignment horizontal="center" vertical="center" wrapText="1"/>
    </xf>
    <xf numFmtId="0" fontId="0" fillId="0" borderId="92" xfId="0" applyBorder="1" applyAlignment="1">
      <alignment horizontal="center" vertical="center" wrapText="1"/>
    </xf>
    <xf numFmtId="0" fontId="13" fillId="0" borderId="19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0" fillId="15" borderId="0" xfId="0" applyFill="1" applyAlignment="1">
      <alignment horizontal="center" vertical="center" wrapText="1"/>
    </xf>
    <xf numFmtId="0" fontId="0" fillId="15" borderId="0" xfId="0" applyFill="1" applyAlignment="1">
      <alignment horizontal="center" vertical="center"/>
    </xf>
    <xf numFmtId="0" fontId="3" fillId="0" borderId="174" xfId="0" applyFont="1" applyFill="1" applyBorder="1"/>
    <xf numFmtId="14" fontId="3" fillId="0" borderId="175" xfId="0" applyNumberFormat="1" applyFont="1" applyFill="1" applyBorder="1"/>
    <xf numFmtId="20" fontId="3" fillId="0" borderId="175" xfId="0" applyNumberFormat="1" applyFont="1" applyFill="1" applyBorder="1"/>
    <xf numFmtId="0" fontId="3" fillId="0" borderId="175" xfId="0" applyFont="1" applyFill="1" applyBorder="1"/>
    <xf numFmtId="0" fontId="3" fillId="0" borderId="176" xfId="0" applyFont="1" applyFill="1" applyBorder="1"/>
    <xf numFmtId="0" fontId="3" fillId="0" borderId="177" xfId="0" applyFont="1" applyFill="1" applyBorder="1"/>
    <xf numFmtId="0" fontId="3" fillId="0" borderId="178" xfId="0" applyFont="1" applyFill="1" applyBorder="1"/>
    <xf numFmtId="20" fontId="3" fillId="0" borderId="178" xfId="0" applyNumberFormat="1" applyFont="1" applyFill="1" applyBorder="1"/>
    <xf numFmtId="0" fontId="3" fillId="0" borderId="179" xfId="0" applyFont="1" applyFill="1" applyBorder="1"/>
  </cellXfs>
  <cellStyles count="1">
    <cellStyle name="Normal" xfId="0" builtinId="0"/>
  </cellStyles>
  <dxfs count="6"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colors>
    <mruColors>
      <color rgb="FF5C5C5C"/>
      <color rgb="FFFFAA55"/>
      <color rgb="FFFF6A6A"/>
      <color rgb="FFFFC90E"/>
      <color rgb="FFFFEBEB"/>
      <color rgb="FF8CFFFF"/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519768133668813E-2"/>
          <c:y val="4.5830834613165616E-2"/>
          <c:w val="0.94622908101029368"/>
          <c:h val="0.73602008727237267"/>
        </c:manualLayout>
      </c:layout>
      <c:barChart>
        <c:barDir val="col"/>
        <c:grouping val="clustered"/>
        <c:varyColors val="0"/>
        <c:ser>
          <c:idx val="0"/>
          <c:order val="0"/>
          <c:tx>
            <c:v>Travail</c:v>
          </c:tx>
          <c:spPr>
            <a:solidFill>
              <a:srgbClr val="0096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BC-CD3D-4296-B37B-F94A0980C878}"/>
            </c:ext>
          </c:extLst>
        </c:ser>
        <c:ser>
          <c:idx val="1"/>
          <c:order val="1"/>
          <c:tx>
            <c:v>Pause</c:v>
          </c:tx>
          <c:spPr>
            <a:solidFill>
              <a:srgbClr val="FFC8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BD-CD3D-4296-B37B-F94A0980C878}"/>
            </c:ext>
          </c:extLst>
        </c:ser>
        <c:ser>
          <c:idx val="2"/>
          <c:order val="2"/>
          <c:tx>
            <c:v>Inactif</c:v>
          </c:tx>
          <c:spPr>
            <a:solidFill>
              <a:srgbClr val="DCDCDC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BE-CD3D-4296-B37B-F94A0980C878}"/>
            </c:ext>
          </c:extLst>
        </c:ser>
        <c:ser>
          <c:idx val="3"/>
          <c:order val="3"/>
          <c:tx>
            <c:v>Erreur</c:v>
          </c:tx>
          <c:spPr>
            <a:solidFill>
              <a:srgbClr val="FF00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BF-CD3D-4296-B37B-F94A0980C8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1209695"/>
        <c:axId val="561201375"/>
      </c:barChart>
      <c:catAx>
        <c:axId val="561209695"/>
        <c:scaling>
          <c:orientation val="minMax"/>
        </c:scaling>
        <c:delete val="0"/>
        <c:axPos val="b"/>
        <c:numFmt formatCode="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561201375"/>
        <c:crosses val="autoZero"/>
        <c:auto val="1"/>
        <c:lblAlgn val="ctr"/>
        <c:lblOffset val="100"/>
        <c:noMultiLvlLbl val="0"/>
      </c:catAx>
      <c:valAx>
        <c:axId val="561201375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1209695"/>
        <c:crosses val="autoZero"/>
        <c:crossBetween val="between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3" Type="http://schemas.openxmlformats.org/officeDocument/2006/relationships/image" Target="../media/image9.emf"/><Relationship Id="rId7" Type="http://schemas.openxmlformats.org/officeDocument/2006/relationships/image" Target="../media/image6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12.emf"/><Relationship Id="rId5" Type="http://schemas.openxmlformats.org/officeDocument/2006/relationships/image" Target="../media/image11.emf"/><Relationship Id="rId4" Type="http://schemas.openxmlformats.org/officeDocument/2006/relationships/image" Target="../media/image10.emf"/><Relationship Id="rId9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6" Type="http://schemas.openxmlformats.org/officeDocument/2006/relationships/image" Target="../media/image20.emf"/><Relationship Id="rId5" Type="http://schemas.openxmlformats.org/officeDocument/2006/relationships/image" Target="../media/image15.emf"/><Relationship Id="rId4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12</xdr:col>
          <xdr:colOff>400050</xdr:colOff>
          <xdr:row>1</xdr:row>
          <xdr:rowOff>38100</xdr:rowOff>
        </xdr:to>
        <xdr:sp macro="" textlink="">
          <xdr:nvSpPr>
            <xdr:cNvPr id="17409" name="MonthMinus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16</xdr:col>
          <xdr:colOff>400050</xdr:colOff>
          <xdr:row>1</xdr:row>
          <xdr:rowOff>38100</xdr:rowOff>
        </xdr:to>
        <xdr:sp macro="" textlink="">
          <xdr:nvSpPr>
            <xdr:cNvPr id="17410" name="MonthPlus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70</xdr:row>
          <xdr:rowOff>76200</xdr:rowOff>
        </xdr:from>
        <xdr:to>
          <xdr:col>9</xdr:col>
          <xdr:colOff>381000</xdr:colOff>
          <xdr:row>72</xdr:row>
          <xdr:rowOff>66675</xdr:rowOff>
        </xdr:to>
        <xdr:sp macro="" textlink="">
          <xdr:nvSpPr>
            <xdr:cNvPr id="17412" name="CommandButton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66</xdr:row>
          <xdr:rowOff>142875</xdr:rowOff>
        </xdr:from>
        <xdr:to>
          <xdr:col>11</xdr:col>
          <xdr:colOff>352425</xdr:colOff>
          <xdr:row>68</xdr:row>
          <xdr:rowOff>38100</xdr:rowOff>
        </xdr:to>
        <xdr:sp macro="" textlink="">
          <xdr:nvSpPr>
            <xdr:cNvPr id="17413" name="ActuPrt_btn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75</xdr:row>
          <xdr:rowOff>114300</xdr:rowOff>
        </xdr:from>
        <xdr:to>
          <xdr:col>9</xdr:col>
          <xdr:colOff>152400</xdr:colOff>
          <xdr:row>76</xdr:row>
          <xdr:rowOff>180975</xdr:rowOff>
        </xdr:to>
        <xdr:sp macro="" textlink="">
          <xdr:nvSpPr>
            <xdr:cNvPr id="17414" name="ChkPreview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</xdr:row>
          <xdr:rowOff>123825</xdr:rowOff>
        </xdr:from>
        <xdr:to>
          <xdr:col>7</xdr:col>
          <xdr:colOff>390525</xdr:colOff>
          <xdr:row>4</xdr:row>
          <xdr:rowOff>123825</xdr:rowOff>
        </xdr:to>
        <xdr:sp macro="" textlink="">
          <xdr:nvSpPr>
            <xdr:cNvPr id="10242" name="DatePickerBtn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43" name="DisableBtn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48" name="DelBtn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1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18</xdr:row>
          <xdr:rowOff>38100</xdr:rowOff>
        </xdr:from>
        <xdr:to>
          <xdr:col>6</xdr:col>
          <xdr:colOff>647700</xdr:colOff>
          <xdr:row>19</xdr:row>
          <xdr:rowOff>114300</xdr:rowOff>
        </xdr:to>
        <xdr:sp macro="" textlink="">
          <xdr:nvSpPr>
            <xdr:cNvPr id="10249" name="NewPtBtn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1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171450</xdr:rowOff>
        </xdr:from>
        <xdr:to>
          <xdr:col>8</xdr:col>
          <xdr:colOff>1114425</xdr:colOff>
          <xdr:row>13</xdr:row>
          <xdr:rowOff>57150</xdr:rowOff>
        </xdr:to>
        <xdr:sp macro="" textlink="">
          <xdr:nvSpPr>
            <xdr:cNvPr id="10250" name="CorrBtn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1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8</xdr:col>
          <xdr:colOff>1114425</xdr:colOff>
          <xdr:row>15</xdr:row>
          <xdr:rowOff>57150</xdr:rowOff>
        </xdr:to>
        <xdr:sp macro="" textlink="">
          <xdr:nvSpPr>
            <xdr:cNvPr id="10251" name="CorrRejBtn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1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26</xdr:row>
          <xdr:rowOff>38100</xdr:rowOff>
        </xdr:from>
        <xdr:to>
          <xdr:col>7</xdr:col>
          <xdr:colOff>628650</xdr:colOff>
          <xdr:row>27</xdr:row>
          <xdr:rowOff>123825</xdr:rowOff>
        </xdr:to>
        <xdr:sp macro="" textlink="">
          <xdr:nvSpPr>
            <xdr:cNvPr id="10252" name="InfoCorrectionBtn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1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23</xdr:row>
          <xdr:rowOff>104775</xdr:rowOff>
        </xdr:from>
        <xdr:to>
          <xdr:col>7</xdr:col>
          <xdr:colOff>352425</xdr:colOff>
          <xdr:row>25</xdr:row>
          <xdr:rowOff>9525</xdr:rowOff>
        </xdr:to>
        <xdr:sp macro="" textlink="">
          <xdr:nvSpPr>
            <xdr:cNvPr id="10253" name="DL_Pointages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1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260350</xdr:colOff>
      <xdr:row>31</xdr:row>
      <xdr:rowOff>104775</xdr:rowOff>
    </xdr:from>
    <xdr:to>
      <xdr:col>13</xdr:col>
      <xdr:colOff>266700</xdr:colOff>
      <xdr:row>47</xdr:row>
      <xdr:rowOff>133350</xdr:rowOff>
    </xdr:to>
    <xdr:graphicFrame macro="">
      <xdr:nvGraphicFramePr>
        <xdr:cNvPr id="33" name="Graphique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276225</xdr:colOff>
          <xdr:row>5</xdr:row>
          <xdr:rowOff>161925</xdr:rowOff>
        </xdr:from>
        <xdr:to>
          <xdr:col>18</xdr:col>
          <xdr:colOff>1743075</xdr:colOff>
          <xdr:row>6</xdr:row>
          <xdr:rowOff>190500</xdr:rowOff>
        </xdr:to>
        <xdr:sp macro="" textlink="">
          <xdr:nvSpPr>
            <xdr:cNvPr id="10256" name="PrecisChk" hidden="1">
              <a:extLst>
                <a:ext uri="{63B3BB69-23CF-44E3-9099-C40C66FF867C}">
                  <a14:compatExt spid="_x0000_s10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495300</xdr:colOff>
          <xdr:row>30</xdr:row>
          <xdr:rowOff>0</xdr:rowOff>
        </xdr:from>
        <xdr:to>
          <xdr:col>8</xdr:col>
          <xdr:colOff>361950</xdr:colOff>
          <xdr:row>31</xdr:row>
          <xdr:rowOff>161925</xdr:rowOff>
        </xdr:to>
        <xdr:sp macro="" textlink="">
          <xdr:nvSpPr>
            <xdr:cNvPr id="3074" name="Upt_list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276225</xdr:colOff>
          <xdr:row>8</xdr:row>
          <xdr:rowOff>76200</xdr:rowOff>
        </xdr:from>
        <xdr:to>
          <xdr:col>15</xdr:col>
          <xdr:colOff>247650</xdr:colOff>
          <xdr:row>10</xdr:row>
          <xdr:rowOff>0</xdr:rowOff>
        </xdr:to>
        <xdr:sp macro="" textlink="">
          <xdr:nvSpPr>
            <xdr:cNvPr id="3075" name="ReadCfg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47625</xdr:rowOff>
        </xdr:from>
        <xdr:to>
          <xdr:col>3</xdr:col>
          <xdr:colOff>123825</xdr:colOff>
          <xdr:row>53</xdr:row>
          <xdr:rowOff>171450</xdr:rowOff>
        </xdr:to>
        <xdr:sp macro="" textlink="">
          <xdr:nvSpPr>
            <xdr:cNvPr id="3076" name="UpdtCfg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685800</xdr:colOff>
          <xdr:row>3</xdr:row>
          <xdr:rowOff>123825</xdr:rowOff>
        </xdr:from>
        <xdr:to>
          <xdr:col>15</xdr:col>
          <xdr:colOff>571500</xdr:colOff>
          <xdr:row>5</xdr:row>
          <xdr:rowOff>85725</xdr:rowOff>
        </xdr:to>
        <xdr:sp macro="" textlink="">
          <xdr:nvSpPr>
            <xdr:cNvPr id="3078" name="ImportBtn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6</xdr:row>
          <xdr:rowOff>9525</xdr:rowOff>
        </xdr:from>
        <xdr:to>
          <xdr:col>15</xdr:col>
          <xdr:colOff>295275</xdr:colOff>
          <xdr:row>7</xdr:row>
          <xdr:rowOff>171450</xdr:rowOff>
        </xdr:to>
        <xdr:sp macro="" textlink="">
          <xdr:nvSpPr>
            <xdr:cNvPr id="3079" name="Get_list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409575</xdr:colOff>
          <xdr:row>23</xdr:row>
          <xdr:rowOff>168275</xdr:rowOff>
        </xdr:from>
        <xdr:to>
          <xdr:col>8</xdr:col>
          <xdr:colOff>419100</xdr:colOff>
          <xdr:row>25</xdr:row>
          <xdr:rowOff>149225</xdr:rowOff>
        </xdr:to>
        <xdr:sp macro="" textlink="">
          <xdr:nvSpPr>
            <xdr:cNvPr id="3080" name="ExportBtn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au1" displayName="Tableau1" ref="A1:D30" totalsRowShown="0" headerRowDxfId="5" tableBorderDxfId="4">
  <autoFilter ref="A1:D30"/>
  <tableColumns count="4">
    <tableColumn id="1" name="Employé" dataDxfId="3"/>
    <tableColumn id="2" name="Code" dataDxfId="2"/>
    <tableColumn id="3" name="Temps Partiel (x)" dataDxfId="1"/>
    <tableColumn id="4" name="App Version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13" Type="http://schemas.openxmlformats.org/officeDocument/2006/relationships/image" Target="../media/image10.emf"/><Relationship Id="rId18" Type="http://schemas.openxmlformats.org/officeDocument/2006/relationships/control" Target="../activeX/activeX13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4.emf"/><Relationship Id="rId7" Type="http://schemas.openxmlformats.org/officeDocument/2006/relationships/image" Target="../media/image7.emf"/><Relationship Id="rId12" Type="http://schemas.openxmlformats.org/officeDocument/2006/relationships/control" Target="../activeX/activeX10.xml"/><Relationship Id="rId17" Type="http://schemas.openxmlformats.org/officeDocument/2006/relationships/image" Target="../media/image12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2.xml"/><Relationship Id="rId20" Type="http://schemas.openxmlformats.org/officeDocument/2006/relationships/control" Target="../activeX/activeX1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11" Type="http://schemas.openxmlformats.org/officeDocument/2006/relationships/image" Target="../media/image9.emf"/><Relationship Id="rId5" Type="http://schemas.openxmlformats.org/officeDocument/2006/relationships/image" Target="../media/image6.emf"/><Relationship Id="rId15" Type="http://schemas.openxmlformats.org/officeDocument/2006/relationships/image" Target="../media/image11.emf"/><Relationship Id="rId10" Type="http://schemas.openxmlformats.org/officeDocument/2006/relationships/control" Target="../activeX/activeX9.xml"/><Relationship Id="rId19" Type="http://schemas.openxmlformats.org/officeDocument/2006/relationships/image" Target="../media/image13.emf"/><Relationship Id="rId4" Type="http://schemas.openxmlformats.org/officeDocument/2006/relationships/control" Target="../activeX/activeX6.xml"/><Relationship Id="rId9" Type="http://schemas.openxmlformats.org/officeDocument/2006/relationships/image" Target="../media/image8.emf"/><Relationship Id="rId14" Type="http://schemas.openxmlformats.org/officeDocument/2006/relationships/control" Target="../activeX/activeX1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3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5" Type="http://schemas.openxmlformats.org/officeDocument/2006/relationships/image" Target="../media/image20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Relationship Id="rId14" Type="http://schemas.openxmlformats.org/officeDocument/2006/relationships/control" Target="../activeX/activeX20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B1:AP96"/>
  <sheetViews>
    <sheetView showZeros="0" tabSelected="1" workbookViewId="0">
      <selection activeCell="S8" sqref="S8:T8"/>
    </sheetView>
  </sheetViews>
  <sheetFormatPr baseColWidth="10" defaultRowHeight="15" x14ac:dyDescent="0.25"/>
  <cols>
    <col min="1" max="1" width="4.28515625" style="24" customWidth="1"/>
    <col min="2" max="2" width="9.42578125" style="24" customWidth="1"/>
    <col min="3" max="3" width="11.42578125" style="24"/>
    <col min="4" max="25" width="6.140625" style="24" customWidth="1"/>
    <col min="26" max="26" width="6.140625" style="236" customWidth="1"/>
    <col min="27" max="28" width="6.140625" style="295" customWidth="1"/>
    <col min="29" max="39" width="6.140625" style="24" customWidth="1"/>
    <col min="40" max="47" width="6" style="24" customWidth="1"/>
    <col min="48" max="54" width="11.42578125" style="24"/>
    <col min="55" max="55" width="11.42578125" style="24" customWidth="1"/>
    <col min="56" max="16384" width="11.42578125" style="24"/>
  </cols>
  <sheetData>
    <row r="1" spans="3:40" ht="16.5" thickBot="1" x14ac:dyDescent="0.3">
      <c r="M1" s="125"/>
      <c r="N1" s="378" t="s">
        <v>153</v>
      </c>
      <c r="O1" s="378"/>
      <c r="P1" s="378"/>
      <c r="Q1" s="125"/>
      <c r="S1" s="378">
        <v>2025</v>
      </c>
      <c r="T1" s="378"/>
      <c r="X1" s="24" t="s">
        <v>75</v>
      </c>
      <c r="AA1" s="332"/>
      <c r="AB1" s="332"/>
      <c r="AC1" s="26"/>
      <c r="AD1" s="26"/>
      <c r="AE1" s="26"/>
    </row>
    <row r="2" spans="3:40" ht="15.75" thickBot="1" x14ac:dyDescent="0.3">
      <c r="E2" s="379" t="s">
        <v>76</v>
      </c>
      <c r="F2" s="380"/>
      <c r="G2" s="381"/>
    </row>
    <row r="4" spans="3:40" x14ac:dyDescent="0.25">
      <c r="C4" s="26"/>
      <c r="D4" s="128"/>
      <c r="E4" s="128"/>
      <c r="F4" s="128"/>
      <c r="G4" s="128"/>
      <c r="H4" s="128"/>
      <c r="I4" s="128"/>
      <c r="J4" s="128"/>
      <c r="K4" s="128"/>
      <c r="L4" s="128"/>
      <c r="M4" s="128"/>
      <c r="N4" s="128"/>
      <c r="O4" s="128"/>
      <c r="P4" s="128"/>
      <c r="Q4" s="128"/>
      <c r="R4" s="128"/>
      <c r="S4" s="128"/>
      <c r="T4" s="128"/>
      <c r="U4" s="128"/>
      <c r="V4" s="128"/>
      <c r="W4" s="128"/>
      <c r="X4" s="128"/>
      <c r="Y4" s="128"/>
      <c r="Z4" s="128"/>
      <c r="AA4" s="128"/>
      <c r="AB4" s="128"/>
      <c r="AC4" s="128"/>
      <c r="AD4" s="128"/>
      <c r="AE4" s="223"/>
      <c r="AF4" s="128"/>
      <c r="AG4" s="128"/>
      <c r="AH4" s="128"/>
      <c r="AI4" s="128"/>
      <c r="AJ4" s="226"/>
      <c r="AK4" s="128"/>
      <c r="AL4" s="128"/>
      <c r="AM4" s="128"/>
      <c r="AN4" s="128"/>
    </row>
    <row r="5" spans="3:40" x14ac:dyDescent="0.25">
      <c r="C5" s="224"/>
      <c r="D5" s="128"/>
      <c r="E5" s="128"/>
      <c r="F5" s="128"/>
      <c r="G5" s="128"/>
      <c r="H5" s="128"/>
      <c r="I5" s="128"/>
      <c r="J5" s="128"/>
      <c r="K5" s="128"/>
      <c r="L5" s="128"/>
      <c r="M5" s="128"/>
      <c r="N5" s="128"/>
      <c r="O5" s="128"/>
      <c r="P5" s="128"/>
      <c r="Q5" s="128"/>
      <c r="R5" s="128"/>
      <c r="S5" s="128"/>
      <c r="T5" s="128"/>
      <c r="U5" s="128"/>
      <c r="V5" s="128"/>
      <c r="W5" s="128"/>
      <c r="X5" s="128"/>
      <c r="Y5" s="128"/>
      <c r="Z5" s="128"/>
      <c r="AA5" s="128"/>
      <c r="AB5" s="128"/>
      <c r="AC5" s="128"/>
      <c r="AD5" s="128"/>
      <c r="AE5" s="223"/>
      <c r="AF5" s="128"/>
      <c r="AG5" s="128"/>
      <c r="AH5" s="128"/>
      <c r="AI5" s="128"/>
      <c r="AJ5" s="226"/>
      <c r="AK5" s="128"/>
      <c r="AL5" s="128"/>
      <c r="AM5" s="128"/>
      <c r="AN5" s="128"/>
    </row>
    <row r="6" spans="3:40" x14ac:dyDescent="0.25">
      <c r="C6" s="224"/>
      <c r="D6" s="128"/>
      <c r="E6" s="128"/>
      <c r="F6" s="129"/>
      <c r="G6" s="129"/>
      <c r="H6" s="128"/>
      <c r="I6" s="129"/>
      <c r="J6" s="129"/>
      <c r="K6" s="129"/>
      <c r="L6" s="129"/>
      <c r="M6" s="129"/>
      <c r="N6" s="129"/>
      <c r="O6" s="129"/>
      <c r="P6" s="129"/>
      <c r="Q6" s="129"/>
      <c r="R6" s="129"/>
      <c r="S6" s="128"/>
      <c r="T6" s="128"/>
      <c r="U6" s="129"/>
      <c r="V6" s="129"/>
      <c r="W6" s="128"/>
      <c r="X6" s="128"/>
      <c r="Y6" s="128"/>
      <c r="Z6" s="128"/>
      <c r="AA6" s="128"/>
      <c r="AB6" s="128"/>
      <c r="AC6" s="129"/>
      <c r="AD6" s="129"/>
      <c r="AE6" s="225"/>
      <c r="AF6" s="129"/>
      <c r="AG6" s="129"/>
      <c r="AH6" s="129"/>
      <c r="AI6" s="129"/>
      <c r="AJ6" s="226"/>
      <c r="AK6" s="128"/>
      <c r="AL6" s="128"/>
      <c r="AM6" s="129"/>
      <c r="AN6" s="129"/>
    </row>
    <row r="7" spans="3:40" x14ac:dyDescent="0.25">
      <c r="C7" s="224"/>
      <c r="D7" s="128"/>
      <c r="E7" s="128"/>
      <c r="F7" s="129"/>
      <c r="G7" s="129"/>
      <c r="H7" s="128"/>
      <c r="I7" s="129"/>
      <c r="J7" s="129"/>
      <c r="K7" s="129"/>
      <c r="L7" s="129"/>
      <c r="M7" s="129"/>
      <c r="N7" s="129"/>
      <c r="O7" s="129"/>
      <c r="P7" s="129"/>
      <c r="Q7" s="129"/>
      <c r="R7" s="129"/>
      <c r="S7" s="128"/>
      <c r="T7" s="128"/>
      <c r="U7" s="129"/>
      <c r="V7" s="129"/>
      <c r="W7" s="128"/>
      <c r="X7" s="128"/>
      <c r="Y7" s="128"/>
      <c r="Z7" s="128"/>
      <c r="AA7" s="128"/>
      <c r="AB7" s="128"/>
      <c r="AC7" s="129"/>
      <c r="AD7" s="129"/>
      <c r="AE7" s="225"/>
      <c r="AF7" s="129"/>
      <c r="AG7" s="129"/>
      <c r="AH7" s="129"/>
      <c r="AI7" s="129"/>
      <c r="AJ7" s="226"/>
      <c r="AK7" s="128"/>
      <c r="AL7" s="128"/>
      <c r="AM7" s="129"/>
      <c r="AN7" s="129"/>
    </row>
    <row r="8" spans="3:40" x14ac:dyDescent="0.25">
      <c r="C8" s="224"/>
      <c r="D8" s="128"/>
      <c r="E8" s="128"/>
      <c r="F8" s="129"/>
      <c r="G8" s="129"/>
      <c r="H8" s="128"/>
      <c r="I8" s="129"/>
      <c r="J8" s="129"/>
      <c r="K8" s="129"/>
      <c r="L8" s="129"/>
      <c r="M8" s="129"/>
      <c r="N8" s="129"/>
      <c r="O8" s="129"/>
      <c r="P8" s="129"/>
      <c r="Q8" s="129"/>
      <c r="R8" s="129"/>
      <c r="S8" s="128"/>
      <c r="T8" s="128"/>
      <c r="U8" s="129"/>
      <c r="V8" s="129"/>
      <c r="W8" s="128"/>
      <c r="X8" s="128"/>
      <c r="Y8" s="128"/>
      <c r="Z8" s="128"/>
      <c r="AA8" s="128"/>
      <c r="AB8" s="128"/>
      <c r="AC8" s="129"/>
      <c r="AD8" s="129"/>
      <c r="AE8" s="225"/>
      <c r="AF8" s="129"/>
      <c r="AG8" s="129"/>
      <c r="AH8" s="129"/>
      <c r="AI8" s="129"/>
      <c r="AJ8" s="226"/>
      <c r="AK8" s="128"/>
      <c r="AL8" s="128"/>
      <c r="AM8" s="129"/>
      <c r="AN8" s="129"/>
    </row>
    <row r="9" spans="3:40" x14ac:dyDescent="0.25">
      <c r="C9" s="224"/>
      <c r="D9" s="128"/>
      <c r="E9" s="128"/>
      <c r="F9" s="129"/>
      <c r="G9" s="129"/>
      <c r="H9" s="128"/>
      <c r="I9" s="129"/>
      <c r="J9" s="129"/>
      <c r="K9" s="129"/>
      <c r="L9" s="129"/>
      <c r="M9" s="129"/>
      <c r="N9" s="129"/>
      <c r="O9" s="129"/>
      <c r="P9" s="129"/>
      <c r="Q9" s="129"/>
      <c r="R9" s="129"/>
      <c r="S9" s="128"/>
      <c r="T9" s="128"/>
      <c r="U9" s="129"/>
      <c r="V9" s="129"/>
      <c r="W9" s="128"/>
      <c r="X9" s="128"/>
      <c r="Y9" s="128"/>
      <c r="Z9" s="128"/>
      <c r="AA9" s="128"/>
      <c r="AB9" s="128"/>
      <c r="AC9" s="129"/>
      <c r="AD9" s="129"/>
      <c r="AE9" s="225"/>
      <c r="AF9" s="129"/>
      <c r="AG9" s="129"/>
      <c r="AH9" s="129"/>
      <c r="AI9" s="129"/>
      <c r="AJ9" s="226"/>
      <c r="AK9" s="128"/>
      <c r="AL9" s="128"/>
      <c r="AM9" s="129"/>
      <c r="AN9" s="129"/>
    </row>
    <row r="10" spans="3:40" x14ac:dyDescent="0.25">
      <c r="C10" s="224"/>
      <c r="D10" s="128"/>
      <c r="E10" s="128"/>
      <c r="F10" s="129"/>
      <c r="G10" s="129"/>
      <c r="H10" s="128"/>
      <c r="I10" s="129"/>
      <c r="J10" s="129"/>
      <c r="K10" s="129"/>
      <c r="L10" s="129"/>
      <c r="M10" s="129"/>
      <c r="N10" s="129"/>
      <c r="O10" s="129"/>
      <c r="P10" s="129"/>
      <c r="Q10" s="129"/>
      <c r="R10" s="129"/>
      <c r="S10" s="128"/>
      <c r="T10" s="128"/>
      <c r="U10" s="129"/>
      <c r="V10" s="129"/>
      <c r="W10" s="128"/>
      <c r="X10" s="128"/>
      <c r="Y10" s="128"/>
      <c r="Z10" s="128"/>
      <c r="AA10" s="128"/>
      <c r="AB10" s="128"/>
      <c r="AC10" s="129"/>
      <c r="AD10" s="129"/>
      <c r="AE10" s="225"/>
      <c r="AF10" s="129"/>
      <c r="AG10" s="129"/>
      <c r="AH10" s="129"/>
      <c r="AI10" s="129"/>
      <c r="AJ10" s="226"/>
      <c r="AK10" s="128"/>
      <c r="AL10" s="128"/>
      <c r="AM10" s="129"/>
      <c r="AN10" s="129"/>
    </row>
    <row r="11" spans="3:40" x14ac:dyDescent="0.25">
      <c r="C11" s="224"/>
      <c r="D11" s="128"/>
      <c r="E11" s="128"/>
      <c r="F11" s="129"/>
      <c r="G11" s="129"/>
      <c r="H11" s="128"/>
      <c r="I11" s="129"/>
      <c r="J11" s="129"/>
      <c r="K11" s="129"/>
      <c r="L11" s="129"/>
      <c r="M11" s="129"/>
      <c r="N11" s="129"/>
      <c r="O11" s="129"/>
      <c r="P11" s="129"/>
      <c r="Q11" s="129"/>
      <c r="R11" s="129"/>
      <c r="S11" s="128"/>
      <c r="T11" s="128"/>
      <c r="U11" s="129"/>
      <c r="V11" s="129"/>
      <c r="W11" s="128"/>
      <c r="X11" s="128"/>
      <c r="Y11" s="128"/>
      <c r="Z11" s="128"/>
      <c r="AA11" s="128"/>
      <c r="AB11" s="128"/>
      <c r="AC11" s="129"/>
      <c r="AD11" s="129"/>
      <c r="AE11" s="225"/>
      <c r="AF11" s="129"/>
      <c r="AG11" s="129"/>
      <c r="AH11" s="129"/>
      <c r="AI11" s="129"/>
      <c r="AJ11" s="226"/>
      <c r="AK11" s="128"/>
      <c r="AL11" s="128"/>
      <c r="AM11" s="129"/>
      <c r="AN11" s="129"/>
    </row>
    <row r="12" spans="3:40" x14ac:dyDescent="0.25">
      <c r="C12" s="224"/>
      <c r="D12" s="223"/>
      <c r="E12" s="223"/>
      <c r="F12" s="223"/>
      <c r="G12" s="223"/>
      <c r="H12" s="223"/>
      <c r="I12" s="223"/>
      <c r="J12" s="223"/>
      <c r="K12" s="223"/>
      <c r="L12" s="223"/>
      <c r="M12" s="223"/>
      <c r="N12" s="223"/>
      <c r="O12" s="223"/>
      <c r="P12" s="223"/>
      <c r="Q12" s="223"/>
      <c r="R12" s="223"/>
      <c r="S12" s="223"/>
      <c r="T12" s="223"/>
      <c r="U12" s="223"/>
      <c r="V12" s="223"/>
      <c r="W12" s="223"/>
      <c r="X12" s="223"/>
      <c r="Y12" s="223"/>
      <c r="Z12" s="223"/>
      <c r="AA12" s="223"/>
      <c r="AB12" s="223"/>
      <c r="AC12" s="223"/>
      <c r="AD12" s="223"/>
      <c r="AE12" s="223"/>
      <c r="AF12" s="223"/>
      <c r="AG12" s="226"/>
      <c r="AH12" s="226"/>
      <c r="AI12" s="226"/>
      <c r="AJ12" s="226"/>
      <c r="AK12" s="226"/>
      <c r="AL12" s="226"/>
      <c r="AM12" s="226"/>
      <c r="AN12" s="226"/>
    </row>
    <row r="13" spans="3:40" s="43" customFormat="1" ht="15" hidden="1" customHeight="1" x14ac:dyDescent="0.25">
      <c r="C13" s="291"/>
      <c r="D13" s="128"/>
      <c r="E13" s="128"/>
      <c r="F13" s="128"/>
      <c r="G13" s="128"/>
      <c r="H13" s="223"/>
      <c r="I13" s="128"/>
      <c r="J13" s="128"/>
      <c r="K13" s="128"/>
      <c r="L13" s="128"/>
      <c r="M13" s="223"/>
      <c r="N13" s="128"/>
      <c r="O13" s="128"/>
      <c r="P13" s="128"/>
      <c r="Q13" s="128"/>
      <c r="R13" s="223"/>
      <c r="S13" s="128"/>
      <c r="T13" s="128"/>
      <c r="U13" s="128"/>
      <c r="V13" s="128"/>
      <c r="W13" s="223"/>
      <c r="X13" s="128"/>
      <c r="Y13" s="128"/>
      <c r="Z13" s="128"/>
      <c r="AA13" s="128"/>
      <c r="AB13" s="128"/>
      <c r="AC13" s="128"/>
      <c r="AD13" s="128"/>
      <c r="AE13" s="223"/>
      <c r="AF13" s="128"/>
      <c r="AG13" s="128"/>
      <c r="AH13" s="128"/>
      <c r="AI13" s="128"/>
      <c r="AJ13" s="226"/>
      <c r="AK13" s="128"/>
      <c r="AL13" s="128"/>
      <c r="AM13" s="128"/>
      <c r="AN13" s="128"/>
    </row>
    <row r="14" spans="3:40" ht="15" hidden="1" customHeight="1" x14ac:dyDescent="0.25">
      <c r="C14" s="224"/>
      <c r="D14" s="128"/>
      <c r="E14" s="128"/>
      <c r="F14" s="128"/>
      <c r="G14" s="128"/>
      <c r="H14" s="223"/>
      <c r="I14" s="128"/>
      <c r="J14" s="128"/>
      <c r="K14" s="128"/>
      <c r="L14" s="128"/>
      <c r="M14" s="223"/>
      <c r="N14" s="128"/>
      <c r="O14" s="128"/>
      <c r="P14" s="128"/>
      <c r="Q14" s="128"/>
      <c r="R14" s="223"/>
      <c r="S14" s="128"/>
      <c r="T14" s="128"/>
      <c r="U14" s="128"/>
      <c r="V14" s="128"/>
      <c r="W14" s="223"/>
      <c r="X14" s="128"/>
      <c r="Y14" s="128"/>
      <c r="Z14" s="128"/>
      <c r="AA14" s="128"/>
      <c r="AB14" s="128"/>
      <c r="AC14" s="128"/>
      <c r="AD14" s="128"/>
      <c r="AE14" s="223"/>
      <c r="AF14" s="128"/>
      <c r="AG14" s="128"/>
      <c r="AH14" s="128"/>
      <c r="AI14" s="128"/>
      <c r="AJ14" s="226"/>
      <c r="AK14" s="128"/>
      <c r="AL14" s="128"/>
      <c r="AM14" s="128"/>
      <c r="AN14" s="128"/>
    </row>
    <row r="15" spans="3:40" ht="15" hidden="1" customHeight="1" x14ac:dyDescent="0.25">
      <c r="C15" s="224"/>
      <c r="D15" s="128"/>
      <c r="E15" s="128"/>
      <c r="F15" s="129"/>
      <c r="G15" s="129"/>
      <c r="H15" s="225"/>
      <c r="I15" s="129"/>
      <c r="J15" s="129"/>
      <c r="K15" s="129"/>
      <c r="L15" s="129"/>
      <c r="M15" s="225"/>
      <c r="N15" s="129"/>
      <c r="O15" s="129"/>
      <c r="P15" s="129"/>
      <c r="Q15" s="129"/>
      <c r="R15" s="223"/>
      <c r="S15" s="128"/>
      <c r="T15" s="128"/>
      <c r="U15" s="129"/>
      <c r="V15" s="129"/>
      <c r="W15" s="225"/>
      <c r="X15" s="128"/>
      <c r="Y15" s="128"/>
      <c r="Z15" s="128"/>
      <c r="AA15" s="128"/>
      <c r="AB15" s="128"/>
      <c r="AC15" s="129"/>
      <c r="AD15" s="129"/>
      <c r="AE15" s="225"/>
      <c r="AF15" s="129"/>
      <c r="AG15" s="129"/>
      <c r="AH15" s="129"/>
      <c r="AI15" s="129"/>
      <c r="AJ15" s="226"/>
      <c r="AK15" s="128"/>
      <c r="AL15" s="128"/>
      <c r="AM15" s="129"/>
      <c r="AN15" s="129"/>
    </row>
    <row r="16" spans="3:40" ht="15" hidden="1" customHeight="1" x14ac:dyDescent="0.25">
      <c r="C16" s="127"/>
      <c r="D16" s="128"/>
      <c r="E16" s="128"/>
      <c r="F16" s="129"/>
      <c r="G16" s="129"/>
      <c r="H16" s="129"/>
      <c r="I16" s="129"/>
      <c r="J16" s="129"/>
      <c r="K16" s="129"/>
      <c r="L16" s="129"/>
      <c r="M16" s="129"/>
      <c r="N16" s="129"/>
      <c r="O16" s="129"/>
      <c r="P16" s="129"/>
      <c r="Q16" s="129"/>
      <c r="R16" s="128"/>
      <c r="S16" s="128"/>
      <c r="T16" s="128"/>
      <c r="U16" s="129"/>
      <c r="V16" s="129"/>
      <c r="W16" s="129"/>
      <c r="X16" s="128"/>
      <c r="Y16" s="128"/>
      <c r="Z16" s="128"/>
      <c r="AA16" s="128"/>
      <c r="AB16" s="128"/>
      <c r="AC16" s="129"/>
      <c r="AD16" s="129"/>
      <c r="AE16" s="129"/>
      <c r="AF16" s="129"/>
      <c r="AG16" s="129"/>
      <c r="AH16" s="129"/>
      <c r="AI16" s="129"/>
      <c r="AJ16" s="226"/>
      <c r="AK16" s="128"/>
      <c r="AL16" s="128"/>
      <c r="AM16" s="129"/>
      <c r="AN16" s="129"/>
    </row>
    <row r="17" spans="2:40" ht="15" hidden="1" customHeight="1" x14ac:dyDescent="0.25">
      <c r="C17" s="127"/>
      <c r="D17" s="128"/>
      <c r="E17" s="128"/>
      <c r="F17" s="129"/>
      <c r="G17" s="129"/>
      <c r="H17" s="129"/>
      <c r="I17" s="129"/>
      <c r="J17" s="129"/>
      <c r="K17" s="129"/>
      <c r="L17" s="129"/>
      <c r="M17" s="129"/>
      <c r="N17" s="129"/>
      <c r="O17" s="129"/>
      <c r="P17" s="129"/>
      <c r="Q17" s="129"/>
      <c r="R17" s="128"/>
      <c r="S17" s="128"/>
      <c r="T17" s="128"/>
      <c r="U17" s="129"/>
      <c r="V17" s="129"/>
      <c r="W17" s="129"/>
      <c r="X17" s="128"/>
      <c r="Y17" s="128"/>
      <c r="Z17" s="128"/>
      <c r="AA17" s="128"/>
      <c r="AB17" s="128"/>
      <c r="AC17" s="129"/>
      <c r="AD17" s="129"/>
      <c r="AE17" s="129"/>
      <c r="AF17" s="129"/>
      <c r="AG17" s="129"/>
      <c r="AH17" s="129"/>
      <c r="AI17" s="129"/>
      <c r="AJ17" s="226"/>
      <c r="AK17" s="128"/>
      <c r="AL17" s="128"/>
      <c r="AM17" s="129"/>
      <c r="AN17" s="129"/>
    </row>
    <row r="18" spans="2:40" ht="15" hidden="1" customHeight="1" x14ac:dyDescent="0.25">
      <c r="C18" s="127"/>
      <c r="D18" s="128"/>
      <c r="E18" s="128"/>
      <c r="F18" s="129"/>
      <c r="G18" s="129"/>
      <c r="H18" s="129"/>
      <c r="I18" s="129"/>
      <c r="J18" s="129"/>
      <c r="K18" s="129"/>
      <c r="L18" s="129"/>
      <c r="M18" s="129"/>
      <c r="N18" s="129"/>
      <c r="O18" s="129"/>
      <c r="P18" s="129"/>
      <c r="Q18" s="129"/>
      <c r="R18" s="128"/>
      <c r="S18" s="128"/>
      <c r="T18" s="128"/>
      <c r="U18" s="129"/>
      <c r="V18" s="129"/>
      <c r="W18" s="129"/>
      <c r="X18" s="128"/>
      <c r="Y18" s="128"/>
      <c r="Z18" s="128"/>
      <c r="AA18" s="128"/>
      <c r="AB18" s="128"/>
      <c r="AC18" s="129"/>
      <c r="AD18" s="129"/>
      <c r="AE18" s="129"/>
      <c r="AF18" s="129"/>
      <c r="AG18" s="129"/>
      <c r="AH18" s="129"/>
      <c r="AI18" s="129"/>
      <c r="AJ18" s="226"/>
      <c r="AK18" s="128"/>
      <c r="AL18" s="128"/>
      <c r="AM18" s="129"/>
      <c r="AN18" s="129"/>
    </row>
    <row r="19" spans="2:40" ht="15" hidden="1" customHeight="1" x14ac:dyDescent="0.25">
      <c r="C19" s="127"/>
      <c r="D19" s="128"/>
      <c r="E19" s="128"/>
      <c r="F19" s="129"/>
      <c r="G19" s="129"/>
      <c r="H19" s="129"/>
      <c r="I19" s="129"/>
      <c r="J19" s="129"/>
      <c r="K19" s="129"/>
      <c r="L19" s="129"/>
      <c r="M19" s="129"/>
      <c r="N19" s="129"/>
      <c r="O19" s="129"/>
      <c r="P19" s="129"/>
      <c r="Q19" s="129"/>
      <c r="R19" s="128"/>
      <c r="S19" s="128"/>
      <c r="T19" s="128"/>
      <c r="U19" s="129"/>
      <c r="V19" s="129"/>
      <c r="W19" s="129"/>
      <c r="X19" s="128"/>
      <c r="Y19" s="128"/>
      <c r="Z19" s="128"/>
      <c r="AA19" s="128"/>
      <c r="AB19" s="128"/>
      <c r="AC19" s="129"/>
      <c r="AD19" s="129"/>
      <c r="AE19" s="129"/>
      <c r="AF19" s="129"/>
      <c r="AG19" s="129"/>
      <c r="AH19" s="129"/>
      <c r="AI19" s="129"/>
      <c r="AJ19" s="226"/>
      <c r="AK19" s="128"/>
      <c r="AL19" s="128"/>
      <c r="AM19" s="129"/>
      <c r="AN19" s="129"/>
    </row>
    <row r="20" spans="2:40" ht="15" hidden="1" customHeight="1" x14ac:dyDescent="0.25">
      <c r="C20" s="127"/>
      <c r="D20" s="128"/>
      <c r="E20" s="128"/>
      <c r="F20" s="129"/>
      <c r="G20" s="129"/>
      <c r="H20" s="129"/>
      <c r="I20" s="129"/>
      <c r="J20" s="129"/>
      <c r="K20" s="129"/>
      <c r="L20" s="129"/>
      <c r="M20" s="129"/>
      <c r="N20" s="129"/>
      <c r="O20" s="129"/>
      <c r="P20" s="129"/>
      <c r="Q20" s="129"/>
      <c r="R20" s="128"/>
      <c r="S20" s="128"/>
      <c r="T20" s="128"/>
      <c r="U20" s="129"/>
      <c r="V20" s="129"/>
      <c r="W20" s="129"/>
      <c r="X20" s="128"/>
      <c r="Y20" s="128"/>
      <c r="Z20" s="128"/>
      <c r="AA20" s="128"/>
      <c r="AB20" s="128"/>
      <c r="AC20" s="129"/>
      <c r="AD20" s="129"/>
      <c r="AE20" s="129"/>
      <c r="AF20" s="129"/>
      <c r="AG20" s="129"/>
      <c r="AH20" s="129"/>
      <c r="AI20" s="129"/>
      <c r="AJ20" s="226"/>
      <c r="AK20" s="128"/>
      <c r="AL20" s="128"/>
      <c r="AM20" s="129"/>
      <c r="AN20" s="129"/>
    </row>
    <row r="21" spans="2:40" x14ac:dyDescent="0.25">
      <c r="C21" s="127"/>
    </row>
    <row r="22" spans="2:40" ht="15.75" thickBot="1" x14ac:dyDescent="0.3">
      <c r="C22" s="127"/>
    </row>
    <row r="23" spans="2:40" ht="19.5" thickBot="1" x14ac:dyDescent="0.35">
      <c r="C23" s="127"/>
      <c r="I23" s="382"/>
      <c r="J23" s="383"/>
      <c r="K23" s="383"/>
      <c r="L23" s="383"/>
      <c r="M23" s="383"/>
      <c r="N23" s="384"/>
      <c r="Q23" s="310"/>
      <c r="R23" s="385" t="s">
        <v>77</v>
      </c>
      <c r="S23" s="369"/>
      <c r="T23" s="369"/>
      <c r="U23" s="369"/>
      <c r="V23" s="370"/>
    </row>
    <row r="24" spans="2:40" ht="15.75" thickBot="1" x14ac:dyDescent="0.3">
      <c r="B24" s="386" t="s">
        <v>78</v>
      </c>
      <c r="C24" s="387"/>
      <c r="D24" s="387"/>
      <c r="E24" s="387"/>
      <c r="F24" s="387"/>
      <c r="G24" s="387"/>
      <c r="H24" s="387"/>
      <c r="I24" s="388"/>
      <c r="J24" s="388"/>
      <c r="K24" s="388"/>
      <c r="L24" s="388"/>
      <c r="M24" s="388"/>
      <c r="N24" s="388"/>
      <c r="O24" s="387"/>
      <c r="P24" s="387"/>
      <c r="Q24" s="388"/>
      <c r="R24" s="387"/>
      <c r="S24" s="387"/>
      <c r="T24" s="387"/>
      <c r="U24" s="387"/>
      <c r="V24" s="387"/>
      <c r="W24" s="389"/>
      <c r="X24" s="130"/>
      <c r="Y24" s="130"/>
      <c r="Z24" s="130"/>
      <c r="AA24" s="130"/>
      <c r="AB24" s="130"/>
      <c r="AC24" s="131"/>
      <c r="AD24" s="131"/>
      <c r="AE24" s="131"/>
      <c r="AF24" s="132"/>
    </row>
    <row r="25" spans="2:40" ht="15.75" thickBot="1" x14ac:dyDescent="0.3">
      <c r="B25" s="133"/>
      <c r="C25" s="134"/>
      <c r="D25" s="390">
        <v>1</v>
      </c>
      <c r="E25" s="390"/>
      <c r="F25" s="390">
        <v>2</v>
      </c>
      <c r="G25" s="390"/>
      <c r="H25" s="390">
        <v>3</v>
      </c>
      <c r="I25" s="390"/>
      <c r="J25" s="390">
        <v>4</v>
      </c>
      <c r="K25" s="390"/>
      <c r="L25" s="390">
        <v>5</v>
      </c>
      <c r="M25" s="376"/>
      <c r="N25" s="376">
        <v>6</v>
      </c>
      <c r="O25" s="377"/>
      <c r="P25" s="376">
        <v>7</v>
      </c>
      <c r="Q25" s="377"/>
      <c r="R25" s="376">
        <v>8</v>
      </c>
      <c r="S25" s="377"/>
      <c r="T25" s="376">
        <v>9</v>
      </c>
      <c r="U25" s="377"/>
      <c r="V25" s="376">
        <v>10</v>
      </c>
      <c r="W25" s="375"/>
      <c r="X25" s="362" t="s">
        <v>113</v>
      </c>
      <c r="Y25" s="363"/>
      <c r="Z25" s="364"/>
      <c r="AA25" s="296"/>
      <c r="AB25" s="296"/>
      <c r="AC25" s="135"/>
      <c r="AD25" s="135"/>
      <c r="AE25" s="135"/>
      <c r="AF25" s="135"/>
    </row>
    <row r="26" spans="2:40" x14ac:dyDescent="0.25">
      <c r="B26" s="136"/>
      <c r="C26" s="137"/>
      <c r="D26" s="138" t="s">
        <v>58</v>
      </c>
      <c r="E26" s="138" t="s">
        <v>59</v>
      </c>
      <c r="F26" s="138" t="s">
        <v>58</v>
      </c>
      <c r="G26" s="138" t="s">
        <v>59</v>
      </c>
      <c r="H26" s="138" t="s">
        <v>58</v>
      </c>
      <c r="I26" s="138" t="s">
        <v>59</v>
      </c>
      <c r="J26" s="138" t="s">
        <v>58</v>
      </c>
      <c r="K26" s="138" t="s">
        <v>59</v>
      </c>
      <c r="L26" s="138" t="s">
        <v>58</v>
      </c>
      <c r="M26" s="138" t="s">
        <v>59</v>
      </c>
      <c r="N26" s="138" t="s">
        <v>58</v>
      </c>
      <c r="O26" s="138" t="s">
        <v>59</v>
      </c>
      <c r="P26" s="138" t="s">
        <v>58</v>
      </c>
      <c r="Q26" s="138" t="s">
        <v>59</v>
      </c>
      <c r="R26" s="138" t="s">
        <v>58</v>
      </c>
      <c r="S26" s="138" t="s">
        <v>59</v>
      </c>
      <c r="T26" s="138" t="s">
        <v>58</v>
      </c>
      <c r="U26" s="138" t="s">
        <v>59</v>
      </c>
      <c r="V26" s="138" t="s">
        <v>58</v>
      </c>
      <c r="W26" s="138" t="s">
        <v>59</v>
      </c>
      <c r="X26" s="252" t="s">
        <v>79</v>
      </c>
      <c r="Y26" s="253" t="s">
        <v>107</v>
      </c>
      <c r="Z26" s="260" t="s">
        <v>114</v>
      </c>
      <c r="AA26" s="299" t="s">
        <v>150</v>
      </c>
      <c r="AB26" s="299" t="s">
        <v>152</v>
      </c>
      <c r="AC26" s="374" t="s">
        <v>103</v>
      </c>
      <c r="AD26" s="375"/>
      <c r="AE26" s="374" t="s">
        <v>104</v>
      </c>
      <c r="AF26" s="375"/>
      <c r="AG26" s="367" t="s">
        <v>105</v>
      </c>
      <c r="AH26" s="367"/>
      <c r="AI26" s="367" t="s">
        <v>106</v>
      </c>
      <c r="AJ26" s="367"/>
    </row>
    <row r="27" spans="2:40" ht="14.1" customHeight="1" x14ac:dyDescent="0.25">
      <c r="B27" s="175" t="s">
        <v>80</v>
      </c>
      <c r="C27" s="176">
        <v>45894</v>
      </c>
      <c r="D27" s="141"/>
      <c r="E27" s="142"/>
      <c r="F27" s="141"/>
      <c r="G27" s="142"/>
      <c r="H27" s="141"/>
      <c r="I27" s="142"/>
      <c r="J27" s="141"/>
      <c r="K27" s="142"/>
      <c r="L27" s="141"/>
      <c r="M27" s="142"/>
      <c r="N27" s="143"/>
      <c r="O27" s="142"/>
      <c r="P27" s="141"/>
      <c r="Q27" s="142"/>
      <c r="R27" s="141"/>
      <c r="S27" s="142"/>
      <c r="T27" s="141"/>
      <c r="U27" s="142"/>
      <c r="V27" s="141"/>
      <c r="W27" s="144"/>
      <c r="X27" s="177"/>
      <c r="Y27" s="254"/>
      <c r="Z27" s="178"/>
      <c r="AA27" s="328"/>
      <c r="AB27" s="311"/>
      <c r="AC27" s="340"/>
      <c r="AD27" s="341"/>
      <c r="AE27" s="348" t="str">
        <f>TRUNC(SUM(AC27:AC33)*24,0) &amp; "h" &amp; RIGHT("00"&amp;ROUND(((SUM(AC27:AC33)*24)-TRUNC(SUM(AC27:AC33)*24,0))*60,2),2)</f>
        <v>0h00</v>
      </c>
      <c r="AF27" s="349"/>
      <c r="AG27" s="371"/>
      <c r="AH27" s="371"/>
      <c r="AI27" s="348" t="str">
        <f>TRUNC(SUM(AG27:AG33)*24,0) &amp; "h" &amp; RIGHT("00"&amp;ROUND(((SUM(AG27:AG33)*24)-TRUNC(SUM(AG27:AG33)*24,0))*60,2),2)</f>
        <v>0h00</v>
      </c>
      <c r="AJ27" s="349"/>
    </row>
    <row r="28" spans="2:40" ht="14.1" customHeight="1" x14ac:dyDescent="0.25">
      <c r="B28" s="139" t="s">
        <v>81</v>
      </c>
      <c r="C28" s="140">
        <v>45895</v>
      </c>
      <c r="D28" s="262"/>
      <c r="E28" s="263"/>
      <c r="F28" s="262"/>
      <c r="G28" s="263"/>
      <c r="H28" s="262"/>
      <c r="I28" s="263"/>
      <c r="J28" s="262"/>
      <c r="K28" s="263"/>
      <c r="L28" s="262"/>
      <c r="M28" s="263"/>
      <c r="N28" s="264"/>
      <c r="O28" s="263"/>
      <c r="P28" s="262"/>
      <c r="Q28" s="263"/>
      <c r="R28" s="262"/>
      <c r="S28" s="263"/>
      <c r="T28" s="262"/>
      <c r="U28" s="263"/>
      <c r="V28" s="262"/>
      <c r="W28" s="265"/>
      <c r="X28" s="266"/>
      <c r="Y28" s="267"/>
      <c r="Z28" s="268"/>
      <c r="AA28" s="300"/>
      <c r="AB28" s="312"/>
      <c r="AC28" s="338"/>
      <c r="AD28" s="339"/>
      <c r="AE28" s="350"/>
      <c r="AF28" s="351"/>
      <c r="AG28" s="335"/>
      <c r="AH28" s="335"/>
      <c r="AI28" s="350"/>
      <c r="AJ28" s="351"/>
    </row>
    <row r="29" spans="2:40" ht="14.1" customHeight="1" x14ac:dyDescent="0.25">
      <c r="B29" s="139" t="s">
        <v>82</v>
      </c>
      <c r="C29" s="140">
        <v>45896</v>
      </c>
      <c r="D29" s="147"/>
      <c r="E29" s="148"/>
      <c r="F29" s="147"/>
      <c r="G29" s="148"/>
      <c r="H29" s="147"/>
      <c r="I29" s="148"/>
      <c r="J29" s="147"/>
      <c r="K29" s="148"/>
      <c r="L29" s="147"/>
      <c r="M29" s="148"/>
      <c r="N29" s="149"/>
      <c r="O29" s="148"/>
      <c r="P29" s="147"/>
      <c r="Q29" s="148"/>
      <c r="R29" s="147"/>
      <c r="S29" s="148"/>
      <c r="T29" s="147"/>
      <c r="U29" s="148"/>
      <c r="V29" s="147"/>
      <c r="W29" s="150"/>
      <c r="X29" s="151"/>
      <c r="Y29" s="255"/>
      <c r="Z29" s="152"/>
      <c r="AA29" s="301"/>
      <c r="AB29" s="313"/>
      <c r="AC29" s="336"/>
      <c r="AD29" s="337"/>
      <c r="AE29" s="352"/>
      <c r="AF29" s="353"/>
      <c r="AG29" s="365"/>
      <c r="AH29" s="365"/>
      <c r="AI29" s="352"/>
      <c r="AJ29" s="353"/>
    </row>
    <row r="30" spans="2:40" ht="14.1" customHeight="1" x14ac:dyDescent="0.25">
      <c r="B30" s="139" t="s">
        <v>83</v>
      </c>
      <c r="C30" s="140">
        <v>45897</v>
      </c>
      <c r="D30" s="269"/>
      <c r="E30" s="270"/>
      <c r="F30" s="269"/>
      <c r="G30" s="270"/>
      <c r="H30" s="269"/>
      <c r="I30" s="270"/>
      <c r="J30" s="269"/>
      <c r="K30" s="270"/>
      <c r="L30" s="269"/>
      <c r="M30" s="270"/>
      <c r="N30" s="271"/>
      <c r="O30" s="270"/>
      <c r="P30" s="269"/>
      <c r="Q30" s="270"/>
      <c r="R30" s="269"/>
      <c r="S30" s="270"/>
      <c r="T30" s="269"/>
      <c r="U30" s="270"/>
      <c r="V30" s="269"/>
      <c r="W30" s="272"/>
      <c r="X30" s="273"/>
      <c r="Y30" s="274"/>
      <c r="Z30" s="275"/>
      <c r="AA30" s="302"/>
      <c r="AB30" s="314"/>
      <c r="AC30" s="338"/>
      <c r="AD30" s="339"/>
      <c r="AE30" s="350"/>
      <c r="AF30" s="351"/>
      <c r="AG30" s="335"/>
      <c r="AH30" s="335"/>
      <c r="AI30" s="350"/>
      <c r="AJ30" s="351"/>
    </row>
    <row r="31" spans="2:40" ht="14.1" customHeight="1" x14ac:dyDescent="0.25">
      <c r="B31" s="139" t="s">
        <v>84</v>
      </c>
      <c r="C31" s="140">
        <v>45898</v>
      </c>
      <c r="D31" s="147"/>
      <c r="E31" s="148"/>
      <c r="F31" s="147"/>
      <c r="G31" s="148"/>
      <c r="H31" s="147"/>
      <c r="I31" s="148"/>
      <c r="J31" s="147"/>
      <c r="K31" s="148"/>
      <c r="L31" s="147"/>
      <c r="M31" s="148"/>
      <c r="N31" s="149"/>
      <c r="O31" s="148"/>
      <c r="P31" s="147"/>
      <c r="Q31" s="148"/>
      <c r="R31" s="147"/>
      <c r="S31" s="148"/>
      <c r="T31" s="147"/>
      <c r="U31" s="148"/>
      <c r="V31" s="147"/>
      <c r="W31" s="150"/>
      <c r="X31" s="151"/>
      <c r="Y31" s="255"/>
      <c r="Z31" s="152"/>
      <c r="AA31" s="301"/>
      <c r="AB31" s="313"/>
      <c r="AC31" s="336"/>
      <c r="AD31" s="337"/>
      <c r="AE31" s="352"/>
      <c r="AF31" s="353"/>
      <c r="AG31" s="365"/>
      <c r="AH31" s="365"/>
      <c r="AI31" s="352"/>
      <c r="AJ31" s="353"/>
    </row>
    <row r="32" spans="2:40" ht="14.1" customHeight="1" x14ac:dyDescent="0.25">
      <c r="B32" s="139" t="s">
        <v>85</v>
      </c>
      <c r="C32" s="140">
        <v>45899</v>
      </c>
      <c r="D32" s="269"/>
      <c r="E32" s="270"/>
      <c r="F32" s="269"/>
      <c r="G32" s="270"/>
      <c r="H32" s="269"/>
      <c r="I32" s="270"/>
      <c r="J32" s="269"/>
      <c r="K32" s="270"/>
      <c r="L32" s="269"/>
      <c r="M32" s="270"/>
      <c r="N32" s="271"/>
      <c r="O32" s="270"/>
      <c r="P32" s="269"/>
      <c r="Q32" s="270"/>
      <c r="R32" s="269"/>
      <c r="S32" s="270"/>
      <c r="T32" s="269"/>
      <c r="U32" s="270"/>
      <c r="V32" s="269"/>
      <c r="W32" s="272"/>
      <c r="X32" s="273"/>
      <c r="Y32" s="274"/>
      <c r="Z32" s="275"/>
      <c r="AA32" s="302"/>
      <c r="AB32" s="314"/>
      <c r="AC32" s="338"/>
      <c r="AD32" s="339"/>
      <c r="AE32" s="350"/>
      <c r="AF32" s="351"/>
      <c r="AG32" s="335"/>
      <c r="AH32" s="335"/>
      <c r="AI32" s="350"/>
      <c r="AJ32" s="351"/>
    </row>
    <row r="33" spans="2:42" ht="14.1" customHeight="1" x14ac:dyDescent="0.25">
      <c r="B33" s="163" t="s">
        <v>86</v>
      </c>
      <c r="C33" s="164">
        <v>45900</v>
      </c>
      <c r="D33" s="179"/>
      <c r="E33" s="180"/>
      <c r="F33" s="179"/>
      <c r="G33" s="180"/>
      <c r="H33" s="179"/>
      <c r="I33" s="180"/>
      <c r="J33" s="179"/>
      <c r="K33" s="180"/>
      <c r="L33" s="179"/>
      <c r="M33" s="180"/>
      <c r="N33" s="181"/>
      <c r="O33" s="180"/>
      <c r="P33" s="179"/>
      <c r="Q33" s="180"/>
      <c r="R33" s="179"/>
      <c r="S33" s="180"/>
      <c r="T33" s="179"/>
      <c r="U33" s="180"/>
      <c r="V33" s="179"/>
      <c r="W33" s="182"/>
      <c r="X33" s="173"/>
      <c r="Y33" s="256"/>
      <c r="Z33" s="174"/>
      <c r="AA33" s="303"/>
      <c r="AB33" s="315"/>
      <c r="AC33" s="342"/>
      <c r="AD33" s="343"/>
      <c r="AE33" s="354"/>
      <c r="AF33" s="355"/>
      <c r="AG33" s="365"/>
      <c r="AH33" s="365"/>
      <c r="AI33" s="354"/>
      <c r="AJ33" s="355"/>
      <c r="AK33" s="237"/>
      <c r="AL33" s="237"/>
      <c r="AM33" s="237"/>
      <c r="AN33" s="237"/>
      <c r="AO33" s="237"/>
      <c r="AP33" s="237"/>
    </row>
    <row r="34" spans="2:42" ht="14.1" customHeight="1" x14ac:dyDescent="0.25">
      <c r="B34" s="139" t="s">
        <v>80</v>
      </c>
      <c r="C34" s="140">
        <v>45901</v>
      </c>
      <c r="D34" s="262"/>
      <c r="E34" s="263"/>
      <c r="F34" s="262"/>
      <c r="G34" s="263"/>
      <c r="H34" s="262"/>
      <c r="I34" s="263"/>
      <c r="J34" s="262"/>
      <c r="K34" s="263"/>
      <c r="L34" s="262"/>
      <c r="M34" s="263"/>
      <c r="N34" s="264"/>
      <c r="O34" s="263"/>
      <c r="P34" s="262"/>
      <c r="Q34" s="263"/>
      <c r="R34" s="262"/>
      <c r="S34" s="263"/>
      <c r="T34" s="262"/>
      <c r="U34" s="263"/>
      <c r="V34" s="262"/>
      <c r="W34" s="265"/>
      <c r="X34" s="266"/>
      <c r="Y34" s="267"/>
      <c r="Z34" s="268"/>
      <c r="AA34" s="300"/>
      <c r="AB34" s="312"/>
      <c r="AC34" s="344"/>
      <c r="AD34" s="345"/>
      <c r="AE34" s="356" t="str">
        <f>TRUNC(SUM(AC34:AC40)*24,0) &amp; "h" &amp; RIGHT("00"&amp;ROUND(((SUM(AC34:AC40)*24)-TRUNC(SUM(AC34:AC40)*24,0))*60,2),2)</f>
        <v>0h00</v>
      </c>
      <c r="AF34" s="357"/>
      <c r="AG34" s="335"/>
      <c r="AH34" s="335"/>
      <c r="AI34" s="356" t="str">
        <f>TRUNC(SUM(AG34:AG40)*24,0) &amp; "h" &amp; RIGHT("00"&amp;ROUND(((SUM(AG34:AG40)*24)-TRUNC(SUM(AG34:AG40)*24,0))*60,2),2)</f>
        <v>0h00</v>
      </c>
      <c r="AJ34" s="357"/>
      <c r="AK34" s="238"/>
      <c r="AL34" s="238"/>
      <c r="AM34" s="238"/>
      <c r="AN34" s="238"/>
      <c r="AO34" s="238"/>
      <c r="AP34" s="237"/>
    </row>
    <row r="35" spans="2:42" ht="14.1" customHeight="1" x14ac:dyDescent="0.25">
      <c r="B35" s="139" t="s">
        <v>81</v>
      </c>
      <c r="C35" s="140">
        <v>45902</v>
      </c>
      <c r="D35" s="147"/>
      <c r="E35" s="148"/>
      <c r="F35" s="147"/>
      <c r="G35" s="148"/>
      <c r="H35" s="147"/>
      <c r="I35" s="148"/>
      <c r="J35" s="147"/>
      <c r="K35" s="148"/>
      <c r="L35" s="147"/>
      <c r="M35" s="148"/>
      <c r="N35" s="149"/>
      <c r="O35" s="148"/>
      <c r="P35" s="147"/>
      <c r="Q35" s="148"/>
      <c r="R35" s="147"/>
      <c r="S35" s="148"/>
      <c r="T35" s="147"/>
      <c r="U35" s="148"/>
      <c r="V35" s="147"/>
      <c r="W35" s="150"/>
      <c r="X35" s="151"/>
      <c r="Y35" s="255"/>
      <c r="Z35" s="152"/>
      <c r="AA35" s="301"/>
      <c r="AB35" s="313"/>
      <c r="AC35" s="336"/>
      <c r="AD35" s="337"/>
      <c r="AE35" s="352"/>
      <c r="AF35" s="353"/>
      <c r="AG35" s="365"/>
      <c r="AH35" s="365"/>
      <c r="AI35" s="352"/>
      <c r="AJ35" s="353"/>
      <c r="AK35" s="237"/>
      <c r="AL35" s="239"/>
      <c r="AM35" s="237"/>
      <c r="AN35" s="237"/>
      <c r="AO35" s="237"/>
      <c r="AP35" s="237"/>
    </row>
    <row r="36" spans="2:42" ht="14.1" customHeight="1" x14ac:dyDescent="0.25">
      <c r="B36" s="139" t="s">
        <v>82</v>
      </c>
      <c r="C36" s="140">
        <v>45903</v>
      </c>
      <c r="D36" s="269"/>
      <c r="E36" s="270"/>
      <c r="F36" s="269"/>
      <c r="G36" s="270"/>
      <c r="H36" s="269"/>
      <c r="I36" s="270"/>
      <c r="J36" s="269"/>
      <c r="K36" s="270"/>
      <c r="L36" s="269"/>
      <c r="M36" s="270"/>
      <c r="N36" s="271"/>
      <c r="O36" s="270"/>
      <c r="P36" s="269"/>
      <c r="Q36" s="270"/>
      <c r="R36" s="269"/>
      <c r="S36" s="270"/>
      <c r="T36" s="269"/>
      <c r="U36" s="270"/>
      <c r="V36" s="269"/>
      <c r="W36" s="272"/>
      <c r="X36" s="273"/>
      <c r="Y36" s="274"/>
      <c r="Z36" s="275"/>
      <c r="AA36" s="302"/>
      <c r="AB36" s="314"/>
      <c r="AC36" s="338"/>
      <c r="AD36" s="339"/>
      <c r="AE36" s="350"/>
      <c r="AF36" s="351"/>
      <c r="AG36" s="335"/>
      <c r="AH36" s="335"/>
      <c r="AI36" s="350"/>
      <c r="AJ36" s="351"/>
      <c r="AK36" s="238"/>
      <c r="AL36" s="238"/>
      <c r="AM36" s="238"/>
      <c r="AN36" s="238"/>
      <c r="AO36" s="238"/>
      <c r="AP36" s="237"/>
    </row>
    <row r="37" spans="2:42" ht="14.1" customHeight="1" x14ac:dyDescent="0.25">
      <c r="B37" s="139" t="s">
        <v>83</v>
      </c>
      <c r="C37" s="140">
        <v>45904</v>
      </c>
      <c r="D37" s="147"/>
      <c r="E37" s="148"/>
      <c r="F37" s="147"/>
      <c r="G37" s="148"/>
      <c r="H37" s="147"/>
      <c r="I37" s="148"/>
      <c r="J37" s="153"/>
      <c r="K37" s="154"/>
      <c r="L37" s="153"/>
      <c r="M37" s="154"/>
      <c r="N37" s="155"/>
      <c r="O37" s="154"/>
      <c r="P37" s="153"/>
      <c r="Q37" s="154"/>
      <c r="R37" s="153"/>
      <c r="S37" s="154"/>
      <c r="T37" s="153"/>
      <c r="U37" s="154"/>
      <c r="V37" s="153"/>
      <c r="W37" s="156"/>
      <c r="X37" s="151"/>
      <c r="Y37" s="255"/>
      <c r="Z37" s="152"/>
      <c r="AA37" s="301"/>
      <c r="AB37" s="313"/>
      <c r="AC37" s="336"/>
      <c r="AD37" s="337"/>
      <c r="AE37" s="352"/>
      <c r="AF37" s="353"/>
      <c r="AG37" s="365"/>
      <c r="AH37" s="365"/>
      <c r="AI37" s="352"/>
      <c r="AJ37" s="353"/>
      <c r="AK37" s="237"/>
      <c r="AL37" s="237"/>
      <c r="AM37" s="237"/>
      <c r="AN37" s="237"/>
      <c r="AO37" s="237"/>
      <c r="AP37" s="237"/>
    </row>
    <row r="38" spans="2:42" ht="14.1" customHeight="1" x14ac:dyDescent="0.25">
      <c r="B38" s="139" t="s">
        <v>84</v>
      </c>
      <c r="C38" s="140">
        <v>45905</v>
      </c>
      <c r="D38" s="297"/>
      <c r="E38" s="298"/>
      <c r="F38" s="297"/>
      <c r="G38" s="298"/>
      <c r="H38" s="276"/>
      <c r="I38" s="277"/>
      <c r="J38" s="276"/>
      <c r="K38" s="277"/>
      <c r="L38" s="276"/>
      <c r="M38" s="277"/>
      <c r="N38" s="278"/>
      <c r="O38" s="277"/>
      <c r="P38" s="276"/>
      <c r="Q38" s="277"/>
      <c r="R38" s="276"/>
      <c r="S38" s="277"/>
      <c r="T38" s="276"/>
      <c r="U38" s="277"/>
      <c r="V38" s="276"/>
      <c r="W38" s="279"/>
      <c r="X38" s="280"/>
      <c r="Y38" s="281"/>
      <c r="Z38" s="282"/>
      <c r="AA38" s="304"/>
      <c r="AB38" s="316"/>
      <c r="AC38" s="338"/>
      <c r="AD38" s="339"/>
      <c r="AE38" s="350"/>
      <c r="AF38" s="351"/>
      <c r="AG38" s="335"/>
      <c r="AH38" s="335"/>
      <c r="AI38" s="350"/>
      <c r="AJ38" s="351"/>
      <c r="AK38" s="237"/>
      <c r="AL38" s="237"/>
      <c r="AM38" s="237"/>
      <c r="AN38" s="237"/>
      <c r="AO38" s="237"/>
      <c r="AP38" s="237"/>
    </row>
    <row r="39" spans="2:42" ht="14.1" customHeight="1" x14ac:dyDescent="0.25">
      <c r="B39" s="139" t="s">
        <v>85</v>
      </c>
      <c r="C39" s="140">
        <v>45906</v>
      </c>
      <c r="D39" s="157"/>
      <c r="E39" s="158"/>
      <c r="F39" s="157"/>
      <c r="G39" s="158"/>
      <c r="H39" s="157"/>
      <c r="I39" s="158"/>
      <c r="J39" s="157"/>
      <c r="K39" s="158"/>
      <c r="L39" s="157"/>
      <c r="M39" s="158"/>
      <c r="N39" s="159"/>
      <c r="O39" s="158"/>
      <c r="P39" s="157"/>
      <c r="Q39" s="158"/>
      <c r="R39" s="157"/>
      <c r="S39" s="158"/>
      <c r="T39" s="157"/>
      <c r="U39" s="158"/>
      <c r="V39" s="157"/>
      <c r="W39" s="160"/>
      <c r="X39" s="161"/>
      <c r="Y39" s="257"/>
      <c r="Z39" s="162"/>
      <c r="AA39" s="305"/>
      <c r="AB39" s="317"/>
      <c r="AC39" s="336"/>
      <c r="AD39" s="337"/>
      <c r="AE39" s="352"/>
      <c r="AF39" s="353"/>
      <c r="AG39" s="365"/>
      <c r="AH39" s="365"/>
      <c r="AI39" s="352"/>
      <c r="AJ39" s="353"/>
      <c r="AK39" s="237"/>
      <c r="AL39" s="237"/>
      <c r="AM39" s="237"/>
      <c r="AN39" s="237"/>
      <c r="AO39" s="237"/>
      <c r="AP39" s="237"/>
    </row>
    <row r="40" spans="2:42" ht="14.1" customHeight="1" x14ac:dyDescent="0.25">
      <c r="B40" s="163" t="s">
        <v>86</v>
      </c>
      <c r="C40" s="164">
        <v>45907</v>
      </c>
      <c r="D40" s="283"/>
      <c r="E40" s="284"/>
      <c r="F40" s="283"/>
      <c r="G40" s="284"/>
      <c r="H40" s="283"/>
      <c r="I40" s="284"/>
      <c r="J40" s="283"/>
      <c r="K40" s="284"/>
      <c r="L40" s="283"/>
      <c r="M40" s="284"/>
      <c r="N40" s="285"/>
      <c r="O40" s="284"/>
      <c r="P40" s="283"/>
      <c r="Q40" s="284"/>
      <c r="R40" s="283"/>
      <c r="S40" s="284"/>
      <c r="T40" s="283"/>
      <c r="U40" s="284"/>
      <c r="V40" s="283"/>
      <c r="W40" s="286"/>
      <c r="X40" s="287"/>
      <c r="Y40" s="288"/>
      <c r="Z40" s="289"/>
      <c r="AA40" s="306"/>
      <c r="AB40" s="318"/>
      <c r="AC40" s="372"/>
      <c r="AD40" s="373"/>
      <c r="AE40" s="358"/>
      <c r="AF40" s="359"/>
      <c r="AG40" s="335"/>
      <c r="AH40" s="335"/>
      <c r="AI40" s="358"/>
      <c r="AJ40" s="359"/>
      <c r="AK40" s="237"/>
      <c r="AL40" s="237"/>
      <c r="AM40" s="237"/>
      <c r="AN40" s="237"/>
      <c r="AO40" s="237"/>
      <c r="AP40" s="237"/>
    </row>
    <row r="41" spans="2:42" ht="14.1" customHeight="1" x14ac:dyDescent="0.25">
      <c r="B41" s="183" t="s">
        <v>80</v>
      </c>
      <c r="C41" s="184">
        <v>45908</v>
      </c>
      <c r="D41" s="185"/>
      <c r="E41" s="186"/>
      <c r="F41" s="185"/>
      <c r="G41" s="186"/>
      <c r="H41" s="185"/>
      <c r="I41" s="186"/>
      <c r="J41" s="185"/>
      <c r="K41" s="186"/>
      <c r="L41" s="185"/>
      <c r="M41" s="186"/>
      <c r="N41" s="187"/>
      <c r="O41" s="186"/>
      <c r="P41" s="185"/>
      <c r="Q41" s="186"/>
      <c r="R41" s="185"/>
      <c r="S41" s="186"/>
      <c r="T41" s="185"/>
      <c r="U41" s="186"/>
      <c r="V41" s="185"/>
      <c r="W41" s="188"/>
      <c r="X41" s="189"/>
      <c r="Y41" s="258"/>
      <c r="Z41" s="190"/>
      <c r="AA41" s="307"/>
      <c r="AB41" s="319"/>
      <c r="AC41" s="346"/>
      <c r="AD41" s="347"/>
      <c r="AE41" s="348" t="str">
        <f>TRUNC(SUM(AC41:AC47)*24,0) &amp; "h" &amp; RIGHT("00"&amp;ROUND(((SUM(AC41:AC47)*24)-TRUNC(SUM(AC41:AC47)*24,0))*60,2),2)</f>
        <v>0h00</v>
      </c>
      <c r="AF41" s="349"/>
      <c r="AG41" s="365"/>
      <c r="AH41" s="365"/>
      <c r="AI41" s="348" t="str">
        <f>TRUNC(SUM(AG41:AG47)*24,0) &amp; "h" &amp; RIGHT("00"&amp;ROUND(((SUM(AG41:AG47)*24)-TRUNC(SUM(AG41:AG47)*24,0))*60,2),2)</f>
        <v>0h00</v>
      </c>
      <c r="AJ41" s="349"/>
      <c r="AK41" s="237"/>
      <c r="AL41" s="237"/>
      <c r="AM41" s="237"/>
      <c r="AN41" s="237"/>
      <c r="AO41" s="237"/>
      <c r="AP41" s="237"/>
    </row>
    <row r="42" spans="2:42" ht="14.1" customHeight="1" x14ac:dyDescent="0.25">
      <c r="B42" s="139" t="s">
        <v>81</v>
      </c>
      <c r="C42" s="140">
        <v>45909</v>
      </c>
      <c r="D42" s="262"/>
      <c r="E42" s="263"/>
      <c r="F42" s="262"/>
      <c r="G42" s="263"/>
      <c r="H42" s="262"/>
      <c r="I42" s="263"/>
      <c r="J42" s="262"/>
      <c r="K42" s="263"/>
      <c r="L42" s="262"/>
      <c r="M42" s="263"/>
      <c r="N42" s="264"/>
      <c r="O42" s="263"/>
      <c r="P42" s="262"/>
      <c r="Q42" s="263"/>
      <c r="R42" s="262"/>
      <c r="S42" s="263"/>
      <c r="T42" s="262"/>
      <c r="U42" s="263"/>
      <c r="V42" s="262"/>
      <c r="W42" s="265"/>
      <c r="X42" s="266"/>
      <c r="Y42" s="267"/>
      <c r="Z42" s="268"/>
      <c r="AA42" s="300"/>
      <c r="AB42" s="312"/>
      <c r="AC42" s="338"/>
      <c r="AD42" s="339"/>
      <c r="AE42" s="350"/>
      <c r="AF42" s="351"/>
      <c r="AG42" s="335"/>
      <c r="AH42" s="335"/>
      <c r="AI42" s="350"/>
      <c r="AJ42" s="351"/>
      <c r="AK42" s="237"/>
      <c r="AL42" s="237"/>
      <c r="AM42" s="237"/>
      <c r="AN42" s="237"/>
      <c r="AO42" s="237"/>
      <c r="AP42" s="237"/>
    </row>
    <row r="43" spans="2:42" ht="14.1" customHeight="1" x14ac:dyDescent="0.25">
      <c r="B43" s="139" t="s">
        <v>82</v>
      </c>
      <c r="C43" s="140">
        <v>45910</v>
      </c>
      <c r="D43" s="147"/>
      <c r="E43" s="148"/>
      <c r="F43" s="147"/>
      <c r="G43" s="148"/>
      <c r="H43" s="147"/>
      <c r="I43" s="148"/>
      <c r="J43" s="147"/>
      <c r="K43" s="148"/>
      <c r="L43" s="147"/>
      <c r="M43" s="148"/>
      <c r="N43" s="149"/>
      <c r="O43" s="148"/>
      <c r="P43" s="147"/>
      <c r="Q43" s="148"/>
      <c r="R43" s="147"/>
      <c r="S43" s="148"/>
      <c r="T43" s="147"/>
      <c r="U43" s="148"/>
      <c r="V43" s="147"/>
      <c r="W43" s="150"/>
      <c r="X43" s="151"/>
      <c r="Y43" s="255"/>
      <c r="Z43" s="152"/>
      <c r="AA43" s="301"/>
      <c r="AB43" s="313"/>
      <c r="AC43" s="336"/>
      <c r="AD43" s="337"/>
      <c r="AE43" s="352"/>
      <c r="AF43" s="353"/>
      <c r="AG43" s="365"/>
      <c r="AH43" s="365"/>
      <c r="AI43" s="352"/>
      <c r="AJ43" s="353"/>
      <c r="AK43" s="237"/>
      <c r="AL43" s="237"/>
      <c r="AM43" s="237"/>
      <c r="AN43" s="237"/>
      <c r="AO43" s="237"/>
      <c r="AP43" s="237"/>
    </row>
    <row r="44" spans="2:42" ht="14.1" customHeight="1" x14ac:dyDescent="0.25">
      <c r="B44" s="139" t="s">
        <v>83</v>
      </c>
      <c r="C44" s="140">
        <v>45911</v>
      </c>
      <c r="D44" s="269"/>
      <c r="E44" s="270"/>
      <c r="F44" s="269"/>
      <c r="G44" s="270"/>
      <c r="H44" s="269"/>
      <c r="I44" s="270"/>
      <c r="J44" s="269"/>
      <c r="K44" s="270"/>
      <c r="L44" s="269"/>
      <c r="M44" s="270"/>
      <c r="N44" s="271"/>
      <c r="O44" s="270"/>
      <c r="P44" s="269"/>
      <c r="Q44" s="270"/>
      <c r="R44" s="269"/>
      <c r="S44" s="270"/>
      <c r="T44" s="269"/>
      <c r="U44" s="270"/>
      <c r="V44" s="269"/>
      <c r="W44" s="272"/>
      <c r="X44" s="273"/>
      <c r="Y44" s="274"/>
      <c r="Z44" s="275"/>
      <c r="AA44" s="302"/>
      <c r="AB44" s="314"/>
      <c r="AC44" s="338"/>
      <c r="AD44" s="339"/>
      <c r="AE44" s="350"/>
      <c r="AF44" s="351"/>
      <c r="AG44" s="335"/>
      <c r="AH44" s="335"/>
      <c r="AI44" s="350"/>
      <c r="AJ44" s="351"/>
      <c r="AK44" s="237"/>
      <c r="AL44" s="237"/>
      <c r="AM44" s="237"/>
      <c r="AN44" s="237"/>
      <c r="AO44" s="237"/>
      <c r="AP44" s="237"/>
    </row>
    <row r="45" spans="2:42" ht="14.1" customHeight="1" x14ac:dyDescent="0.25">
      <c r="B45" s="139" t="s">
        <v>84</v>
      </c>
      <c r="C45" s="140">
        <v>45912</v>
      </c>
      <c r="D45" s="147"/>
      <c r="E45" s="148"/>
      <c r="F45" s="147"/>
      <c r="G45" s="148"/>
      <c r="H45" s="147"/>
      <c r="I45" s="148"/>
      <c r="J45" s="147"/>
      <c r="K45" s="148"/>
      <c r="L45" s="147"/>
      <c r="M45" s="148"/>
      <c r="N45" s="149"/>
      <c r="O45" s="148"/>
      <c r="P45" s="147"/>
      <c r="Q45" s="148"/>
      <c r="R45" s="147"/>
      <c r="S45" s="148"/>
      <c r="T45" s="147"/>
      <c r="U45" s="148"/>
      <c r="V45" s="147"/>
      <c r="W45" s="150"/>
      <c r="X45" s="151"/>
      <c r="Y45" s="255"/>
      <c r="Z45" s="152"/>
      <c r="AA45" s="301"/>
      <c r="AB45" s="313"/>
      <c r="AC45" s="336"/>
      <c r="AD45" s="337"/>
      <c r="AE45" s="352"/>
      <c r="AF45" s="353"/>
      <c r="AG45" s="365"/>
      <c r="AH45" s="365"/>
      <c r="AI45" s="352"/>
      <c r="AJ45" s="353"/>
      <c r="AK45" s="237"/>
      <c r="AL45" s="237"/>
      <c r="AM45" s="237"/>
      <c r="AN45" s="237"/>
      <c r="AO45" s="237"/>
      <c r="AP45" s="237"/>
    </row>
    <row r="46" spans="2:42" ht="14.1" customHeight="1" x14ac:dyDescent="0.25">
      <c r="B46" s="139" t="s">
        <v>85</v>
      </c>
      <c r="C46" s="140">
        <v>45913</v>
      </c>
      <c r="D46" s="269"/>
      <c r="E46" s="270"/>
      <c r="F46" s="269"/>
      <c r="G46" s="270"/>
      <c r="H46" s="269"/>
      <c r="I46" s="270"/>
      <c r="J46" s="269"/>
      <c r="K46" s="270"/>
      <c r="L46" s="269"/>
      <c r="M46" s="270"/>
      <c r="N46" s="271"/>
      <c r="O46" s="270"/>
      <c r="P46" s="269"/>
      <c r="Q46" s="270"/>
      <c r="R46" s="269"/>
      <c r="S46" s="270"/>
      <c r="T46" s="269"/>
      <c r="U46" s="270"/>
      <c r="V46" s="269"/>
      <c r="W46" s="272"/>
      <c r="X46" s="273"/>
      <c r="Y46" s="274"/>
      <c r="Z46" s="275"/>
      <c r="AA46" s="302"/>
      <c r="AB46" s="314"/>
      <c r="AC46" s="338"/>
      <c r="AD46" s="339"/>
      <c r="AE46" s="350"/>
      <c r="AF46" s="351"/>
      <c r="AG46" s="335"/>
      <c r="AH46" s="335"/>
      <c r="AI46" s="350"/>
      <c r="AJ46" s="351"/>
    </row>
    <row r="47" spans="2:42" ht="14.1" customHeight="1" x14ac:dyDescent="0.25">
      <c r="B47" s="163" t="s">
        <v>86</v>
      </c>
      <c r="C47" s="164">
        <v>45914</v>
      </c>
      <c r="D47" s="179"/>
      <c r="E47" s="180"/>
      <c r="F47" s="179"/>
      <c r="G47" s="180"/>
      <c r="H47" s="179"/>
      <c r="I47" s="180"/>
      <c r="J47" s="179"/>
      <c r="K47" s="180"/>
      <c r="L47" s="179"/>
      <c r="M47" s="180"/>
      <c r="N47" s="181"/>
      <c r="O47" s="180"/>
      <c r="P47" s="179"/>
      <c r="Q47" s="180"/>
      <c r="R47" s="179"/>
      <c r="S47" s="180"/>
      <c r="T47" s="179"/>
      <c r="U47" s="180"/>
      <c r="V47" s="179"/>
      <c r="W47" s="182"/>
      <c r="X47" s="173"/>
      <c r="Y47" s="256"/>
      <c r="Z47" s="174"/>
      <c r="AA47" s="303"/>
      <c r="AB47" s="315"/>
      <c r="AC47" s="342"/>
      <c r="AD47" s="343"/>
      <c r="AE47" s="354"/>
      <c r="AF47" s="355"/>
      <c r="AG47" s="365"/>
      <c r="AH47" s="365"/>
      <c r="AI47" s="354"/>
      <c r="AJ47" s="355"/>
    </row>
    <row r="48" spans="2:42" ht="14.1" customHeight="1" x14ac:dyDescent="0.25">
      <c r="B48" s="139" t="s">
        <v>80</v>
      </c>
      <c r="C48" s="140">
        <v>45915</v>
      </c>
      <c r="D48" s="262"/>
      <c r="E48" s="263"/>
      <c r="F48" s="262"/>
      <c r="G48" s="263"/>
      <c r="H48" s="262"/>
      <c r="I48" s="263"/>
      <c r="J48" s="262"/>
      <c r="K48" s="263"/>
      <c r="L48" s="262"/>
      <c r="M48" s="263"/>
      <c r="N48" s="264"/>
      <c r="O48" s="263"/>
      <c r="P48" s="262"/>
      <c r="Q48" s="263"/>
      <c r="R48" s="262"/>
      <c r="S48" s="263"/>
      <c r="T48" s="262"/>
      <c r="U48" s="263"/>
      <c r="V48" s="262"/>
      <c r="W48" s="265"/>
      <c r="X48" s="266"/>
      <c r="Y48" s="267"/>
      <c r="Z48" s="268"/>
      <c r="AA48" s="300"/>
      <c r="AB48" s="312"/>
      <c r="AC48" s="344"/>
      <c r="AD48" s="345"/>
      <c r="AE48" s="356" t="str">
        <f>TRUNC(SUM(AC48:AC54)*24,0) &amp; "h" &amp; RIGHT("00"&amp;ROUND(((SUM(AC48:AC54)*24)-TRUNC(SUM(AC48:AC54)*24,0))*60,2),2)</f>
        <v>0h00</v>
      </c>
      <c r="AF48" s="357"/>
      <c r="AG48" s="335"/>
      <c r="AH48" s="335"/>
      <c r="AI48" s="356" t="str">
        <f>TRUNC(SUM(AG48:AG54)*24,0) &amp; "h" &amp; RIGHT("00"&amp;ROUND(((SUM(AG48:AG54)*24)-TRUNC(SUM(AG48:AG54)*24,0))*60,2),2)</f>
        <v>0h00</v>
      </c>
      <c r="AJ48" s="357"/>
    </row>
    <row r="49" spans="2:36" ht="14.1" customHeight="1" x14ac:dyDescent="0.25">
      <c r="B49" s="139" t="s">
        <v>81</v>
      </c>
      <c r="C49" s="140">
        <v>45916</v>
      </c>
      <c r="D49" s="147"/>
      <c r="E49" s="148"/>
      <c r="F49" s="147"/>
      <c r="G49" s="148"/>
      <c r="H49" s="147"/>
      <c r="I49" s="148"/>
      <c r="J49" s="147"/>
      <c r="K49" s="148"/>
      <c r="L49" s="147"/>
      <c r="M49" s="148"/>
      <c r="N49" s="149"/>
      <c r="O49" s="148"/>
      <c r="P49" s="147"/>
      <c r="Q49" s="148"/>
      <c r="R49" s="147"/>
      <c r="S49" s="148"/>
      <c r="T49" s="147"/>
      <c r="U49" s="148"/>
      <c r="V49" s="147"/>
      <c r="W49" s="150"/>
      <c r="X49" s="151"/>
      <c r="Y49" s="255"/>
      <c r="Z49" s="152"/>
      <c r="AA49" s="301"/>
      <c r="AB49" s="313"/>
      <c r="AC49" s="336"/>
      <c r="AD49" s="337"/>
      <c r="AE49" s="352"/>
      <c r="AF49" s="353"/>
      <c r="AG49" s="365"/>
      <c r="AH49" s="365"/>
      <c r="AI49" s="352"/>
      <c r="AJ49" s="353"/>
    </row>
    <row r="50" spans="2:36" ht="14.1" customHeight="1" x14ac:dyDescent="0.25">
      <c r="B50" s="139" t="s">
        <v>82</v>
      </c>
      <c r="C50" s="140">
        <v>45917</v>
      </c>
      <c r="D50" s="269"/>
      <c r="E50" s="270"/>
      <c r="F50" s="269"/>
      <c r="G50" s="270"/>
      <c r="H50" s="269"/>
      <c r="I50" s="270"/>
      <c r="J50" s="269"/>
      <c r="K50" s="270"/>
      <c r="L50" s="269"/>
      <c r="M50" s="270"/>
      <c r="N50" s="271"/>
      <c r="O50" s="270"/>
      <c r="P50" s="269"/>
      <c r="Q50" s="270"/>
      <c r="R50" s="269"/>
      <c r="S50" s="270"/>
      <c r="T50" s="269"/>
      <c r="U50" s="270"/>
      <c r="V50" s="269"/>
      <c r="W50" s="272"/>
      <c r="X50" s="273"/>
      <c r="Y50" s="274"/>
      <c r="Z50" s="275"/>
      <c r="AA50" s="302"/>
      <c r="AB50" s="314"/>
      <c r="AC50" s="338"/>
      <c r="AD50" s="339"/>
      <c r="AE50" s="350"/>
      <c r="AF50" s="351"/>
      <c r="AG50" s="335"/>
      <c r="AH50" s="335"/>
      <c r="AI50" s="350"/>
      <c r="AJ50" s="351"/>
    </row>
    <row r="51" spans="2:36" ht="14.1" customHeight="1" x14ac:dyDescent="0.25">
      <c r="B51" s="139" t="s">
        <v>83</v>
      </c>
      <c r="C51" s="140">
        <v>45918</v>
      </c>
      <c r="D51" s="147"/>
      <c r="E51" s="148"/>
      <c r="F51" s="147"/>
      <c r="G51" s="148"/>
      <c r="H51" s="153"/>
      <c r="I51" s="154"/>
      <c r="J51" s="153"/>
      <c r="K51" s="154"/>
      <c r="L51" s="153"/>
      <c r="M51" s="154"/>
      <c r="N51" s="155"/>
      <c r="O51" s="154"/>
      <c r="P51" s="153"/>
      <c r="Q51" s="154"/>
      <c r="R51" s="153"/>
      <c r="S51" s="154"/>
      <c r="T51" s="153"/>
      <c r="U51" s="154"/>
      <c r="V51" s="153"/>
      <c r="W51" s="156"/>
      <c r="X51" s="151"/>
      <c r="Y51" s="255"/>
      <c r="Z51" s="152"/>
      <c r="AA51" s="301"/>
      <c r="AB51" s="313"/>
      <c r="AC51" s="336"/>
      <c r="AD51" s="337"/>
      <c r="AE51" s="352"/>
      <c r="AF51" s="353"/>
      <c r="AG51" s="365"/>
      <c r="AH51" s="365"/>
      <c r="AI51" s="352"/>
      <c r="AJ51" s="353"/>
    </row>
    <row r="52" spans="2:36" ht="14.1" customHeight="1" x14ac:dyDescent="0.25">
      <c r="B52" s="139" t="s">
        <v>84</v>
      </c>
      <c r="C52" s="140">
        <v>45919</v>
      </c>
      <c r="D52" s="297"/>
      <c r="E52" s="298"/>
      <c r="F52" s="297"/>
      <c r="G52" s="298"/>
      <c r="H52" s="276"/>
      <c r="I52" s="277"/>
      <c r="J52" s="276"/>
      <c r="K52" s="277"/>
      <c r="L52" s="276"/>
      <c r="M52" s="277"/>
      <c r="N52" s="278"/>
      <c r="O52" s="277"/>
      <c r="P52" s="276"/>
      <c r="Q52" s="277"/>
      <c r="R52" s="276"/>
      <c r="S52" s="277"/>
      <c r="T52" s="276"/>
      <c r="U52" s="277"/>
      <c r="V52" s="276"/>
      <c r="W52" s="279"/>
      <c r="X52" s="280"/>
      <c r="Y52" s="281"/>
      <c r="Z52" s="282"/>
      <c r="AA52" s="304"/>
      <c r="AB52" s="316"/>
      <c r="AC52" s="338"/>
      <c r="AD52" s="339"/>
      <c r="AE52" s="350"/>
      <c r="AF52" s="351"/>
      <c r="AG52" s="335"/>
      <c r="AH52" s="335"/>
      <c r="AI52" s="350"/>
      <c r="AJ52" s="351"/>
    </row>
    <row r="53" spans="2:36" ht="14.1" customHeight="1" x14ac:dyDescent="0.25">
      <c r="B53" s="139" t="s">
        <v>85</v>
      </c>
      <c r="C53" s="140">
        <v>45920</v>
      </c>
      <c r="D53" s="157"/>
      <c r="E53" s="158"/>
      <c r="F53" s="157"/>
      <c r="G53" s="158"/>
      <c r="H53" s="157"/>
      <c r="I53" s="158"/>
      <c r="J53" s="157"/>
      <c r="K53" s="158"/>
      <c r="L53" s="157"/>
      <c r="M53" s="158"/>
      <c r="N53" s="159"/>
      <c r="O53" s="158"/>
      <c r="P53" s="157"/>
      <c r="Q53" s="158"/>
      <c r="R53" s="157"/>
      <c r="S53" s="158"/>
      <c r="T53" s="157"/>
      <c r="U53" s="158"/>
      <c r="V53" s="157"/>
      <c r="W53" s="160"/>
      <c r="X53" s="161"/>
      <c r="Y53" s="257"/>
      <c r="Z53" s="162"/>
      <c r="AA53" s="305"/>
      <c r="AB53" s="317"/>
      <c r="AC53" s="336"/>
      <c r="AD53" s="337"/>
      <c r="AE53" s="352"/>
      <c r="AF53" s="353"/>
      <c r="AG53" s="365"/>
      <c r="AH53" s="365"/>
      <c r="AI53" s="352"/>
      <c r="AJ53" s="353"/>
    </row>
    <row r="54" spans="2:36" ht="14.1" customHeight="1" x14ac:dyDescent="0.25">
      <c r="B54" s="163" t="s">
        <v>86</v>
      </c>
      <c r="C54" s="164">
        <v>45921</v>
      </c>
      <c r="D54" s="283"/>
      <c r="E54" s="284"/>
      <c r="F54" s="283"/>
      <c r="G54" s="284"/>
      <c r="H54" s="283"/>
      <c r="I54" s="284"/>
      <c r="J54" s="283"/>
      <c r="K54" s="284"/>
      <c r="L54" s="283"/>
      <c r="M54" s="284"/>
      <c r="N54" s="285"/>
      <c r="O54" s="284"/>
      <c r="P54" s="283"/>
      <c r="Q54" s="284"/>
      <c r="R54" s="283"/>
      <c r="S54" s="284"/>
      <c r="T54" s="283"/>
      <c r="U54" s="284"/>
      <c r="V54" s="283"/>
      <c r="W54" s="286"/>
      <c r="X54" s="287"/>
      <c r="Y54" s="288"/>
      <c r="Z54" s="289"/>
      <c r="AA54" s="306"/>
      <c r="AB54" s="318"/>
      <c r="AC54" s="372"/>
      <c r="AD54" s="373"/>
      <c r="AE54" s="358"/>
      <c r="AF54" s="359"/>
      <c r="AG54" s="335"/>
      <c r="AH54" s="335"/>
      <c r="AI54" s="358"/>
      <c r="AJ54" s="359"/>
    </row>
    <row r="55" spans="2:36" ht="14.1" customHeight="1" x14ac:dyDescent="0.25">
      <c r="B55" s="139" t="s">
        <v>80</v>
      </c>
      <c r="C55" s="140">
        <v>45922</v>
      </c>
      <c r="D55" s="165"/>
      <c r="E55" s="166"/>
      <c r="F55" s="165"/>
      <c r="G55" s="166"/>
      <c r="H55" s="165"/>
      <c r="I55" s="166"/>
      <c r="J55" s="165"/>
      <c r="K55" s="166"/>
      <c r="L55" s="165"/>
      <c r="M55" s="166"/>
      <c r="N55" s="167"/>
      <c r="O55" s="166"/>
      <c r="P55" s="165"/>
      <c r="Q55" s="166"/>
      <c r="R55" s="165"/>
      <c r="S55" s="166"/>
      <c r="T55" s="165"/>
      <c r="U55" s="166"/>
      <c r="V55" s="165"/>
      <c r="W55" s="168"/>
      <c r="X55" s="145"/>
      <c r="Y55" s="259"/>
      <c r="Z55" s="146"/>
      <c r="AA55" s="308"/>
      <c r="AB55" s="320"/>
      <c r="AC55" s="346"/>
      <c r="AD55" s="347"/>
      <c r="AE55" s="348" t="str">
        <f>TRUNC(SUM(AC55:AC61)*24,0) &amp; "h" &amp; RIGHT("00"&amp;ROUND(((SUM(AC55:AC61)*24)-TRUNC(SUM(AC55:AC61)*24,0))*60,2),2)</f>
        <v>0h00</v>
      </c>
      <c r="AF55" s="349"/>
      <c r="AG55" s="365"/>
      <c r="AH55" s="365"/>
      <c r="AI55" s="348" t="str">
        <f>TRUNC(SUM(AG55:AG61)*24,0) &amp; "h" &amp; RIGHT("00"&amp;ROUND(((SUM(AG55:AG61)*24)-TRUNC(SUM(AG55:AG61)*24,0))*60,2),2)</f>
        <v>0h00</v>
      </c>
      <c r="AJ55" s="349"/>
    </row>
    <row r="56" spans="2:36" ht="14.1" customHeight="1" x14ac:dyDescent="0.25">
      <c r="B56" s="139" t="s">
        <v>81</v>
      </c>
      <c r="C56" s="140">
        <v>45923</v>
      </c>
      <c r="D56" s="262"/>
      <c r="E56" s="263"/>
      <c r="F56" s="262"/>
      <c r="G56" s="263"/>
      <c r="H56" s="262"/>
      <c r="I56" s="263"/>
      <c r="J56" s="262"/>
      <c r="K56" s="263"/>
      <c r="L56" s="262"/>
      <c r="M56" s="263"/>
      <c r="N56" s="264"/>
      <c r="O56" s="263"/>
      <c r="P56" s="262"/>
      <c r="Q56" s="263"/>
      <c r="R56" s="262"/>
      <c r="S56" s="263"/>
      <c r="T56" s="262"/>
      <c r="U56" s="263"/>
      <c r="V56" s="262"/>
      <c r="W56" s="265"/>
      <c r="X56" s="266"/>
      <c r="Y56" s="267"/>
      <c r="Z56" s="268"/>
      <c r="AA56" s="300"/>
      <c r="AB56" s="312"/>
      <c r="AC56" s="338"/>
      <c r="AD56" s="339"/>
      <c r="AE56" s="350"/>
      <c r="AF56" s="351"/>
      <c r="AG56" s="335"/>
      <c r="AH56" s="335"/>
      <c r="AI56" s="350"/>
      <c r="AJ56" s="351"/>
    </row>
    <row r="57" spans="2:36" ht="14.1" customHeight="1" x14ac:dyDescent="0.25">
      <c r="B57" s="139" t="s">
        <v>82</v>
      </c>
      <c r="C57" s="140">
        <v>45924</v>
      </c>
      <c r="D57" s="147"/>
      <c r="E57" s="148"/>
      <c r="F57" s="147"/>
      <c r="G57" s="148"/>
      <c r="H57" s="147"/>
      <c r="I57" s="148"/>
      <c r="J57" s="147"/>
      <c r="K57" s="148"/>
      <c r="L57" s="147"/>
      <c r="M57" s="148"/>
      <c r="N57" s="149"/>
      <c r="O57" s="148"/>
      <c r="P57" s="147"/>
      <c r="Q57" s="148"/>
      <c r="R57" s="147"/>
      <c r="S57" s="148"/>
      <c r="T57" s="147"/>
      <c r="U57" s="148"/>
      <c r="V57" s="147"/>
      <c r="W57" s="150"/>
      <c r="X57" s="151"/>
      <c r="Y57" s="255"/>
      <c r="Z57" s="152"/>
      <c r="AA57" s="301"/>
      <c r="AB57" s="313"/>
      <c r="AC57" s="336"/>
      <c r="AD57" s="337"/>
      <c r="AE57" s="352"/>
      <c r="AF57" s="353"/>
      <c r="AG57" s="365"/>
      <c r="AH57" s="365"/>
      <c r="AI57" s="352"/>
      <c r="AJ57" s="353"/>
    </row>
    <row r="58" spans="2:36" ht="14.1" customHeight="1" x14ac:dyDescent="0.25">
      <c r="B58" s="139" t="s">
        <v>83</v>
      </c>
      <c r="C58" s="140">
        <v>45925</v>
      </c>
      <c r="D58" s="269"/>
      <c r="E58" s="270"/>
      <c r="F58" s="269"/>
      <c r="G58" s="270"/>
      <c r="H58" s="269"/>
      <c r="I58" s="270"/>
      <c r="J58" s="269"/>
      <c r="K58" s="270"/>
      <c r="L58" s="269"/>
      <c r="M58" s="270"/>
      <c r="N58" s="271"/>
      <c r="O58" s="270"/>
      <c r="P58" s="269"/>
      <c r="Q58" s="270"/>
      <c r="R58" s="269"/>
      <c r="S58" s="270"/>
      <c r="T58" s="269"/>
      <c r="U58" s="270"/>
      <c r="V58" s="269"/>
      <c r="W58" s="272"/>
      <c r="X58" s="273"/>
      <c r="Y58" s="274"/>
      <c r="Z58" s="275"/>
      <c r="AA58" s="302"/>
      <c r="AB58" s="314"/>
      <c r="AC58" s="338"/>
      <c r="AD58" s="339"/>
      <c r="AE58" s="350"/>
      <c r="AF58" s="351"/>
      <c r="AG58" s="335"/>
      <c r="AH58" s="335"/>
      <c r="AI58" s="350"/>
      <c r="AJ58" s="351"/>
    </row>
    <row r="59" spans="2:36" ht="14.1" customHeight="1" x14ac:dyDescent="0.25">
      <c r="B59" s="139" t="s">
        <v>84</v>
      </c>
      <c r="C59" s="140">
        <v>45926</v>
      </c>
      <c r="D59" s="147"/>
      <c r="E59" s="148"/>
      <c r="F59" s="147"/>
      <c r="G59" s="148"/>
      <c r="H59" s="147"/>
      <c r="I59" s="148"/>
      <c r="J59" s="147"/>
      <c r="K59" s="148"/>
      <c r="L59" s="147"/>
      <c r="M59" s="148"/>
      <c r="N59" s="149"/>
      <c r="O59" s="148"/>
      <c r="P59" s="147"/>
      <c r="Q59" s="148"/>
      <c r="R59" s="147"/>
      <c r="S59" s="148"/>
      <c r="T59" s="147"/>
      <c r="U59" s="148"/>
      <c r="V59" s="147"/>
      <c r="W59" s="150"/>
      <c r="X59" s="151"/>
      <c r="Y59" s="255"/>
      <c r="Z59" s="152"/>
      <c r="AA59" s="301"/>
      <c r="AB59" s="313"/>
      <c r="AC59" s="336"/>
      <c r="AD59" s="337"/>
      <c r="AE59" s="352"/>
      <c r="AF59" s="353"/>
      <c r="AG59" s="365"/>
      <c r="AH59" s="365"/>
      <c r="AI59" s="352"/>
      <c r="AJ59" s="353"/>
    </row>
    <row r="60" spans="2:36" ht="14.1" customHeight="1" x14ac:dyDescent="0.25">
      <c r="B60" s="139" t="s">
        <v>85</v>
      </c>
      <c r="C60" s="140">
        <v>45927</v>
      </c>
      <c r="D60" s="269"/>
      <c r="E60" s="270"/>
      <c r="F60" s="269"/>
      <c r="G60" s="270"/>
      <c r="H60" s="269"/>
      <c r="I60" s="270"/>
      <c r="J60" s="269"/>
      <c r="K60" s="270"/>
      <c r="L60" s="269"/>
      <c r="M60" s="270"/>
      <c r="N60" s="271"/>
      <c r="O60" s="270"/>
      <c r="P60" s="269"/>
      <c r="Q60" s="270"/>
      <c r="R60" s="269"/>
      <c r="S60" s="270"/>
      <c r="T60" s="269"/>
      <c r="U60" s="270"/>
      <c r="V60" s="269"/>
      <c r="W60" s="272"/>
      <c r="X60" s="273"/>
      <c r="Y60" s="274"/>
      <c r="Z60" s="275"/>
      <c r="AA60" s="302"/>
      <c r="AB60" s="314"/>
      <c r="AC60" s="338"/>
      <c r="AD60" s="339"/>
      <c r="AE60" s="350"/>
      <c r="AF60" s="351"/>
      <c r="AG60" s="335"/>
      <c r="AH60" s="335"/>
      <c r="AI60" s="350"/>
      <c r="AJ60" s="351"/>
    </row>
    <row r="61" spans="2:36" ht="14.1" customHeight="1" thickBot="1" x14ac:dyDescent="0.3">
      <c r="B61" s="169" t="s">
        <v>86</v>
      </c>
      <c r="C61" s="170">
        <v>45928</v>
      </c>
      <c r="D61" s="191"/>
      <c r="E61" s="192"/>
      <c r="F61" s="191"/>
      <c r="G61" s="192"/>
      <c r="H61" s="191"/>
      <c r="I61" s="192"/>
      <c r="J61" s="191"/>
      <c r="K61" s="192"/>
      <c r="L61" s="191"/>
      <c r="M61" s="192"/>
      <c r="N61" s="193"/>
      <c r="O61" s="192"/>
      <c r="P61" s="191"/>
      <c r="Q61" s="192"/>
      <c r="R61" s="191"/>
      <c r="S61" s="192"/>
      <c r="T61" s="191"/>
      <c r="U61" s="192"/>
      <c r="V61" s="191"/>
      <c r="W61" s="194"/>
      <c r="X61" s="161"/>
      <c r="Y61" s="257"/>
      <c r="Z61" s="261"/>
      <c r="AA61" s="309"/>
      <c r="AB61" s="321"/>
      <c r="AC61" s="360"/>
      <c r="AD61" s="361"/>
      <c r="AE61" s="352"/>
      <c r="AF61" s="353"/>
      <c r="AG61" s="366"/>
      <c r="AH61" s="366"/>
      <c r="AI61" s="352"/>
      <c r="AJ61" s="353"/>
    </row>
    <row r="62" spans="2:36" ht="24" customHeight="1" thickTop="1" thickBot="1" x14ac:dyDescent="0.3">
      <c r="B62" s="171"/>
      <c r="C62" s="222"/>
      <c r="D62" s="222"/>
      <c r="E62" s="222"/>
      <c r="F62" s="222"/>
      <c r="G62" s="222"/>
      <c r="H62" s="222"/>
      <c r="I62" s="222"/>
      <c r="J62" s="222"/>
      <c r="K62" s="222"/>
      <c r="L62" s="222"/>
      <c r="M62" s="222"/>
      <c r="N62" s="222"/>
      <c r="O62" s="222"/>
      <c r="P62" s="222"/>
      <c r="Q62" s="222"/>
      <c r="R62" s="222"/>
      <c r="S62" s="222"/>
      <c r="T62" s="222"/>
      <c r="U62" s="222"/>
      <c r="V62" s="329" t="s">
        <v>129</v>
      </c>
      <c r="W62" s="329"/>
      <c r="X62" s="329"/>
      <c r="Y62" s="329"/>
      <c r="Z62" s="329"/>
      <c r="AA62" s="322"/>
      <c r="AB62" s="322">
        <f>MAX(AB27:AB61)</f>
        <v>0</v>
      </c>
      <c r="AC62" s="330"/>
      <c r="AD62" s="330"/>
      <c r="AE62" s="333" t="str">
        <f>TRUNC(SUM(AC27:AC61)*24,0) &amp; "h" &amp; RIGHT("00"&amp;ROUND(((SUM(AC27:AC61)*24)-TRUNC(SUM(AC27:AC61)*24,0))*60,2),2)</f>
        <v>0h00</v>
      </c>
      <c r="AF62" s="333"/>
      <c r="AG62" s="331"/>
      <c r="AH62" s="331"/>
      <c r="AI62" s="334" t="str">
        <f>TRUNC(SUM(AG27:AG61)*24,0) &amp; "h" &amp; RIGHT("00"&amp;ROUND(((SUM(AG27:AG61)*24)-TRUNC(SUM(AG27:AG61)*24,0))*60,2),2)</f>
        <v>0h00</v>
      </c>
      <c r="AJ62" s="334"/>
    </row>
    <row r="63" spans="2:36" x14ac:dyDescent="0.25"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</row>
    <row r="64" spans="2:36" ht="15.75" thickBot="1" x14ac:dyDescent="0.3"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  <c r="AE64" s="43"/>
      <c r="AF64" s="43"/>
    </row>
    <row r="65" spans="3:32" x14ac:dyDescent="0.25">
      <c r="C65" s="43"/>
      <c r="D65" s="27"/>
      <c r="E65" s="28"/>
      <c r="F65" s="28"/>
      <c r="G65" s="28"/>
      <c r="H65" s="28"/>
      <c r="I65" s="28"/>
      <c r="J65" s="28"/>
      <c r="K65" s="28"/>
      <c r="L65" s="29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</row>
    <row r="66" spans="3:32" x14ac:dyDescent="0.25">
      <c r="C66" s="43"/>
      <c r="D66" s="5"/>
      <c r="E66" s="332" t="s">
        <v>155</v>
      </c>
      <c r="F66" s="332"/>
      <c r="G66" s="332"/>
      <c r="H66" s="332"/>
      <c r="I66" s="332"/>
      <c r="J66" s="332"/>
      <c r="K66" s="332"/>
      <c r="L66" s="6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  <c r="AE66" s="43"/>
      <c r="AF66" s="43"/>
    </row>
    <row r="67" spans="3:32" x14ac:dyDescent="0.25">
      <c r="C67" s="43"/>
      <c r="D67" s="5"/>
      <c r="E67" s="236"/>
      <c r="F67" s="236"/>
      <c r="G67" s="236"/>
      <c r="H67" s="126"/>
      <c r="I67" s="236"/>
      <c r="J67" s="236"/>
      <c r="K67" s="236"/>
      <c r="L67" s="6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  <c r="AE67" s="43"/>
      <c r="AF67" s="43"/>
    </row>
    <row r="68" spans="3:32" x14ac:dyDescent="0.25">
      <c r="C68" s="43"/>
      <c r="D68" s="5"/>
      <c r="E68" s="368" t="s">
        <v>108</v>
      </c>
      <c r="F68" s="369"/>
      <c r="G68" s="369"/>
      <c r="H68" s="369"/>
      <c r="I68" s="369"/>
      <c r="J68" s="369"/>
      <c r="K68" s="370"/>
      <c r="L68" s="6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</row>
    <row r="69" spans="3:32" x14ac:dyDescent="0.25">
      <c r="C69" s="43"/>
      <c r="D69" s="5"/>
      <c r="E69" s="236"/>
      <c r="F69" s="236"/>
      <c r="G69" s="236"/>
      <c r="H69" s="236"/>
      <c r="I69" s="236"/>
      <c r="J69" s="236"/>
      <c r="K69" s="236"/>
      <c r="L69" s="6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  <c r="AE69" s="43"/>
      <c r="AF69" s="43"/>
    </row>
    <row r="70" spans="3:32" x14ac:dyDescent="0.25">
      <c r="C70" s="43"/>
      <c r="D70" s="5"/>
      <c r="E70" s="236"/>
      <c r="F70" s="236"/>
      <c r="G70" s="236"/>
      <c r="H70" s="236"/>
      <c r="I70" s="236"/>
      <c r="J70" s="236"/>
      <c r="K70" s="236"/>
      <c r="L70" s="6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43"/>
      <c r="AF70" s="43"/>
    </row>
    <row r="71" spans="3:32" x14ac:dyDescent="0.25">
      <c r="C71" s="43"/>
      <c r="D71" s="5"/>
      <c r="E71" s="236"/>
      <c r="F71" s="236"/>
      <c r="G71" s="236"/>
      <c r="H71" s="236"/>
      <c r="I71" s="236"/>
      <c r="J71" s="236"/>
      <c r="K71" s="236"/>
      <c r="L71" s="6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</row>
    <row r="72" spans="3:32" x14ac:dyDescent="0.25">
      <c r="C72" s="43"/>
      <c r="D72" s="5"/>
      <c r="E72" s="236"/>
      <c r="F72" s="236"/>
      <c r="G72" s="236"/>
      <c r="H72" s="236"/>
      <c r="I72" s="236"/>
      <c r="J72" s="236"/>
      <c r="K72" s="236"/>
      <c r="L72" s="6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</row>
    <row r="73" spans="3:32" x14ac:dyDescent="0.25">
      <c r="C73" s="43"/>
      <c r="D73" s="5"/>
      <c r="E73" s="236"/>
      <c r="F73" s="236"/>
      <c r="G73" s="236"/>
      <c r="H73" s="236"/>
      <c r="I73" s="236"/>
      <c r="J73" s="236"/>
      <c r="K73" s="236"/>
      <c r="L73" s="6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</row>
    <row r="74" spans="3:32" x14ac:dyDescent="0.25">
      <c r="C74" s="43"/>
      <c r="D74" s="5"/>
      <c r="E74" s="236"/>
      <c r="F74" s="236"/>
      <c r="G74" s="236"/>
      <c r="H74" s="236"/>
      <c r="I74" s="236"/>
      <c r="J74" s="236"/>
      <c r="K74" s="236"/>
      <c r="L74" s="6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</row>
    <row r="75" spans="3:32" x14ac:dyDescent="0.25">
      <c r="C75" s="43"/>
      <c r="D75" s="5"/>
      <c r="E75" s="236"/>
      <c r="F75" s="236"/>
      <c r="G75" s="236"/>
      <c r="H75" s="236"/>
      <c r="I75" s="236"/>
      <c r="J75" s="236"/>
      <c r="K75" s="236"/>
      <c r="L75" s="6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</row>
    <row r="76" spans="3:32" x14ac:dyDescent="0.25">
      <c r="C76" s="43"/>
      <c r="D76" s="5"/>
      <c r="E76" s="236"/>
      <c r="F76" s="236"/>
      <c r="G76" s="236"/>
      <c r="H76" s="236"/>
      <c r="I76" s="236"/>
      <c r="J76" s="236"/>
      <c r="K76" s="236"/>
      <c r="L76" s="6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</row>
    <row r="77" spans="3:32" ht="15.75" thickBot="1" x14ac:dyDescent="0.3">
      <c r="C77" s="43"/>
      <c r="D77" s="227"/>
      <c r="E77" s="228">
        <v>3</v>
      </c>
      <c r="F77" s="7">
        <v>4</v>
      </c>
      <c r="G77" s="7"/>
      <c r="H77" s="7"/>
      <c r="I77" s="7"/>
      <c r="J77" s="7"/>
      <c r="K77" s="7"/>
      <c r="L77" s="8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</row>
    <row r="78" spans="3:32" x14ac:dyDescent="0.25"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</row>
    <row r="79" spans="3:32" x14ac:dyDescent="0.25"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</row>
    <row r="80" spans="3:32" x14ac:dyDescent="0.25"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</row>
    <row r="81" spans="3:32" x14ac:dyDescent="0.25"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</row>
    <row r="82" spans="3:32" x14ac:dyDescent="0.25">
      <c r="C82" s="43"/>
      <c r="D82" s="43"/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</row>
    <row r="83" spans="3:32" x14ac:dyDescent="0.25"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</row>
    <row r="84" spans="3:32" x14ac:dyDescent="0.25"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</row>
    <row r="85" spans="3:32" x14ac:dyDescent="0.25"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</row>
    <row r="86" spans="3:32" x14ac:dyDescent="0.25">
      <c r="C86" s="43"/>
      <c r="D86" s="43"/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</row>
    <row r="87" spans="3:32" x14ac:dyDescent="0.25"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</row>
    <row r="88" spans="3:32" x14ac:dyDescent="0.25"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</row>
    <row r="89" spans="3:32" x14ac:dyDescent="0.25">
      <c r="X89" s="43"/>
      <c r="Y89" s="43"/>
      <c r="Z89" s="43"/>
      <c r="AA89" s="43"/>
      <c r="AB89" s="43"/>
      <c r="AC89" s="43"/>
    </row>
    <row r="90" spans="3:32" x14ac:dyDescent="0.25">
      <c r="X90" s="43"/>
      <c r="Y90" s="43"/>
      <c r="Z90" s="43"/>
      <c r="AA90" s="43"/>
      <c r="AB90" s="43"/>
      <c r="AC90" s="43"/>
    </row>
    <row r="91" spans="3:32" x14ac:dyDescent="0.25">
      <c r="X91" s="43"/>
      <c r="Y91" s="43"/>
      <c r="Z91" s="43"/>
      <c r="AA91" s="43"/>
      <c r="AB91" s="43"/>
      <c r="AC91" s="43"/>
    </row>
    <row r="92" spans="3:32" x14ac:dyDescent="0.25">
      <c r="X92" s="43"/>
      <c r="Y92" s="43"/>
      <c r="Z92" s="43"/>
      <c r="AA92" s="43"/>
      <c r="AB92" s="43"/>
      <c r="AC92" s="43"/>
    </row>
    <row r="93" spans="3:32" x14ac:dyDescent="0.25">
      <c r="X93" s="43"/>
      <c r="Y93" s="43"/>
      <c r="Z93" s="43"/>
      <c r="AA93" s="43"/>
      <c r="AB93" s="43"/>
      <c r="AC93" s="43"/>
    </row>
    <row r="94" spans="3:32" x14ac:dyDescent="0.25">
      <c r="X94" s="43"/>
      <c r="Y94" s="43"/>
      <c r="Z94" s="43"/>
      <c r="AA94" s="43"/>
      <c r="AB94" s="43"/>
      <c r="AC94" s="43"/>
    </row>
    <row r="95" spans="3:32" x14ac:dyDescent="0.25">
      <c r="X95" s="43"/>
      <c r="Y95" s="43"/>
      <c r="Z95" s="43"/>
      <c r="AA95" s="43"/>
      <c r="AB95" s="43"/>
      <c r="AC95" s="43"/>
    </row>
    <row r="96" spans="3:32" x14ac:dyDescent="0.25">
      <c r="X96" s="43"/>
      <c r="Y96" s="43"/>
      <c r="Z96" s="43"/>
      <c r="AA96" s="43"/>
      <c r="AB96" s="43"/>
      <c r="AC96" s="43"/>
    </row>
  </sheetData>
  <mergeCells count="109">
    <mergeCell ref="E2:G2"/>
    <mergeCell ref="I23:N23"/>
    <mergeCell ref="R23:V23"/>
    <mergeCell ref="B24:W24"/>
    <mergeCell ref="D25:E25"/>
    <mergeCell ref="F25:G25"/>
    <mergeCell ref="H25:I25"/>
    <mergeCell ref="J25:K25"/>
    <mergeCell ref="L25:M25"/>
    <mergeCell ref="N25:O25"/>
    <mergeCell ref="T25:U25"/>
    <mergeCell ref="V25:W25"/>
    <mergeCell ref="AC39:AD39"/>
    <mergeCell ref="AC53:AD53"/>
    <mergeCell ref="AC59:AD59"/>
    <mergeCell ref="AE26:AF26"/>
    <mergeCell ref="P25:Q25"/>
    <mergeCell ref="R25:S25"/>
    <mergeCell ref="AC40:AD40"/>
    <mergeCell ref="N1:P1"/>
    <mergeCell ref="S1:T1"/>
    <mergeCell ref="AC26:AD26"/>
    <mergeCell ref="AC35:AD35"/>
    <mergeCell ref="AC36:AD36"/>
    <mergeCell ref="AC37:AD37"/>
    <mergeCell ref="AG47:AH47"/>
    <mergeCell ref="AC54:AD54"/>
    <mergeCell ref="AC55:AD55"/>
    <mergeCell ref="AC56:AD56"/>
    <mergeCell ref="AC57:AD57"/>
    <mergeCell ref="AC58:AD58"/>
    <mergeCell ref="AC48:AD48"/>
    <mergeCell ref="AC49:AD49"/>
    <mergeCell ref="AC50:AD50"/>
    <mergeCell ref="AC51:AD51"/>
    <mergeCell ref="AC52:AD52"/>
    <mergeCell ref="AE41:AF47"/>
    <mergeCell ref="E66:K66"/>
    <mergeCell ref="E68:K68"/>
    <mergeCell ref="AG26:AH26"/>
    <mergeCell ref="AG27:AH27"/>
    <mergeCell ref="AG28:AH28"/>
    <mergeCell ref="AG29:AH29"/>
    <mergeCell ref="AG30:AH30"/>
    <mergeCell ref="AG31:AH31"/>
    <mergeCell ref="AG32:AH32"/>
    <mergeCell ref="AG33:AH33"/>
    <mergeCell ref="AG34:AH34"/>
    <mergeCell ref="AG35:AH35"/>
    <mergeCell ref="AG36:AH36"/>
    <mergeCell ref="AG37:AH37"/>
    <mergeCell ref="AG38:AH38"/>
    <mergeCell ref="AG39:AH39"/>
    <mergeCell ref="AG40:AH40"/>
    <mergeCell ref="AG41:AH41"/>
    <mergeCell ref="AG42:AH42"/>
    <mergeCell ref="AG43:AH43"/>
    <mergeCell ref="AG44:AH44"/>
    <mergeCell ref="AG45:AH45"/>
    <mergeCell ref="AC60:AD60"/>
    <mergeCell ref="AG46:AH46"/>
    <mergeCell ref="AC61:AD61"/>
    <mergeCell ref="X25:Z25"/>
    <mergeCell ref="AI27:AJ33"/>
    <mergeCell ref="AI34:AJ40"/>
    <mergeCell ref="AI41:AJ47"/>
    <mergeCell ref="AI48:AJ54"/>
    <mergeCell ref="AI55:AJ61"/>
    <mergeCell ref="AG58:AH58"/>
    <mergeCell ref="AG59:AH59"/>
    <mergeCell ref="AG60:AH60"/>
    <mergeCell ref="AG61:AH61"/>
    <mergeCell ref="AI26:AJ26"/>
    <mergeCell ref="AG49:AH49"/>
    <mergeCell ref="AG50:AH50"/>
    <mergeCell ref="AG51:AH51"/>
    <mergeCell ref="AG52:AH52"/>
    <mergeCell ref="AG53:AH53"/>
    <mergeCell ref="AG54:AH54"/>
    <mergeCell ref="AG55:AH55"/>
    <mergeCell ref="AG56:AH56"/>
    <mergeCell ref="AG57:AH57"/>
    <mergeCell ref="AE48:AF54"/>
    <mergeCell ref="AE55:AF61"/>
    <mergeCell ref="AC38:AD38"/>
    <mergeCell ref="V62:Z62"/>
    <mergeCell ref="AC62:AD62"/>
    <mergeCell ref="AG62:AH62"/>
    <mergeCell ref="AA1:AB1"/>
    <mergeCell ref="AE62:AF62"/>
    <mergeCell ref="AI62:AJ62"/>
    <mergeCell ref="AG48:AH48"/>
    <mergeCell ref="AC45:AD45"/>
    <mergeCell ref="AC46:AD46"/>
    <mergeCell ref="AC43:AD43"/>
    <mergeCell ref="AC44:AD44"/>
    <mergeCell ref="AC27:AD27"/>
    <mergeCell ref="AC28:AD28"/>
    <mergeCell ref="AC29:AD29"/>
    <mergeCell ref="AC30:AD30"/>
    <mergeCell ref="AC31:AD31"/>
    <mergeCell ref="AC32:AD32"/>
    <mergeCell ref="AC33:AD33"/>
    <mergeCell ref="AC34:AD34"/>
    <mergeCell ref="AC47:AD47"/>
    <mergeCell ref="AC41:AD41"/>
    <mergeCell ref="AC42:AD42"/>
    <mergeCell ref="AE27:AF33"/>
    <mergeCell ref="AE34:AF40"/>
  </mergeCells>
  <dataValidations count="3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E68:K68">
      <formula1>"ZDesigner 105SL 203DPI,OneNote for Windows 10,RustDesk Printer,Microsoft XPS Document Writer,Microsoft Print to PDF,Fax,Envoyer à OneNote 16,AnyDesk Printer,Adobe PDF"</formula1>
    </dataValidation>
    <dataValidation type="list" allowBlank="1" showInputMessage="1" showErrorMessage="1" sqref="AA1:AB1">
      <formula1>"1 à 4"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409" r:id="rId4" name="MonthMinus">
          <controlPr defaultSize="0" autoLine="0" r:id="rId5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12</xdr:col>
                <xdr:colOff>400050</xdr:colOff>
                <xdr:row>1</xdr:row>
                <xdr:rowOff>38100</xdr:rowOff>
              </to>
            </anchor>
          </controlPr>
        </control>
      </mc:Choice>
      <mc:Fallback>
        <control shapeId="17409" r:id="rId4" name="MonthMinus"/>
      </mc:Fallback>
    </mc:AlternateContent>
    <mc:AlternateContent xmlns:mc="http://schemas.openxmlformats.org/markup-compatibility/2006">
      <mc:Choice Requires="x14">
        <control shapeId="17410" r:id="rId6" name="MonthPlus">
          <controlPr defaultSize="0" autoLine="0" r:id="rId7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16</xdr:col>
                <xdr:colOff>400050</xdr:colOff>
                <xdr:row>1</xdr:row>
                <xdr:rowOff>38100</xdr:rowOff>
              </to>
            </anchor>
          </controlPr>
        </control>
      </mc:Choice>
      <mc:Fallback>
        <control shapeId="17410" r:id="rId6" name="MonthPlus"/>
      </mc:Fallback>
    </mc:AlternateContent>
    <mc:AlternateContent xmlns:mc="http://schemas.openxmlformats.org/markup-compatibility/2006">
      <mc:Choice Requires="x14">
        <control shapeId="17412" r:id="rId8" name="CommandButton4">
          <controlPr defaultSize="0" autoLine="0" r:id="rId9">
            <anchor moveWithCells="1">
              <from>
                <xdr:col>5</xdr:col>
                <xdr:colOff>38100</xdr:colOff>
                <xdr:row>70</xdr:row>
                <xdr:rowOff>76200</xdr:rowOff>
              </from>
              <to>
                <xdr:col>9</xdr:col>
                <xdr:colOff>381000</xdr:colOff>
                <xdr:row>72</xdr:row>
                <xdr:rowOff>66675</xdr:rowOff>
              </to>
            </anchor>
          </controlPr>
        </control>
      </mc:Choice>
      <mc:Fallback>
        <control shapeId="17412" r:id="rId8" name="CommandButton4"/>
      </mc:Fallback>
    </mc:AlternateContent>
    <mc:AlternateContent xmlns:mc="http://schemas.openxmlformats.org/markup-compatibility/2006">
      <mc:Choice Requires="x14">
        <control shapeId="17413" r:id="rId10" name="ActuPrt_btn">
          <controlPr defaultSize="0" autoLine="0" r:id="rId11">
            <anchor moveWithCells="1">
              <from>
                <xdr:col>11</xdr:col>
                <xdr:colOff>57150</xdr:colOff>
                <xdr:row>66</xdr:row>
                <xdr:rowOff>142875</xdr:rowOff>
              </from>
              <to>
                <xdr:col>11</xdr:col>
                <xdr:colOff>352425</xdr:colOff>
                <xdr:row>68</xdr:row>
                <xdr:rowOff>38100</xdr:rowOff>
              </to>
            </anchor>
          </controlPr>
        </control>
      </mc:Choice>
      <mc:Fallback>
        <control shapeId="17413" r:id="rId10" name="ActuPrt_btn"/>
      </mc:Fallback>
    </mc:AlternateContent>
    <mc:AlternateContent xmlns:mc="http://schemas.openxmlformats.org/markup-compatibility/2006">
      <mc:Choice Requires="x14">
        <control shapeId="17414" r:id="rId12" name="ChkPreview">
          <controlPr defaultSize="0" autoLine="0" r:id="rId13">
            <anchor moveWithCells="1">
              <from>
                <xdr:col>5</xdr:col>
                <xdr:colOff>285750</xdr:colOff>
                <xdr:row>75</xdr:row>
                <xdr:rowOff>114300</xdr:rowOff>
              </from>
              <to>
                <xdr:col>9</xdr:col>
                <xdr:colOff>152400</xdr:colOff>
                <xdr:row>76</xdr:row>
                <xdr:rowOff>180975</xdr:rowOff>
              </to>
            </anchor>
          </controlPr>
        </control>
      </mc:Choice>
      <mc:Fallback>
        <control shapeId="17414" r:id="rId12" name="ChkPreview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D1:AB49"/>
  <sheetViews>
    <sheetView zoomScaleNormal="100" workbookViewId="0">
      <selection activeCell="E2" sqref="E2:H2"/>
    </sheetView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11.42578125" customWidth="1"/>
    <col min="9" max="9" width="23.7109375" customWidth="1"/>
    <col min="10" max="10" width="4.140625" customWidth="1"/>
    <col min="11" max="12" width="2.140625" customWidth="1"/>
    <col min="13" max="13" width="3.28515625" customWidth="1"/>
    <col min="18" max="18" width="44.140625" hidden="1" customWidth="1"/>
    <col min="19" max="19" width="36" customWidth="1"/>
    <col min="26" max="26" width="11.42578125" customWidth="1"/>
    <col min="27" max="28" width="11.42578125" hidden="1" customWidth="1"/>
  </cols>
  <sheetData>
    <row r="1" spans="4:28" x14ac:dyDescent="0.25">
      <c r="N1" t="s">
        <v>20</v>
      </c>
      <c r="P1" t="s">
        <v>51</v>
      </c>
      <c r="Q1" t="s">
        <v>26</v>
      </c>
      <c r="AA1" t="s">
        <v>151</v>
      </c>
      <c r="AB1" t="s">
        <v>15</v>
      </c>
    </row>
    <row r="2" spans="4:28" ht="17.25" x14ac:dyDescent="0.3">
      <c r="D2" t="s">
        <v>13</v>
      </c>
      <c r="E2" s="399"/>
      <c r="F2" s="399"/>
      <c r="G2" s="399"/>
      <c r="H2" s="399"/>
      <c r="P2" t="s">
        <v>22</v>
      </c>
      <c r="Q2" t="s">
        <v>21</v>
      </c>
      <c r="T2" s="18"/>
      <c r="U2" t="s">
        <v>31</v>
      </c>
      <c r="AA2">
        <v>0.73611111111111116</v>
      </c>
      <c r="AB2" t="s">
        <v>16</v>
      </c>
    </row>
    <row r="3" spans="4:28" x14ac:dyDescent="0.25">
      <c r="P3" t="s">
        <v>25</v>
      </c>
      <c r="Q3" t="s">
        <v>24</v>
      </c>
      <c r="T3" s="19"/>
      <c r="U3" t="s">
        <v>40</v>
      </c>
      <c r="AB3" t="s">
        <v>4</v>
      </c>
    </row>
    <row r="4" spans="4:28" x14ac:dyDescent="0.25">
      <c r="D4" t="s">
        <v>14</v>
      </c>
      <c r="E4" s="391"/>
      <c r="F4" s="391"/>
      <c r="G4" s="391"/>
      <c r="P4" t="s">
        <v>23</v>
      </c>
      <c r="Q4" t="s">
        <v>52</v>
      </c>
      <c r="T4" s="20"/>
      <c r="U4" t="s">
        <v>32</v>
      </c>
      <c r="AB4" t="s">
        <v>109</v>
      </c>
    </row>
    <row r="5" spans="4:28" x14ac:dyDescent="0.25">
      <c r="T5" s="21"/>
      <c r="U5" t="s">
        <v>33</v>
      </c>
      <c r="AB5" t="s">
        <v>110</v>
      </c>
    </row>
    <row r="6" spans="4:28" x14ac:dyDescent="0.25">
      <c r="D6" t="s">
        <v>35</v>
      </c>
      <c r="F6" s="43"/>
      <c r="G6" s="43"/>
      <c r="H6" s="43"/>
      <c r="I6" s="43"/>
      <c r="T6" s="22"/>
      <c r="U6" t="s">
        <v>34</v>
      </c>
      <c r="AB6" t="s">
        <v>111</v>
      </c>
    </row>
    <row r="7" spans="4:28" ht="15.75" thickBot="1" x14ac:dyDescent="0.3">
      <c r="AB7" t="s">
        <v>112</v>
      </c>
    </row>
    <row r="8" spans="4:28" ht="15.75" thickBot="1" x14ac:dyDescent="0.3">
      <c r="O8" s="12" t="s">
        <v>11</v>
      </c>
      <c r="P8" s="13" t="s">
        <v>2</v>
      </c>
      <c r="Q8" s="14" t="s">
        <v>3</v>
      </c>
      <c r="R8" s="15" t="s">
        <v>12</v>
      </c>
      <c r="S8" s="290" t="s">
        <v>128</v>
      </c>
    </row>
    <row r="9" spans="4:28" ht="16.5" thickTop="1" thickBot="1" x14ac:dyDescent="0.3">
      <c r="E9" s="9" t="s">
        <v>11</v>
      </c>
      <c r="F9" s="10" t="s">
        <v>2</v>
      </c>
      <c r="G9" s="11" t="s">
        <v>3</v>
      </c>
      <c r="H9" s="395" t="s">
        <v>12</v>
      </c>
      <c r="I9" s="396"/>
      <c r="O9" s="323"/>
      <c r="P9" s="324"/>
      <c r="Q9" s="325"/>
      <c r="R9" s="326"/>
      <c r="S9" s="327"/>
    </row>
    <row r="10" spans="4:28" ht="15.75" thickBot="1" x14ac:dyDescent="0.3">
      <c r="D10" s="23"/>
      <c r="E10" s="292"/>
      <c r="F10" s="293"/>
      <c r="G10" s="294"/>
      <c r="H10" s="397"/>
      <c r="I10" s="398"/>
      <c r="O10" s="468"/>
      <c r="P10" s="469"/>
      <c r="Q10" s="470"/>
      <c r="R10" s="471"/>
      <c r="S10" s="472"/>
    </row>
    <row r="11" spans="4:28" x14ac:dyDescent="0.25">
      <c r="O11" s="468"/>
      <c r="P11" s="469"/>
      <c r="Q11" s="470"/>
      <c r="R11" s="471"/>
      <c r="S11" s="472"/>
    </row>
    <row r="12" spans="4:28" x14ac:dyDescent="0.25">
      <c r="O12" s="468"/>
      <c r="P12" s="469"/>
      <c r="Q12" s="470"/>
      <c r="R12" s="471"/>
      <c r="S12" s="472"/>
    </row>
    <row r="13" spans="4:28" x14ac:dyDescent="0.25">
      <c r="O13" s="468"/>
      <c r="P13" s="469"/>
      <c r="Q13" s="470"/>
      <c r="R13" s="471"/>
      <c r="S13" s="472"/>
    </row>
    <row r="14" spans="4:28" x14ac:dyDescent="0.25">
      <c r="O14" s="468"/>
      <c r="P14" s="469"/>
      <c r="Q14" s="470"/>
      <c r="R14" s="471"/>
      <c r="S14" s="472"/>
    </row>
    <row r="15" spans="4:28" x14ac:dyDescent="0.25">
      <c r="O15" s="468"/>
      <c r="P15" s="469"/>
      <c r="Q15" s="470"/>
      <c r="R15" s="471"/>
      <c r="S15" s="472"/>
    </row>
    <row r="16" spans="4:28" ht="15.75" thickBot="1" x14ac:dyDescent="0.3">
      <c r="O16" s="468"/>
      <c r="P16" s="469"/>
      <c r="Q16" s="470"/>
      <c r="R16" s="471"/>
      <c r="S16" s="472"/>
    </row>
    <row r="17" spans="4:19" ht="15.75" thickBot="1" x14ac:dyDescent="0.3">
      <c r="D17" s="392" t="s">
        <v>17</v>
      </c>
      <c r="E17" s="393"/>
      <c r="F17" s="393"/>
      <c r="G17" s="394"/>
      <c r="O17" s="468"/>
      <c r="P17" s="469"/>
      <c r="Q17" s="470"/>
      <c r="R17" s="471"/>
      <c r="S17" s="472"/>
    </row>
    <row r="18" spans="4:19" x14ac:dyDescent="0.25">
      <c r="D18" s="5"/>
      <c r="G18" s="6"/>
      <c r="O18" s="468"/>
      <c r="P18" s="469"/>
      <c r="Q18" s="470"/>
      <c r="R18" s="471"/>
      <c r="S18" s="472"/>
    </row>
    <row r="19" spans="4:19" x14ac:dyDescent="0.25">
      <c r="D19" s="5" t="s">
        <v>18</v>
      </c>
      <c r="E19" s="1"/>
      <c r="G19" s="6"/>
      <c r="O19" s="468"/>
      <c r="P19" s="469"/>
      <c r="Q19" s="470"/>
      <c r="R19" s="471"/>
      <c r="S19" s="472"/>
    </row>
    <row r="20" spans="4:19" ht="15.75" thickBot="1" x14ac:dyDescent="0.3">
      <c r="D20" s="16" t="s">
        <v>19</v>
      </c>
      <c r="E20" s="17"/>
      <c r="F20" s="7"/>
      <c r="G20" s="8"/>
      <c r="O20" s="468"/>
      <c r="P20" s="469"/>
      <c r="Q20" s="470"/>
      <c r="R20" s="471"/>
      <c r="S20" s="472"/>
    </row>
    <row r="21" spans="4:19" x14ac:dyDescent="0.25">
      <c r="O21" s="468"/>
      <c r="P21" s="469"/>
      <c r="Q21" s="470"/>
      <c r="R21" s="471"/>
      <c r="S21" s="472"/>
    </row>
    <row r="22" spans="4:19" x14ac:dyDescent="0.25">
      <c r="E22" s="40"/>
      <c r="O22" s="468"/>
      <c r="P22" s="469"/>
      <c r="Q22" s="470"/>
      <c r="R22" s="471"/>
      <c r="S22" s="472"/>
    </row>
    <row r="23" spans="4:19" x14ac:dyDescent="0.25">
      <c r="O23" s="468"/>
      <c r="P23" s="469"/>
      <c r="Q23" s="470"/>
      <c r="R23" s="471"/>
      <c r="S23" s="472"/>
    </row>
    <row r="24" spans="4:19" x14ac:dyDescent="0.25">
      <c r="O24" s="468"/>
      <c r="P24" s="469"/>
      <c r="Q24" s="470"/>
      <c r="R24" s="471"/>
      <c r="S24" s="472"/>
    </row>
    <row r="25" spans="4:19" x14ac:dyDescent="0.25">
      <c r="O25" s="468"/>
      <c r="P25" s="469"/>
      <c r="Q25" s="470"/>
      <c r="R25" s="471"/>
      <c r="S25" s="472"/>
    </row>
    <row r="26" spans="4:19" x14ac:dyDescent="0.25">
      <c r="O26" s="468"/>
      <c r="P26" s="469"/>
      <c r="Q26" s="470"/>
      <c r="R26" s="471"/>
      <c r="S26" s="472"/>
    </row>
    <row r="27" spans="4:19" x14ac:dyDescent="0.25">
      <c r="O27" s="468"/>
      <c r="P27" s="469"/>
      <c r="Q27" s="470"/>
      <c r="R27" s="471"/>
      <c r="S27" s="472"/>
    </row>
    <row r="28" spans="4:19" x14ac:dyDescent="0.25">
      <c r="O28" s="468"/>
      <c r="P28" s="469"/>
      <c r="Q28" s="470"/>
      <c r="R28" s="471"/>
      <c r="S28" s="472"/>
    </row>
    <row r="29" spans="4:19" x14ac:dyDescent="0.25">
      <c r="O29" s="468"/>
      <c r="P29" s="469"/>
      <c r="Q29" s="470"/>
      <c r="R29" s="471"/>
      <c r="S29" s="472"/>
    </row>
    <row r="30" spans="4:19" x14ac:dyDescent="0.25">
      <c r="O30" s="468"/>
      <c r="P30" s="469"/>
      <c r="Q30" s="470"/>
      <c r="R30" s="471"/>
      <c r="S30" s="472"/>
    </row>
    <row r="31" spans="4:19" x14ac:dyDescent="0.25">
      <c r="O31" s="468"/>
      <c r="P31" s="469"/>
      <c r="Q31" s="470"/>
      <c r="R31" s="471"/>
      <c r="S31" s="472"/>
    </row>
    <row r="32" spans="4:19" x14ac:dyDescent="0.25">
      <c r="O32" s="468"/>
      <c r="P32" s="469"/>
      <c r="Q32" s="470"/>
      <c r="R32" s="471"/>
      <c r="S32" s="472"/>
    </row>
    <row r="33" spans="15:19" x14ac:dyDescent="0.25">
      <c r="O33" s="468"/>
      <c r="P33" s="471"/>
      <c r="Q33" s="470"/>
      <c r="R33" s="471"/>
      <c r="S33" s="472"/>
    </row>
    <row r="34" spans="15:19" x14ac:dyDescent="0.25">
      <c r="O34" s="468"/>
      <c r="P34" s="471"/>
      <c r="Q34" s="470"/>
      <c r="R34" s="471"/>
      <c r="S34" s="472"/>
    </row>
    <row r="35" spans="15:19" x14ac:dyDescent="0.25">
      <c r="O35" s="468"/>
      <c r="P35" s="471"/>
      <c r="Q35" s="470"/>
      <c r="R35" s="471"/>
      <c r="S35" s="472"/>
    </row>
    <row r="36" spans="15:19" x14ac:dyDescent="0.25">
      <c r="O36" s="468"/>
      <c r="P36" s="471"/>
      <c r="Q36" s="470"/>
      <c r="R36" s="471"/>
      <c r="S36" s="472"/>
    </row>
    <row r="37" spans="15:19" x14ac:dyDescent="0.25">
      <c r="O37" s="468"/>
      <c r="P37" s="471"/>
      <c r="Q37" s="470"/>
      <c r="R37" s="471"/>
      <c r="S37" s="472"/>
    </row>
    <row r="38" spans="15:19" x14ac:dyDescent="0.25">
      <c r="O38" s="468"/>
      <c r="P38" s="471"/>
      <c r="Q38" s="470"/>
      <c r="R38" s="471"/>
      <c r="S38" s="472"/>
    </row>
    <row r="39" spans="15:19" x14ac:dyDescent="0.25">
      <c r="O39" s="468"/>
      <c r="P39" s="471"/>
      <c r="Q39" s="470"/>
      <c r="R39" s="471"/>
      <c r="S39" s="472"/>
    </row>
    <row r="40" spans="15:19" x14ac:dyDescent="0.25">
      <c r="O40" s="468"/>
      <c r="P40" s="471"/>
      <c r="Q40" s="470"/>
      <c r="R40" s="471"/>
      <c r="S40" s="472"/>
    </row>
    <row r="41" spans="15:19" x14ac:dyDescent="0.25">
      <c r="O41" s="468"/>
      <c r="P41" s="471"/>
      <c r="Q41" s="470"/>
      <c r="R41" s="471"/>
      <c r="S41" s="472"/>
    </row>
    <row r="42" spans="15:19" x14ac:dyDescent="0.25">
      <c r="O42" s="468"/>
      <c r="P42" s="471"/>
      <c r="Q42" s="470"/>
      <c r="R42" s="471"/>
      <c r="S42" s="472"/>
    </row>
    <row r="43" spans="15:19" x14ac:dyDescent="0.25">
      <c r="O43" s="468"/>
      <c r="P43" s="471"/>
      <c r="Q43" s="470"/>
      <c r="R43" s="471"/>
      <c r="S43" s="472"/>
    </row>
    <row r="44" spans="15:19" x14ac:dyDescent="0.25">
      <c r="O44" s="468"/>
      <c r="P44" s="471"/>
      <c r="Q44" s="470"/>
      <c r="R44" s="471"/>
      <c r="S44" s="472"/>
    </row>
    <row r="45" spans="15:19" x14ac:dyDescent="0.25">
      <c r="O45" s="468"/>
      <c r="P45" s="471"/>
      <c r="Q45" s="470"/>
      <c r="R45" s="471"/>
      <c r="S45" s="472"/>
    </row>
    <row r="46" spans="15:19" x14ac:dyDescent="0.25">
      <c r="O46" s="468"/>
      <c r="P46" s="471"/>
      <c r="Q46" s="470"/>
      <c r="R46" s="471"/>
      <c r="S46" s="472"/>
    </row>
    <row r="47" spans="15:19" x14ac:dyDescent="0.25">
      <c r="O47" s="468"/>
      <c r="P47" s="471"/>
      <c r="Q47" s="470"/>
      <c r="R47" s="471"/>
      <c r="S47" s="472"/>
    </row>
    <row r="48" spans="15:19" x14ac:dyDescent="0.25">
      <c r="O48" s="468"/>
      <c r="P48" s="471"/>
      <c r="Q48" s="470"/>
      <c r="R48" s="471"/>
      <c r="S48" s="472"/>
    </row>
    <row r="49" spans="15:19" ht="15.75" thickBot="1" x14ac:dyDescent="0.3">
      <c r="O49" s="473"/>
      <c r="P49" s="474"/>
      <c r="Q49" s="475"/>
      <c r="R49" s="474"/>
      <c r="S49" s="476"/>
    </row>
  </sheetData>
  <mergeCells count="5">
    <mergeCell ref="E4:G4"/>
    <mergeCell ref="D17:G17"/>
    <mergeCell ref="H9:I9"/>
    <mergeCell ref="H10:I10"/>
    <mergeCell ref="E2:H2"/>
  </mergeCells>
  <dataValidations count="1">
    <dataValidation type="list" allowBlank="1" showInputMessage="1" showErrorMessage="1" sqref="E19">
      <formula1>$AB$1:$AB$7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2" r:id="rId4" name="InfoCorrectionBtn">
          <controlPr defaultSize="0" autoLine="0" r:id="rId5">
            <anchor moveWithCells="1">
              <from>
                <xdr:col>4</xdr:col>
                <xdr:colOff>123825</xdr:colOff>
                <xdr:row>26</xdr:row>
                <xdr:rowOff>38100</xdr:rowOff>
              </from>
              <to>
                <xdr:col>7</xdr:col>
                <xdr:colOff>628650</xdr:colOff>
                <xdr:row>27</xdr:row>
                <xdr:rowOff>123825</xdr:rowOff>
              </to>
            </anchor>
          </controlPr>
        </control>
      </mc:Choice>
      <mc:Fallback>
        <control shapeId="10252" r:id="rId4" name="InfoCorrectionBtn"/>
      </mc:Fallback>
    </mc:AlternateContent>
    <mc:AlternateContent xmlns:mc="http://schemas.openxmlformats.org/markup-compatibility/2006">
      <mc:Choice Requires="x14">
        <control shapeId="10243" r:id="rId6" name="DisableBtn">
          <controlPr defaultSize="0" disabled="1" autoLine="0" r:id="rId7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43" r:id="rId6" name="DisableBtn"/>
      </mc:Fallback>
    </mc:AlternateContent>
    <mc:AlternateContent xmlns:mc="http://schemas.openxmlformats.org/markup-compatibility/2006">
      <mc:Choice Requires="x14">
        <control shapeId="10242" r:id="rId8" name="DatePickerBtn">
          <controlPr defaultSize="0" disabled="1" autoLine="0" autoPict="0" r:id="rId9">
            <anchor moveWithCells="1">
              <from>
                <xdr:col>7</xdr:col>
                <xdr:colOff>9525</xdr:colOff>
                <xdr:row>2</xdr:row>
                <xdr:rowOff>123825</xdr:rowOff>
              </from>
              <to>
                <xdr:col>7</xdr:col>
                <xdr:colOff>390525</xdr:colOff>
                <xdr:row>4</xdr:row>
                <xdr:rowOff>123825</xdr:rowOff>
              </to>
            </anchor>
          </controlPr>
        </control>
      </mc:Choice>
      <mc:Fallback>
        <control shapeId="10242" r:id="rId8" name="DatePickerBtn"/>
      </mc:Fallback>
    </mc:AlternateContent>
    <mc:AlternateContent xmlns:mc="http://schemas.openxmlformats.org/markup-compatibility/2006">
      <mc:Choice Requires="x14">
        <control shapeId="10248" r:id="rId10" name="DelBtn">
          <controlPr defaultSize="0" disabled="1" autoLine="0" r:id="rId11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48" r:id="rId10" name="DelBtn"/>
      </mc:Fallback>
    </mc:AlternateContent>
    <mc:AlternateContent xmlns:mc="http://schemas.openxmlformats.org/markup-compatibility/2006">
      <mc:Choice Requires="x14">
        <control shapeId="10249" r:id="rId12" name="NewPtBtn">
          <controlPr defaultSize="0" disabled="1" autoLine="0" r:id="rId13">
            <anchor moveWithCells="1">
              <from>
                <xdr:col>5</xdr:col>
                <xdr:colOff>342900</xdr:colOff>
                <xdr:row>18</xdr:row>
                <xdr:rowOff>38100</xdr:rowOff>
              </from>
              <to>
                <xdr:col>6</xdr:col>
                <xdr:colOff>647700</xdr:colOff>
                <xdr:row>19</xdr:row>
                <xdr:rowOff>114300</xdr:rowOff>
              </to>
            </anchor>
          </controlPr>
        </control>
      </mc:Choice>
      <mc:Fallback>
        <control shapeId="10249" r:id="rId12" name="NewPtBtn"/>
      </mc:Fallback>
    </mc:AlternateContent>
    <mc:AlternateContent xmlns:mc="http://schemas.openxmlformats.org/markup-compatibility/2006">
      <mc:Choice Requires="x14">
        <control shapeId="10250" r:id="rId14" name="CorrBtn">
          <controlPr defaultSize="0" disabled="1" autoLine="0" r:id="rId15">
            <anchor moveWithCells="1">
              <from>
                <xdr:col>7</xdr:col>
                <xdr:colOff>228600</xdr:colOff>
                <xdr:row>11</xdr:row>
                <xdr:rowOff>171450</xdr:rowOff>
              </from>
              <to>
                <xdr:col>8</xdr:col>
                <xdr:colOff>1114425</xdr:colOff>
                <xdr:row>13</xdr:row>
                <xdr:rowOff>57150</xdr:rowOff>
              </to>
            </anchor>
          </controlPr>
        </control>
      </mc:Choice>
      <mc:Fallback>
        <control shapeId="10250" r:id="rId14" name="CorrBtn"/>
      </mc:Fallback>
    </mc:AlternateContent>
    <mc:AlternateContent xmlns:mc="http://schemas.openxmlformats.org/markup-compatibility/2006">
      <mc:Choice Requires="x14">
        <control shapeId="10251" r:id="rId16" name="CorrRejBtn">
          <controlPr defaultSize="0" disabled="1" autoLine="0" r:id="rId17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8</xdr:col>
                <xdr:colOff>1114425</xdr:colOff>
                <xdr:row>15</xdr:row>
                <xdr:rowOff>57150</xdr:rowOff>
              </to>
            </anchor>
          </controlPr>
        </control>
      </mc:Choice>
      <mc:Fallback>
        <control shapeId="10251" r:id="rId16" name="CorrRejBtn"/>
      </mc:Fallback>
    </mc:AlternateContent>
    <mc:AlternateContent xmlns:mc="http://schemas.openxmlformats.org/markup-compatibility/2006">
      <mc:Choice Requires="x14">
        <control shapeId="10253" r:id="rId18" name="DL_Pointages">
          <controlPr defaultSize="0" autoLine="0" r:id="rId19">
            <anchor moveWithCells="1">
              <from>
                <xdr:col>4</xdr:col>
                <xdr:colOff>381000</xdr:colOff>
                <xdr:row>23</xdr:row>
                <xdr:rowOff>104775</xdr:rowOff>
              </from>
              <to>
                <xdr:col>7</xdr:col>
                <xdr:colOff>352425</xdr:colOff>
                <xdr:row>25</xdr:row>
                <xdr:rowOff>9525</xdr:rowOff>
              </to>
            </anchor>
          </controlPr>
        </control>
      </mc:Choice>
      <mc:Fallback>
        <control shapeId="10253" r:id="rId18" name="DL_Pointages"/>
      </mc:Fallback>
    </mc:AlternateContent>
    <mc:AlternateContent xmlns:mc="http://schemas.openxmlformats.org/markup-compatibility/2006">
      <mc:Choice Requires="x14">
        <control shapeId="10256" r:id="rId20" name="PrecisChk">
          <controlPr defaultSize="0" autoLine="0" r:id="rId21">
            <anchor moveWithCells="1">
              <from>
                <xdr:col>18</xdr:col>
                <xdr:colOff>276225</xdr:colOff>
                <xdr:row>5</xdr:row>
                <xdr:rowOff>161925</xdr:rowOff>
              </from>
              <to>
                <xdr:col>18</xdr:col>
                <xdr:colOff>1743075</xdr:colOff>
                <xdr:row>6</xdr:row>
                <xdr:rowOff>190500</xdr:rowOff>
              </to>
            </anchor>
          </controlPr>
        </control>
      </mc:Choice>
      <mc:Fallback>
        <control shapeId="10256" r:id="rId20" name="PrecisChk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Gestion!$A$2:$A$5</xm:f>
          </x14:formula1>
          <xm:sqref>H2 E2:G2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V55"/>
  <sheetViews>
    <sheetView workbookViewId="0">
      <selection activeCell="M6" sqref="M6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8.140625" customWidth="1"/>
    <col min="4" max="4" width="14" customWidth="1"/>
    <col min="7" max="7" width="14.42578125" customWidth="1"/>
  </cols>
  <sheetData>
    <row r="1" spans="1:17" ht="15.75" thickBot="1" x14ac:dyDescent="0.3">
      <c r="A1" s="245" t="s">
        <v>0</v>
      </c>
      <c r="B1" s="243" t="s">
        <v>1</v>
      </c>
      <c r="C1" s="246" t="s">
        <v>48</v>
      </c>
      <c r="D1" s="247" t="s">
        <v>29</v>
      </c>
      <c r="G1" t="s">
        <v>30</v>
      </c>
      <c r="J1" t="s">
        <v>149</v>
      </c>
    </row>
    <row r="2" spans="1:17" ht="19.5" customHeight="1" thickTop="1" x14ac:dyDescent="0.25">
      <c r="A2" s="230"/>
      <c r="B2" s="241"/>
      <c r="C2" s="248"/>
      <c r="D2" s="232"/>
      <c r="L2" s="400" t="s">
        <v>45</v>
      </c>
      <c r="M2" s="401"/>
      <c r="N2" s="401"/>
      <c r="O2" s="401"/>
      <c r="P2" s="401"/>
      <c r="Q2" s="402"/>
    </row>
    <row r="3" spans="1:17" ht="15.75" thickBot="1" x14ac:dyDescent="0.3">
      <c r="A3" s="231"/>
      <c r="B3" s="242"/>
      <c r="C3" s="249"/>
      <c r="D3" s="233"/>
      <c r="L3" s="403"/>
      <c r="M3" s="404"/>
      <c r="N3" s="404"/>
      <c r="O3" s="404"/>
      <c r="P3" s="404"/>
      <c r="Q3" s="405"/>
    </row>
    <row r="4" spans="1:17" x14ac:dyDescent="0.25">
      <c r="A4" s="231"/>
      <c r="B4" s="242"/>
      <c r="C4" s="249"/>
      <c r="D4" s="233"/>
      <c r="L4" s="5"/>
      <c r="M4" s="30"/>
      <c r="N4" s="30"/>
      <c r="O4" s="30"/>
      <c r="P4" s="30"/>
      <c r="Q4" s="6"/>
    </row>
    <row r="5" spans="1:17" x14ac:dyDescent="0.25">
      <c r="A5" s="231"/>
      <c r="B5" s="242"/>
      <c r="C5" s="249"/>
      <c r="D5" s="233"/>
      <c r="L5" s="5"/>
      <c r="M5" s="30"/>
      <c r="N5" s="30"/>
      <c r="O5" s="30"/>
      <c r="P5" s="30"/>
      <c r="Q5" s="6"/>
    </row>
    <row r="6" spans="1:17" x14ac:dyDescent="0.25">
      <c r="A6" s="229"/>
      <c r="B6" s="243"/>
      <c r="C6" s="243"/>
      <c r="D6" s="240"/>
      <c r="L6" s="5"/>
      <c r="M6" s="30"/>
      <c r="N6" s="30"/>
      <c r="O6" s="30"/>
      <c r="P6" s="30"/>
      <c r="Q6" s="6"/>
    </row>
    <row r="7" spans="1:17" x14ac:dyDescent="0.25">
      <c r="A7" s="231"/>
      <c r="B7" s="242"/>
      <c r="C7" s="249"/>
      <c r="D7" s="233"/>
      <c r="L7" s="5"/>
      <c r="M7" s="30"/>
      <c r="N7" s="30"/>
      <c r="O7" s="30"/>
      <c r="P7" s="30"/>
      <c r="Q7" s="6"/>
    </row>
    <row r="8" spans="1:17" x14ac:dyDescent="0.25">
      <c r="A8" s="231"/>
      <c r="B8" s="242"/>
      <c r="C8" s="249"/>
      <c r="D8" s="233"/>
      <c r="L8" s="5"/>
      <c r="M8" s="30"/>
      <c r="N8" s="30"/>
      <c r="O8" s="30"/>
      <c r="P8" s="30"/>
      <c r="Q8" s="6"/>
    </row>
    <row r="9" spans="1:17" x14ac:dyDescent="0.25">
      <c r="A9" s="231"/>
      <c r="B9" s="242"/>
      <c r="C9" s="249"/>
      <c r="D9" s="233"/>
      <c r="L9" s="5"/>
      <c r="M9" s="30"/>
      <c r="N9" s="30"/>
      <c r="O9" s="30"/>
      <c r="P9" s="30"/>
      <c r="Q9" s="6"/>
    </row>
    <row r="10" spans="1:17" x14ac:dyDescent="0.25">
      <c r="A10" s="231"/>
      <c r="B10" s="242"/>
      <c r="C10" s="249"/>
      <c r="D10" s="233"/>
      <c r="L10" s="5"/>
      <c r="M10" s="30"/>
      <c r="N10" s="30"/>
      <c r="O10" s="30"/>
      <c r="P10" s="30"/>
      <c r="Q10" s="6"/>
    </row>
    <row r="11" spans="1:17" ht="15.75" thickBot="1" x14ac:dyDescent="0.3">
      <c r="A11" s="231"/>
      <c r="B11" s="242"/>
      <c r="C11" s="249"/>
      <c r="D11" s="233"/>
      <c r="L11" s="5"/>
      <c r="M11" s="30"/>
      <c r="N11" s="30"/>
      <c r="O11" s="30"/>
      <c r="P11" s="30"/>
      <c r="Q11" s="6"/>
    </row>
    <row r="12" spans="1:17" x14ac:dyDescent="0.25">
      <c r="A12" s="231"/>
      <c r="B12" s="242"/>
      <c r="C12" s="249"/>
      <c r="D12" s="233"/>
      <c r="L12" s="27"/>
      <c r="M12" s="28"/>
      <c r="N12" s="28"/>
      <c r="O12" s="28"/>
      <c r="P12" s="28"/>
      <c r="Q12" s="29"/>
    </row>
    <row r="13" spans="1:17" x14ac:dyDescent="0.25">
      <c r="A13" s="231"/>
      <c r="B13" s="242"/>
      <c r="C13" s="250"/>
      <c r="D13" s="233"/>
      <c r="L13" s="5"/>
      <c r="M13" s="30"/>
      <c r="N13" s="406" t="s">
        <v>46</v>
      </c>
      <c r="O13" s="406"/>
      <c r="P13" s="30"/>
      <c r="Q13" s="6"/>
    </row>
    <row r="14" spans="1:17" x14ac:dyDescent="0.25">
      <c r="A14" s="231"/>
      <c r="B14" s="242"/>
      <c r="C14" s="250"/>
      <c r="D14" s="233"/>
      <c r="L14" s="31" t="s">
        <v>47</v>
      </c>
      <c r="M14" s="30"/>
      <c r="N14" s="30"/>
      <c r="O14" s="30"/>
      <c r="P14" s="30"/>
      <c r="Q14" s="6"/>
    </row>
    <row r="15" spans="1:17" x14ac:dyDescent="0.25">
      <c r="A15" s="231"/>
      <c r="B15" s="242"/>
      <c r="C15" s="250"/>
      <c r="D15" s="233"/>
      <c r="L15" s="31"/>
      <c r="M15" s="30"/>
      <c r="N15" s="30"/>
      <c r="O15" s="30"/>
      <c r="P15" s="30"/>
      <c r="Q15" s="6"/>
    </row>
    <row r="16" spans="1:17" x14ac:dyDescent="0.25">
      <c r="A16" s="231"/>
      <c r="B16" s="242"/>
      <c r="C16" s="250"/>
      <c r="D16" s="233"/>
      <c r="L16" s="31" t="s">
        <v>115</v>
      </c>
      <c r="M16" s="32"/>
      <c r="N16" s="30"/>
      <c r="O16" s="30"/>
      <c r="P16" s="30"/>
      <c r="Q16" s="6"/>
    </row>
    <row r="17" spans="1:22" x14ac:dyDescent="0.25">
      <c r="A17" s="231"/>
      <c r="B17" s="242"/>
      <c r="C17" s="250"/>
      <c r="D17" s="233"/>
      <c r="L17" s="31"/>
      <c r="M17" s="30"/>
      <c r="N17" s="30"/>
      <c r="O17" s="30"/>
      <c r="P17" s="30"/>
      <c r="Q17" s="6"/>
    </row>
    <row r="18" spans="1:22" x14ac:dyDescent="0.25">
      <c r="A18" s="231"/>
      <c r="B18" s="242"/>
      <c r="C18" s="250"/>
      <c r="D18" s="233"/>
      <c r="L18" s="31" t="s">
        <v>148</v>
      </c>
      <c r="M18" s="30"/>
      <c r="N18" s="30"/>
      <c r="O18" s="30"/>
      <c r="P18" s="30"/>
      <c r="Q18" s="6"/>
    </row>
    <row r="19" spans="1:22" x14ac:dyDescent="0.25">
      <c r="A19" s="231"/>
      <c r="B19" s="242"/>
      <c r="C19" s="250"/>
      <c r="D19" s="233"/>
      <c r="L19" s="31"/>
      <c r="M19" s="30"/>
      <c r="N19" s="30"/>
      <c r="O19" s="30"/>
      <c r="P19" s="30"/>
      <c r="Q19" s="6"/>
    </row>
    <row r="20" spans="1:22" x14ac:dyDescent="0.25">
      <c r="A20" s="231"/>
      <c r="B20" s="242"/>
      <c r="C20" s="250"/>
      <c r="D20" s="233"/>
      <c r="L20" s="31"/>
      <c r="M20" s="30"/>
      <c r="N20" s="30"/>
      <c r="O20" s="30"/>
      <c r="P20" s="30"/>
      <c r="Q20" s="6"/>
    </row>
    <row r="21" spans="1:22" x14ac:dyDescent="0.25">
      <c r="A21" s="231"/>
      <c r="B21" s="242"/>
      <c r="C21" s="250"/>
      <c r="D21" s="233"/>
      <c r="L21" s="5"/>
      <c r="M21" s="30"/>
      <c r="N21" s="30"/>
      <c r="O21" s="30"/>
      <c r="P21" s="30"/>
      <c r="Q21" s="6"/>
    </row>
    <row r="22" spans="1:22" x14ac:dyDescent="0.25">
      <c r="A22" s="231"/>
      <c r="B22" s="242"/>
      <c r="C22" s="250"/>
      <c r="D22" s="233"/>
      <c r="L22" s="5"/>
      <c r="M22" s="30"/>
      <c r="N22" s="30"/>
      <c r="O22" s="30"/>
      <c r="P22" s="30"/>
      <c r="Q22" s="6"/>
    </row>
    <row r="23" spans="1:22" x14ac:dyDescent="0.25">
      <c r="A23" s="231"/>
      <c r="B23" s="242"/>
      <c r="C23" s="250"/>
      <c r="D23" s="233"/>
      <c r="L23" s="5"/>
      <c r="M23" s="30"/>
      <c r="N23" s="30"/>
      <c r="O23" s="30"/>
      <c r="P23" s="30"/>
      <c r="Q23" s="6"/>
    </row>
    <row r="24" spans="1:22" x14ac:dyDescent="0.25">
      <c r="A24" s="231"/>
      <c r="B24" s="242"/>
      <c r="C24" s="250"/>
      <c r="D24" s="233"/>
      <c r="L24" s="5"/>
      <c r="M24" s="30"/>
      <c r="N24" s="30"/>
      <c r="O24" s="30"/>
      <c r="P24" s="30"/>
      <c r="Q24" s="6"/>
      <c r="V24" s="41"/>
    </row>
    <row r="25" spans="1:22" x14ac:dyDescent="0.25">
      <c r="A25" s="231"/>
      <c r="B25" s="242"/>
      <c r="C25" s="250"/>
      <c r="D25" s="233"/>
      <c r="L25" s="5"/>
      <c r="M25" s="30"/>
      <c r="N25" s="30"/>
      <c r="O25" s="30"/>
      <c r="P25" s="30"/>
      <c r="Q25" s="6"/>
    </row>
    <row r="26" spans="1:22" x14ac:dyDescent="0.25">
      <c r="A26" s="231"/>
      <c r="B26" s="242"/>
      <c r="C26" s="250"/>
      <c r="D26" s="233"/>
      <c r="L26" s="5"/>
      <c r="M26" s="30"/>
      <c r="N26" s="30"/>
      <c r="O26" s="30"/>
      <c r="P26" s="30"/>
      <c r="Q26" s="6"/>
    </row>
    <row r="27" spans="1:22" x14ac:dyDescent="0.25">
      <c r="A27" s="231"/>
      <c r="B27" s="242"/>
      <c r="C27" s="250"/>
      <c r="D27" s="233"/>
      <c r="L27" s="5"/>
      <c r="M27" s="30"/>
      <c r="N27" s="30"/>
      <c r="O27" s="30"/>
      <c r="P27" s="30"/>
      <c r="Q27" s="6"/>
    </row>
    <row r="28" spans="1:22" x14ac:dyDescent="0.25">
      <c r="A28" s="231"/>
      <c r="B28" s="242"/>
      <c r="C28" s="250"/>
      <c r="D28" s="233"/>
      <c r="L28" s="5"/>
      <c r="M28" s="30"/>
      <c r="N28" s="30"/>
      <c r="O28" s="30"/>
      <c r="P28" s="30"/>
      <c r="Q28" s="6"/>
    </row>
    <row r="29" spans="1:22" x14ac:dyDescent="0.25">
      <c r="A29" s="231"/>
      <c r="B29" s="242"/>
      <c r="C29" s="250"/>
      <c r="D29" s="233"/>
      <c r="L29" s="5"/>
      <c r="M29" s="30"/>
      <c r="N29" s="30"/>
      <c r="O29" s="30"/>
      <c r="P29" s="30"/>
      <c r="Q29" s="6"/>
    </row>
    <row r="30" spans="1:22" x14ac:dyDescent="0.25">
      <c r="A30" s="234"/>
      <c r="B30" s="244"/>
      <c r="C30" s="251"/>
      <c r="D30" s="235"/>
      <c r="L30" s="5"/>
      <c r="M30" s="30"/>
      <c r="N30" s="30"/>
      <c r="O30" s="30"/>
      <c r="P30" s="30"/>
      <c r="Q30" s="6"/>
    </row>
    <row r="31" spans="1:22" x14ac:dyDescent="0.25">
      <c r="L31" s="5"/>
      <c r="M31" s="30"/>
      <c r="N31" s="30"/>
      <c r="O31" s="30"/>
      <c r="P31" s="30"/>
      <c r="Q31" s="6"/>
    </row>
    <row r="32" spans="1:22" x14ac:dyDescent="0.25">
      <c r="L32" s="5"/>
      <c r="M32" s="30"/>
      <c r="N32" s="30"/>
      <c r="O32" s="30"/>
      <c r="P32" s="30"/>
      <c r="Q32" s="6"/>
    </row>
    <row r="33" spans="1:17" x14ac:dyDescent="0.25">
      <c r="L33" s="5"/>
      <c r="M33" s="30"/>
      <c r="N33" s="30"/>
      <c r="O33" s="30"/>
      <c r="P33" s="30"/>
      <c r="Q33" s="6"/>
    </row>
    <row r="34" spans="1:17" x14ac:dyDescent="0.25">
      <c r="L34" s="5"/>
      <c r="M34" s="30"/>
      <c r="N34" s="30"/>
      <c r="O34" s="30"/>
      <c r="P34" s="30"/>
      <c r="Q34" s="6"/>
    </row>
    <row r="35" spans="1:17" x14ac:dyDescent="0.25">
      <c r="L35" s="5"/>
      <c r="M35" s="30"/>
      <c r="N35" s="30"/>
      <c r="O35" s="30"/>
      <c r="P35" s="30"/>
      <c r="Q35" s="6"/>
    </row>
    <row r="36" spans="1:17" ht="15.75" thickBot="1" x14ac:dyDescent="0.3">
      <c r="L36" s="16"/>
      <c r="M36" s="7"/>
      <c r="N36" s="7"/>
      <c r="O36" s="7"/>
      <c r="P36" s="7"/>
      <c r="Q36" s="8"/>
    </row>
    <row r="37" spans="1:17" x14ac:dyDescent="0.25">
      <c r="A37" t="s">
        <v>44</v>
      </c>
    </row>
    <row r="39" spans="1:17" ht="15.75" x14ac:dyDescent="0.25">
      <c r="B39" t="s">
        <v>28</v>
      </c>
      <c r="C39" s="332"/>
      <c r="D39" s="332"/>
      <c r="E39" s="3" t="s">
        <v>27</v>
      </c>
    </row>
    <row r="41" spans="1:17" s="24" customFormat="1" ht="15.75" x14ac:dyDescent="0.25">
      <c r="B41" s="24" t="s">
        <v>36</v>
      </c>
      <c r="C41" s="466"/>
      <c r="E41" s="25" t="s">
        <v>37</v>
      </c>
    </row>
    <row r="42" spans="1:17" s="24" customFormat="1" ht="15.75" x14ac:dyDescent="0.25">
      <c r="B42" s="24" t="s">
        <v>38</v>
      </c>
      <c r="C42" s="467"/>
      <c r="D42" s="26"/>
      <c r="E42" s="25" t="s">
        <v>39</v>
      </c>
    </row>
    <row r="43" spans="1:17" s="24" customFormat="1" x14ac:dyDescent="0.25"/>
    <row r="44" spans="1:17" ht="15" customHeight="1" x14ac:dyDescent="0.25">
      <c r="B44" s="2" t="s">
        <v>5</v>
      </c>
      <c r="C44" s="466"/>
      <c r="E44" s="4" t="s">
        <v>9</v>
      </c>
    </row>
    <row r="45" spans="1:17" x14ac:dyDescent="0.25">
      <c r="B45" s="2" t="s">
        <v>6</v>
      </c>
      <c r="C45" s="467"/>
      <c r="E45" s="4" t="s">
        <v>10</v>
      </c>
    </row>
    <row r="46" spans="1:17" x14ac:dyDescent="0.25">
      <c r="B46" s="2" t="s">
        <v>7</v>
      </c>
      <c r="C46" s="467"/>
    </row>
    <row r="47" spans="1:17" x14ac:dyDescent="0.25">
      <c r="B47" s="2" t="s">
        <v>8</v>
      </c>
      <c r="C47" s="467"/>
    </row>
    <row r="49" spans="2:4" x14ac:dyDescent="0.25">
      <c r="B49" s="2" t="s">
        <v>41</v>
      </c>
      <c r="C49" t="s">
        <v>42</v>
      </c>
      <c r="D49" s="24"/>
    </row>
    <row r="50" spans="2:4" x14ac:dyDescent="0.25">
      <c r="C50" t="s">
        <v>43</v>
      </c>
      <c r="D50" s="24"/>
    </row>
    <row r="55" spans="2:4" x14ac:dyDescent="0.25">
      <c r="C55" s="24"/>
      <c r="D55" s="24"/>
    </row>
  </sheetData>
  <mergeCells count="3">
    <mergeCell ref="C39:D39"/>
    <mergeCell ref="L2:Q3"/>
    <mergeCell ref="N13:O1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Get_list">
          <controlPr defaultSize="0" autoLine="0" r:id="rId5">
            <anchor moveWithCells="1">
              <from>
                <xdr:col>12</xdr:col>
                <xdr:colOff>228600</xdr:colOff>
                <xdr:row>6</xdr:row>
                <xdr:rowOff>9525</xdr:rowOff>
              </from>
              <to>
                <xdr:col>15</xdr:col>
                <xdr:colOff>295275</xdr:colOff>
                <xdr:row>7</xdr:row>
                <xdr:rowOff>171450</xdr:rowOff>
              </to>
            </anchor>
          </controlPr>
        </control>
      </mc:Choice>
      <mc:Fallback>
        <control shapeId="3079" r:id="rId4" name="Get_list"/>
      </mc:Fallback>
    </mc:AlternateContent>
    <mc:AlternateContent xmlns:mc="http://schemas.openxmlformats.org/markup-compatibility/2006">
      <mc:Choice Requires="x14">
        <control shapeId="3078" r:id="rId6" name="ImportBtn">
          <controlPr defaultSize="0" autoLine="0" r:id="rId7">
            <anchor moveWithCells="1">
              <from>
                <xdr:col>11</xdr:col>
                <xdr:colOff>685800</xdr:colOff>
                <xdr:row>3</xdr:row>
                <xdr:rowOff>123825</xdr:rowOff>
              </from>
              <to>
                <xdr:col>15</xdr:col>
                <xdr:colOff>571500</xdr:colOff>
                <xdr:row>5</xdr:row>
                <xdr:rowOff>85725</xdr:rowOff>
              </to>
            </anchor>
          </controlPr>
        </control>
      </mc:Choice>
      <mc:Fallback>
        <control shapeId="3078" r:id="rId6" name="ImportBtn"/>
      </mc:Fallback>
    </mc:AlternateContent>
    <mc:AlternateContent xmlns:mc="http://schemas.openxmlformats.org/markup-compatibility/2006">
      <mc:Choice Requires="x14">
        <control shapeId="3076" r:id="rId8" name="UpdtCfg">
          <controlPr defaultSize="0" autoLine="0" r:id="rId9">
            <anchor moveWithCells="1">
              <from>
                <xdr:col>1</xdr:col>
                <xdr:colOff>0</xdr:colOff>
                <xdr:row>52</xdr:row>
                <xdr:rowOff>47625</xdr:rowOff>
              </from>
              <to>
                <xdr:col>3</xdr:col>
                <xdr:colOff>123825</xdr:colOff>
                <xdr:row>53</xdr:row>
                <xdr:rowOff>171450</xdr:rowOff>
              </to>
            </anchor>
          </controlPr>
        </control>
      </mc:Choice>
      <mc:Fallback>
        <control shapeId="3076" r:id="rId8" name="UpdtCfg"/>
      </mc:Fallback>
    </mc:AlternateContent>
    <mc:AlternateContent xmlns:mc="http://schemas.openxmlformats.org/markup-compatibility/2006">
      <mc:Choice Requires="x14">
        <control shapeId="3075" r:id="rId10" name="ReadCfg">
          <controlPr defaultSize="0" autoLine="0" r:id="rId11">
            <anchor moveWithCells="1">
              <from>
                <xdr:col>12</xdr:col>
                <xdr:colOff>276225</xdr:colOff>
                <xdr:row>8</xdr:row>
                <xdr:rowOff>76200</xdr:rowOff>
              </from>
              <to>
                <xdr:col>15</xdr:col>
                <xdr:colOff>247650</xdr:colOff>
                <xdr:row>10</xdr:row>
                <xdr:rowOff>0</xdr:rowOff>
              </to>
            </anchor>
          </controlPr>
        </control>
      </mc:Choice>
      <mc:Fallback>
        <control shapeId="3075" r:id="rId10" name="ReadCfg"/>
      </mc:Fallback>
    </mc:AlternateContent>
    <mc:AlternateContent xmlns:mc="http://schemas.openxmlformats.org/markup-compatibility/2006">
      <mc:Choice Requires="x14">
        <control shapeId="3074" r:id="rId12" name="Upt_list">
          <controlPr defaultSize="0" autoLine="0" r:id="rId13">
            <anchor moveWithCells="1">
              <from>
                <xdr:col>5</xdr:col>
                <xdr:colOff>495300</xdr:colOff>
                <xdr:row>30</xdr:row>
                <xdr:rowOff>0</xdr:rowOff>
              </from>
              <to>
                <xdr:col>8</xdr:col>
                <xdr:colOff>361950</xdr:colOff>
                <xdr:row>31</xdr:row>
                <xdr:rowOff>161925</xdr:rowOff>
              </to>
            </anchor>
          </controlPr>
        </control>
      </mc:Choice>
      <mc:Fallback>
        <control shapeId="3074" r:id="rId12" name="Upt_list"/>
      </mc:Fallback>
    </mc:AlternateContent>
    <mc:AlternateContent xmlns:mc="http://schemas.openxmlformats.org/markup-compatibility/2006">
      <mc:Choice Requires="x14">
        <control shapeId="3080" r:id="rId14" name="ExportBtn">
          <controlPr defaultSize="0" autoLine="0" r:id="rId15">
            <anchor moveWithCells="1">
              <from>
                <xdr:col>5</xdr:col>
                <xdr:colOff>409575</xdr:colOff>
                <xdr:row>23</xdr:row>
                <xdr:rowOff>171450</xdr:rowOff>
              </from>
              <to>
                <xdr:col>8</xdr:col>
                <xdr:colOff>419100</xdr:colOff>
                <xdr:row>25</xdr:row>
                <xdr:rowOff>152400</xdr:rowOff>
              </to>
            </anchor>
          </controlPr>
        </control>
      </mc:Choice>
      <mc:Fallback>
        <control shapeId="3080" r:id="rId14" name="ExportBtn"/>
      </mc:Fallback>
    </mc:AlternateContent>
  </controls>
  <tableParts count="1">
    <tablePart r:id="rId1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BM45"/>
  <sheetViews>
    <sheetView showZeros="0" topLeftCell="AE1" workbookViewId="0">
      <selection activeCell="BL6" sqref="BL6"/>
    </sheetView>
  </sheetViews>
  <sheetFormatPr baseColWidth="10" defaultRowHeight="15" x14ac:dyDescent="0.25"/>
  <cols>
    <col min="1" max="64" width="6.7109375" style="24" customWidth="1"/>
    <col min="65" max="16384" width="11.42578125" style="24"/>
  </cols>
  <sheetData>
    <row r="1" spans="1:65" ht="15.75" thickBot="1" x14ac:dyDescent="0.3">
      <c r="A1" s="44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>
        <v>0</v>
      </c>
      <c r="V1" s="45">
        <v>0</v>
      </c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  <c r="AX1" s="44"/>
      <c r="AY1" s="44"/>
      <c r="AZ1" s="44"/>
      <c r="BA1" s="44"/>
      <c r="BB1" s="44"/>
      <c r="BC1" s="44"/>
      <c r="BD1" s="44"/>
      <c r="BE1" s="44"/>
      <c r="BF1" s="44"/>
      <c r="BG1" s="44"/>
      <c r="BH1" s="44"/>
      <c r="BI1" s="44"/>
      <c r="BJ1" s="44"/>
      <c r="BK1" s="44"/>
      <c r="BL1" s="44"/>
    </row>
    <row r="2" spans="1:65" ht="15.75" thickBot="1" x14ac:dyDescent="0.3">
      <c r="A2" s="417"/>
      <c r="B2" s="418"/>
      <c r="C2" s="418"/>
      <c r="D2" s="418"/>
      <c r="E2" s="418"/>
      <c r="F2" s="418"/>
      <c r="G2" s="418"/>
      <c r="H2" s="419" t="s">
        <v>53</v>
      </c>
      <c r="I2" s="419"/>
      <c r="J2" s="419"/>
      <c r="K2" s="419"/>
      <c r="L2" s="419"/>
      <c r="M2" s="419"/>
      <c r="N2" s="419"/>
      <c r="O2" s="419"/>
      <c r="P2" s="419"/>
      <c r="Q2" s="419"/>
      <c r="R2" s="419"/>
      <c r="S2" s="419"/>
      <c r="T2" s="420"/>
      <c r="U2" s="421">
        <v>0</v>
      </c>
      <c r="V2" s="422"/>
      <c r="W2" s="422"/>
      <c r="X2" s="422"/>
      <c r="Y2" s="422"/>
      <c r="Z2" s="422"/>
      <c r="AA2" s="422"/>
      <c r="AB2" s="422"/>
      <c r="AC2" s="422"/>
      <c r="AD2" s="422"/>
      <c r="AE2" s="422"/>
      <c r="AF2" s="422"/>
      <c r="AG2" s="422"/>
      <c r="AH2" s="422"/>
      <c r="AI2" s="422"/>
      <c r="AJ2" s="422"/>
      <c r="AK2" s="422"/>
      <c r="AL2" s="422"/>
      <c r="AM2" s="422"/>
      <c r="AN2" s="422"/>
      <c r="AO2" s="411" t="s">
        <v>54</v>
      </c>
      <c r="AP2" s="412"/>
      <c r="AQ2" s="412"/>
      <c r="AR2" s="412"/>
      <c r="AS2" s="412"/>
      <c r="AT2" s="412"/>
      <c r="AU2" s="412"/>
      <c r="AV2" s="412"/>
      <c r="AW2" s="412"/>
      <c r="AX2" s="412"/>
      <c r="AY2" s="412"/>
      <c r="AZ2" s="412"/>
      <c r="BA2" s="413"/>
      <c r="BB2" s="414"/>
      <c r="BC2" s="415"/>
      <c r="BD2" s="415"/>
      <c r="BE2" s="415"/>
      <c r="BF2" s="415"/>
      <c r="BG2" s="415"/>
      <c r="BH2" s="415"/>
      <c r="BI2" s="415"/>
      <c r="BJ2" s="415"/>
      <c r="BK2" s="415"/>
      <c r="BL2" s="416"/>
    </row>
    <row r="3" spans="1:65" ht="15.75" thickBot="1" x14ac:dyDescent="0.3">
      <c r="A3" s="390">
        <v>1</v>
      </c>
      <c r="B3" s="390"/>
      <c r="C3" s="390">
        <v>2</v>
      </c>
      <c r="D3" s="390"/>
      <c r="E3" s="390">
        <v>3</v>
      </c>
      <c r="F3" s="390"/>
      <c r="G3" s="390">
        <v>4</v>
      </c>
      <c r="H3" s="390"/>
      <c r="I3" s="376">
        <v>5</v>
      </c>
      <c r="J3" s="377"/>
      <c r="K3" s="376">
        <v>6</v>
      </c>
      <c r="L3" s="377"/>
      <c r="M3" s="376">
        <v>7</v>
      </c>
      <c r="N3" s="377"/>
      <c r="O3" s="376">
        <v>8</v>
      </c>
      <c r="P3" s="377"/>
      <c r="Q3" s="376">
        <v>9</v>
      </c>
      <c r="R3" s="377"/>
      <c r="S3" s="376">
        <v>10</v>
      </c>
      <c r="T3" s="375"/>
      <c r="U3" s="374">
        <v>1</v>
      </c>
      <c r="V3" s="377"/>
      <c r="W3" s="376">
        <v>2</v>
      </c>
      <c r="X3" s="377"/>
      <c r="Y3" s="376">
        <v>3</v>
      </c>
      <c r="Z3" s="377"/>
      <c r="AA3" s="376">
        <v>4</v>
      </c>
      <c r="AB3" s="377"/>
      <c r="AC3" s="376">
        <v>5</v>
      </c>
      <c r="AD3" s="377"/>
      <c r="AE3" s="376">
        <v>6</v>
      </c>
      <c r="AF3" s="377"/>
      <c r="AG3" s="376">
        <v>7</v>
      </c>
      <c r="AH3" s="377"/>
      <c r="AI3" s="376">
        <v>8</v>
      </c>
      <c r="AJ3" s="377"/>
      <c r="AK3" s="376">
        <v>9</v>
      </c>
      <c r="AL3" s="377"/>
      <c r="AM3" s="376">
        <v>10</v>
      </c>
      <c r="AN3" s="375"/>
      <c r="AO3" s="408" t="s">
        <v>55</v>
      </c>
      <c r="AP3" s="409"/>
      <c r="AQ3" s="409"/>
      <c r="AR3" s="410"/>
      <c r="AS3" s="408" t="s">
        <v>56</v>
      </c>
      <c r="AT3" s="409"/>
      <c r="AU3" s="409"/>
      <c r="AV3" s="409"/>
      <c r="AW3" s="409"/>
      <c r="AX3" s="409"/>
      <c r="AY3" s="374" t="s">
        <v>57</v>
      </c>
      <c r="AZ3" s="407"/>
      <c r="BA3" s="375"/>
      <c r="BB3" s="423" t="s">
        <v>102</v>
      </c>
      <c r="BC3" s="424"/>
      <c r="BD3" s="424"/>
      <c r="BE3" s="424"/>
      <c r="BF3" s="424"/>
      <c r="BG3" s="424"/>
      <c r="BH3" s="424"/>
      <c r="BI3" s="424"/>
      <c r="BJ3" s="424"/>
      <c r="BK3" s="424"/>
      <c r="BL3" s="425"/>
    </row>
    <row r="4" spans="1:65" ht="12.75" customHeight="1" x14ac:dyDescent="0.25">
      <c r="A4" s="46" t="s">
        <v>58</v>
      </c>
      <c r="B4" s="46" t="s">
        <v>59</v>
      </c>
      <c r="C4" s="46" t="s">
        <v>58</v>
      </c>
      <c r="D4" s="46" t="s">
        <v>59</v>
      </c>
      <c r="E4" s="46" t="s">
        <v>58</v>
      </c>
      <c r="F4" s="46" t="s">
        <v>59</v>
      </c>
      <c r="G4" s="46" t="s">
        <v>58</v>
      </c>
      <c r="H4" s="46" t="s">
        <v>59</v>
      </c>
      <c r="I4" s="46" t="s">
        <v>58</v>
      </c>
      <c r="J4" s="46" t="s">
        <v>59</v>
      </c>
      <c r="K4" s="46" t="s">
        <v>58</v>
      </c>
      <c r="L4" s="46" t="s">
        <v>59</v>
      </c>
      <c r="M4" s="46" t="s">
        <v>58</v>
      </c>
      <c r="N4" s="46" t="s">
        <v>59</v>
      </c>
      <c r="O4" s="46" t="s">
        <v>58</v>
      </c>
      <c r="P4" s="46" t="s">
        <v>59</v>
      </c>
      <c r="Q4" s="46" t="s">
        <v>58</v>
      </c>
      <c r="R4" s="46" t="s">
        <v>59</v>
      </c>
      <c r="S4" s="46" t="s">
        <v>58</v>
      </c>
      <c r="T4" s="47" t="s">
        <v>59</v>
      </c>
      <c r="U4" s="46" t="s">
        <v>58</v>
      </c>
      <c r="V4" s="46" t="s">
        <v>59</v>
      </c>
      <c r="W4" s="46" t="s">
        <v>58</v>
      </c>
      <c r="X4" s="46" t="s">
        <v>59</v>
      </c>
      <c r="Y4" s="46" t="s">
        <v>58</v>
      </c>
      <c r="Z4" s="46" t="s">
        <v>59</v>
      </c>
      <c r="AA4" s="46" t="s">
        <v>58</v>
      </c>
      <c r="AB4" s="46" t="s">
        <v>59</v>
      </c>
      <c r="AC4" s="46" t="s">
        <v>58</v>
      </c>
      <c r="AD4" s="46" t="s">
        <v>59</v>
      </c>
      <c r="AE4" s="46" t="s">
        <v>58</v>
      </c>
      <c r="AF4" s="46" t="s">
        <v>59</v>
      </c>
      <c r="AG4" s="46" t="s">
        <v>58</v>
      </c>
      <c r="AH4" s="46" t="s">
        <v>59</v>
      </c>
      <c r="AI4" s="46" t="s">
        <v>58</v>
      </c>
      <c r="AJ4" s="46" t="s">
        <v>59</v>
      </c>
      <c r="AK4" s="46" t="s">
        <v>58</v>
      </c>
      <c r="AL4" s="46" t="s">
        <v>59</v>
      </c>
      <c r="AM4" s="46" t="s">
        <v>58</v>
      </c>
      <c r="AN4" s="47" t="s">
        <v>59</v>
      </c>
      <c r="AO4" s="48" t="s">
        <v>60</v>
      </c>
      <c r="AP4" s="49" t="s">
        <v>61</v>
      </c>
      <c r="AQ4" s="49" t="s">
        <v>62</v>
      </c>
      <c r="AR4" s="50" t="s">
        <v>63</v>
      </c>
      <c r="AS4" s="51" t="s">
        <v>58</v>
      </c>
      <c r="AT4" s="52" t="s">
        <v>4</v>
      </c>
      <c r="AU4" s="52" t="s">
        <v>64</v>
      </c>
      <c r="AV4" s="52" t="s">
        <v>4</v>
      </c>
      <c r="AW4" s="52" t="s">
        <v>65</v>
      </c>
      <c r="AX4" s="52" t="s">
        <v>59</v>
      </c>
      <c r="AY4" s="51" t="s">
        <v>66</v>
      </c>
      <c r="AZ4" s="52" t="s">
        <v>67</v>
      </c>
      <c r="BA4" s="53" t="s">
        <v>68</v>
      </c>
      <c r="BB4" s="42">
        <v>1</v>
      </c>
      <c r="BC4" s="42">
        <v>2</v>
      </c>
      <c r="BD4" s="42">
        <v>3</v>
      </c>
      <c r="BE4" s="42">
        <v>4</v>
      </c>
      <c r="BF4" s="42">
        <v>5</v>
      </c>
      <c r="BG4" s="42">
        <v>6</v>
      </c>
      <c r="BH4" s="42">
        <v>7</v>
      </c>
      <c r="BI4" s="42">
        <v>8</v>
      </c>
      <c r="BJ4" s="42">
        <v>9</v>
      </c>
      <c r="BK4" s="42">
        <v>10</v>
      </c>
      <c r="BL4" s="54" t="s">
        <v>69</v>
      </c>
      <c r="BM4" s="55" t="s">
        <v>70</v>
      </c>
    </row>
    <row r="5" spans="1:65" x14ac:dyDescent="0.25">
      <c r="A5" s="56">
        <v>0.43402777777777773</v>
      </c>
      <c r="B5" s="57">
        <v>0.45833333333333331</v>
      </c>
      <c r="C5" s="56">
        <v>0.5</v>
      </c>
      <c r="D5" s="57">
        <v>0.74722222222222223</v>
      </c>
      <c r="E5" s="56">
        <v>0.75416666666666676</v>
      </c>
      <c r="F5" s="57">
        <v>0.87986111111111109</v>
      </c>
      <c r="G5" s="56">
        <v>0</v>
      </c>
      <c r="H5" s="57">
        <v>0</v>
      </c>
      <c r="I5" s="56">
        <v>0</v>
      </c>
      <c r="J5" s="57">
        <v>0</v>
      </c>
      <c r="K5" s="56">
        <v>0</v>
      </c>
      <c r="L5" s="57">
        <v>0</v>
      </c>
      <c r="M5" s="56">
        <v>0</v>
      </c>
      <c r="N5" s="57">
        <v>0</v>
      </c>
      <c r="O5" s="56">
        <v>0</v>
      </c>
      <c r="P5" s="57">
        <v>0</v>
      </c>
      <c r="Q5" s="56">
        <v>0</v>
      </c>
      <c r="R5" s="57">
        <v>0</v>
      </c>
      <c r="S5" s="56">
        <v>0</v>
      </c>
      <c r="T5" s="57">
        <v>0</v>
      </c>
      <c r="U5" s="58">
        <v>0.43402777777777773</v>
      </c>
      <c r="V5" s="57">
        <v>0.45833333333333331</v>
      </c>
      <c r="W5" s="56">
        <v>0.5</v>
      </c>
      <c r="X5" s="57">
        <v>0.74722222222222223</v>
      </c>
      <c r="Y5" s="56">
        <v>0.75416666666666676</v>
      </c>
      <c r="Z5" s="57">
        <v>0.87986111111111109</v>
      </c>
      <c r="AA5" s="56"/>
      <c r="AB5" s="57"/>
      <c r="AC5" s="56"/>
      <c r="AD5" s="57"/>
      <c r="AE5" s="56"/>
      <c r="AF5" s="57"/>
      <c r="AG5" s="56"/>
      <c r="AH5" s="57"/>
      <c r="AI5" s="56"/>
      <c r="AJ5" s="57"/>
      <c r="AK5" s="56"/>
      <c r="AL5" s="57"/>
      <c r="AM5" s="59"/>
      <c r="AN5" s="60"/>
      <c r="AO5" s="61">
        <f t="shared" ref="AO5:AO42" si="0">IF(AND(V5*24&gt;=11,V5*24&lt;=13.5),IF((W5-V5)*24&gt;=1,1,IF(AND(V5*24&gt;=18.5,V5*24&lt;=22),6,0)),0)</f>
        <v>1</v>
      </c>
      <c r="AP5" s="62">
        <f t="shared" ref="AP5:AP42" si="1">IF(AND(X5*24&gt;=11,X5*24&lt;=13.5),IF((Y5-X5)*24&gt;=1,1,IF(AND(X5*24&gt;=18.5,X5*24&lt;=22),6,0)),0)</f>
        <v>0</v>
      </c>
      <c r="AQ5" s="62">
        <f t="shared" ref="AQ5:AQ42" si="2">IF(AND(Z5*24&gt;=11,Z5*24&lt;=13.5),IF((AA5-Z5)*24&gt;=1,1,IF(AND(Z5*24&gt;=18.5,Z5*24&lt;=22),6,0)),IF(BM5&lt;&gt;"",IF(BM6&lt;&gt;"",IF(AND(AV5*24=24,AS6*24=0,BM5+1=BM6),26,0),0),0))</f>
        <v>0</v>
      </c>
      <c r="AR5" s="63">
        <f t="shared" ref="AR5:AR42" si="3">IF(AND(AB5*24&gt;=11,AB5*24&lt;=13.5),IF((AM5-AB5)*24&gt;=1,1,IF(AND(AB5*24&gt;=18.5,AB5*24&lt;=22),6,0)),IF(BM5&lt;&gt;"",IF(BM6&lt;&gt;"",IF(AND(AX5*24=24,AS6*24=0,BM5+1=BM6),26,0),0),0))</f>
        <v>0</v>
      </c>
      <c r="AS5" s="64">
        <f t="shared" ref="AS5:AS42" si="4">IF(U5*24&gt;11,0,U5)</f>
        <v>0.43402777777777773</v>
      </c>
      <c r="AT5" s="65">
        <f t="shared" ref="AT5:AT42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0.45833333333333331</v>
      </c>
      <c r="AU5" s="65">
        <f t="shared" ref="AU5:AU42" si="6">IF(U5&gt;0,IF(AS5&gt;0,IF(AND(AN5&gt;0,AN5=AT5),0,IF(AND(AB5&gt;0,AB5=AT5),AM5,IF(AND(Z5&gt;0,Z5=AT5),AA5,IF(AND(X5&gt;0,X5=AT5),Y5,W5)))),U5),0)</f>
        <v>0.5</v>
      </c>
      <c r="AV5" s="65">
        <f t="shared" ref="AV5:AV42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0.87986111111111109</v>
      </c>
      <c r="AW5" s="65">
        <f t="shared" ref="AW5:AW42" si="8">IF(U5&gt;0,IF(OR(AS5&gt;0,AU5&gt;0),IF(AND(AN5&gt;0,OR(AN5=AT5,AN5=AV5)),0,IF(AND(AB5&gt;0,OR(AB5=AT5,AB5=AV5)),AM5,IF(AND(Z5&gt;0,OR(Z5=AT5,Z5=AV5)),AA5,IF(AND(X5&gt;0,OR(X5=AT5,X5=AV5)),Y5,W5)))),U5),0)</f>
        <v>0</v>
      </c>
      <c r="AX5" s="65">
        <f t="shared" ref="AX5:AX42" si="9">IF(AW5&gt;0,IF(AND(AN5&gt;0, AN5*24&gt;18.5),AN5,IF(AND(AB5&gt;0,AB5*24&gt;18.5),AB5,IF(AND(Z5&gt;0,Z5*24&gt;18.5),Z5,IF(AND(X5&gt;0,X5*24&gt;18.5),X5,V5)))),0)</f>
        <v>0</v>
      </c>
      <c r="AY5" s="61">
        <f t="shared" ref="AY5:AY42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66">
        <f t="shared" ref="AZ5:AZ42" si="11">IF(AT5&gt;0,IF(AND(AU5&gt;0,ROUND((AU5*24)-(AT5*24),3)&gt;=1,AT5*24&gt;13.5,AT5*24&lt;=14),1,0),0)+IF(AV5&gt;0,IF(AND(AW5&gt;0,ROUND((AW5*24)-(AV5*24),3)&gt;=1,AV5*24&gt;21.5,AV5*24&lt;=22),1,0),0)</f>
        <v>0</v>
      </c>
      <c r="BA5" s="63">
        <f t="shared" ref="BA5:BA42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0</v>
      </c>
      <c r="BB5" s="67">
        <f>V5 - U5</f>
        <v>2.430555555555558E-2</v>
      </c>
      <c r="BC5" s="68">
        <f>X5 - W5</f>
        <v>0.24722222222222223</v>
      </c>
      <c r="BD5" s="68">
        <f>Z5 - Y5</f>
        <v>0.12569444444444433</v>
      </c>
      <c r="BE5" s="68">
        <f>AB5 - AA5</f>
        <v>0</v>
      </c>
      <c r="BF5" s="68">
        <f>AD5 - AC5</f>
        <v>0</v>
      </c>
      <c r="BG5" s="68">
        <f>AF5 - AE5</f>
        <v>0</v>
      </c>
      <c r="BH5" s="68">
        <f>AH5 - AG5</f>
        <v>0</v>
      </c>
      <c r="BI5" s="68">
        <f>AJ5 - AI5</f>
        <v>0</v>
      </c>
      <c r="BJ5" s="68">
        <f>AL5 - AK5</f>
        <v>0</v>
      </c>
      <c r="BK5" s="69">
        <f>AN5 - AM5</f>
        <v>0</v>
      </c>
      <c r="BL5" s="70">
        <f>ROUNDUP(SUM(BB5:BK5) * 288, 0) / 288</f>
        <v>0.39930555555555558</v>
      </c>
      <c r="BM5" s="71">
        <v>45901</v>
      </c>
    </row>
    <row r="6" spans="1:65" x14ac:dyDescent="0.25">
      <c r="A6" s="72">
        <v>0.33680555555555558</v>
      </c>
      <c r="B6" s="73">
        <v>0.45833333333333331</v>
      </c>
      <c r="C6" s="72">
        <v>0.5</v>
      </c>
      <c r="D6" s="73">
        <v>0.72361111111111109</v>
      </c>
      <c r="E6" s="72">
        <v>0</v>
      </c>
      <c r="F6" s="73">
        <v>0</v>
      </c>
      <c r="G6" s="72">
        <v>0</v>
      </c>
      <c r="H6" s="73">
        <v>0</v>
      </c>
      <c r="I6" s="72">
        <v>0</v>
      </c>
      <c r="J6" s="73">
        <v>0</v>
      </c>
      <c r="K6" s="72">
        <v>0</v>
      </c>
      <c r="L6" s="73">
        <v>0</v>
      </c>
      <c r="M6" s="72">
        <v>0</v>
      </c>
      <c r="N6" s="73">
        <v>0</v>
      </c>
      <c r="O6" s="72">
        <v>0</v>
      </c>
      <c r="P6" s="73">
        <v>0</v>
      </c>
      <c r="Q6" s="72">
        <v>0</v>
      </c>
      <c r="R6" s="73">
        <v>0</v>
      </c>
      <c r="S6" s="72">
        <v>0</v>
      </c>
      <c r="T6" s="73">
        <v>0</v>
      </c>
      <c r="U6" s="74">
        <v>0.33680555555555558</v>
      </c>
      <c r="V6" s="73">
        <v>0.45833333333333331</v>
      </c>
      <c r="W6" s="72">
        <v>0.5</v>
      </c>
      <c r="X6" s="73">
        <v>0.72361111111111109</v>
      </c>
      <c r="Y6" s="72"/>
      <c r="Z6" s="73"/>
      <c r="AA6" s="72"/>
      <c r="AB6" s="73"/>
      <c r="AC6" s="75"/>
      <c r="AD6" s="73"/>
      <c r="AE6" s="75"/>
      <c r="AF6" s="73"/>
      <c r="AG6" s="75"/>
      <c r="AH6" s="73"/>
      <c r="AI6" s="75"/>
      <c r="AJ6" s="73"/>
      <c r="AK6" s="75"/>
      <c r="AL6" s="73"/>
      <c r="AM6" s="72"/>
      <c r="AN6" s="76"/>
      <c r="AO6" s="77">
        <f t="shared" si="0"/>
        <v>1</v>
      </c>
      <c r="AP6" s="78">
        <f t="shared" si="1"/>
        <v>0</v>
      </c>
      <c r="AQ6" s="78">
        <f t="shared" si="2"/>
        <v>0</v>
      </c>
      <c r="AR6" s="79">
        <f t="shared" si="3"/>
        <v>0</v>
      </c>
      <c r="AS6" s="80">
        <f t="shared" si="4"/>
        <v>0.33680555555555558</v>
      </c>
      <c r="AT6" s="81">
        <f t="shared" si="5"/>
        <v>0.45833333333333331</v>
      </c>
      <c r="AU6" s="81">
        <f t="shared" si="6"/>
        <v>0.5</v>
      </c>
      <c r="AV6" s="81">
        <f t="shared" si="7"/>
        <v>0.72361111111111109</v>
      </c>
      <c r="AW6" s="81">
        <f t="shared" si="8"/>
        <v>0</v>
      </c>
      <c r="AX6" s="81">
        <f t="shared" si="9"/>
        <v>0</v>
      </c>
      <c r="AY6" s="77">
        <f t="shared" si="10"/>
        <v>0</v>
      </c>
      <c r="AZ6" s="82">
        <f t="shared" si="11"/>
        <v>0</v>
      </c>
      <c r="BA6" s="79">
        <f t="shared" si="12"/>
        <v>0</v>
      </c>
      <c r="BB6" s="80">
        <f>V6 - U6</f>
        <v>0.12152777777777773</v>
      </c>
      <c r="BC6" s="83">
        <f>X6 - W6</f>
        <v>0.22361111111111109</v>
      </c>
      <c r="BD6" s="83">
        <f>Z6 - Y6</f>
        <v>0</v>
      </c>
      <c r="BE6" s="83">
        <f>AB6 - AA6</f>
        <v>0</v>
      </c>
      <c r="BF6" s="83">
        <f>AD6 - AC6</f>
        <v>0</v>
      </c>
      <c r="BG6" s="83">
        <f>AF6 - AE6</f>
        <v>0</v>
      </c>
      <c r="BH6" s="83">
        <f>AH6 - AG6</f>
        <v>0</v>
      </c>
      <c r="BI6" s="83">
        <f>AJ6 - AI6</f>
        <v>0</v>
      </c>
      <c r="BJ6" s="83">
        <f>AL6 - AK6</f>
        <v>0</v>
      </c>
      <c r="BK6" s="83">
        <f>AN6 - AM6</f>
        <v>0</v>
      </c>
      <c r="BL6" s="84">
        <f>ROUNDUP(SUM(BB6:BK6) * 288, 0) / 288</f>
        <v>0.34722222222222221</v>
      </c>
      <c r="BM6" s="71">
        <v>45902</v>
      </c>
    </row>
    <row r="7" spans="1:65" x14ac:dyDescent="0.25">
      <c r="A7" s="72">
        <v>0.35069444444444442</v>
      </c>
      <c r="B7" s="73">
        <v>0.5625</v>
      </c>
      <c r="C7" s="72">
        <v>0.60416666666666663</v>
      </c>
      <c r="D7" s="73">
        <v>0.69236111111111109</v>
      </c>
      <c r="E7" s="72">
        <v>0</v>
      </c>
      <c r="F7" s="73">
        <v>0</v>
      </c>
      <c r="G7" s="72">
        <v>0</v>
      </c>
      <c r="H7" s="73">
        <v>0</v>
      </c>
      <c r="I7" s="72">
        <v>0</v>
      </c>
      <c r="J7" s="73">
        <v>0</v>
      </c>
      <c r="K7" s="72">
        <v>0</v>
      </c>
      <c r="L7" s="73">
        <v>0</v>
      </c>
      <c r="M7" s="72">
        <v>0</v>
      </c>
      <c r="N7" s="73">
        <v>0</v>
      </c>
      <c r="O7" s="72">
        <v>0</v>
      </c>
      <c r="P7" s="73">
        <v>0</v>
      </c>
      <c r="Q7" s="72">
        <v>0</v>
      </c>
      <c r="R7" s="73">
        <v>0</v>
      </c>
      <c r="S7" s="72">
        <v>0</v>
      </c>
      <c r="T7" s="73">
        <v>0</v>
      </c>
      <c r="U7" s="74">
        <v>0.35069444444444442</v>
      </c>
      <c r="V7" s="73">
        <v>0.5625</v>
      </c>
      <c r="W7" s="72">
        <v>0.60416666666666663</v>
      </c>
      <c r="X7" s="73">
        <v>0.69236111111111109</v>
      </c>
      <c r="Y7" s="72"/>
      <c r="Z7" s="73"/>
      <c r="AA7" s="72"/>
      <c r="AB7" s="73"/>
      <c r="AC7" s="75"/>
      <c r="AD7" s="73"/>
      <c r="AE7" s="75"/>
      <c r="AF7" s="73"/>
      <c r="AG7" s="75"/>
      <c r="AH7" s="73"/>
      <c r="AI7" s="75"/>
      <c r="AJ7" s="73"/>
      <c r="AK7" s="75"/>
      <c r="AL7" s="73"/>
      <c r="AM7" s="72"/>
      <c r="AN7" s="76"/>
      <c r="AO7" s="77">
        <f t="shared" si="0"/>
        <v>0</v>
      </c>
      <c r="AP7" s="78">
        <f t="shared" si="1"/>
        <v>0</v>
      </c>
      <c r="AQ7" s="78">
        <f t="shared" si="2"/>
        <v>0</v>
      </c>
      <c r="AR7" s="79">
        <f t="shared" si="3"/>
        <v>0</v>
      </c>
      <c r="AS7" s="80">
        <f t="shared" si="4"/>
        <v>0.35069444444444442</v>
      </c>
      <c r="AT7" s="81">
        <f t="shared" si="5"/>
        <v>0.5625</v>
      </c>
      <c r="AU7" s="81">
        <f t="shared" si="6"/>
        <v>0.60416666666666663</v>
      </c>
      <c r="AV7" s="81">
        <f t="shared" si="7"/>
        <v>0.69236111111111109</v>
      </c>
      <c r="AW7" s="81">
        <f t="shared" si="8"/>
        <v>0</v>
      </c>
      <c r="AX7" s="81">
        <f t="shared" si="9"/>
        <v>0</v>
      </c>
      <c r="AY7" s="77">
        <f t="shared" si="10"/>
        <v>0</v>
      </c>
      <c r="AZ7" s="82">
        <f t="shared" si="11"/>
        <v>0</v>
      </c>
      <c r="BA7" s="79">
        <f t="shared" si="12"/>
        <v>0</v>
      </c>
      <c r="BB7" s="80">
        <f>V7 - U7</f>
        <v>0.21180555555555558</v>
      </c>
      <c r="BC7" s="83">
        <f>X7 - W7</f>
        <v>8.8194444444444464E-2</v>
      </c>
      <c r="BD7" s="83">
        <f>Z7 - Y7</f>
        <v>0</v>
      </c>
      <c r="BE7" s="83">
        <f>AB7 - AA7</f>
        <v>0</v>
      </c>
      <c r="BF7" s="83">
        <f>AD7 - AC7</f>
        <v>0</v>
      </c>
      <c r="BG7" s="83">
        <f>AF7 - AE7</f>
        <v>0</v>
      </c>
      <c r="BH7" s="83">
        <f>AH7 - AG7</f>
        <v>0</v>
      </c>
      <c r="BI7" s="83">
        <f>AJ7 - AI7</f>
        <v>0</v>
      </c>
      <c r="BJ7" s="83">
        <f>AL7 - AK7</f>
        <v>0</v>
      </c>
      <c r="BK7" s="83">
        <f>AN7 - AM7</f>
        <v>0</v>
      </c>
      <c r="BL7" s="84">
        <f>ROUNDUP(SUM(BB7:BK7) * 288, 0) / 288</f>
        <v>0.30208333333333331</v>
      </c>
      <c r="BM7" s="71">
        <v>45903</v>
      </c>
    </row>
    <row r="8" spans="1:65" x14ac:dyDescent="0.25">
      <c r="A8" s="72">
        <v>0.37847222222222227</v>
      </c>
      <c r="B8" s="73">
        <v>0.53819444444444442</v>
      </c>
      <c r="C8" s="72">
        <v>0.57986111111111105</v>
      </c>
      <c r="D8" s="73">
        <v>0.76666666666666661</v>
      </c>
      <c r="E8" s="72">
        <v>0</v>
      </c>
      <c r="F8" s="73">
        <v>0</v>
      </c>
      <c r="G8" s="72">
        <v>0</v>
      </c>
      <c r="H8" s="73">
        <v>0</v>
      </c>
      <c r="I8" s="72">
        <v>0</v>
      </c>
      <c r="J8" s="73">
        <v>0</v>
      </c>
      <c r="K8" s="72">
        <v>0</v>
      </c>
      <c r="L8" s="73">
        <v>0</v>
      </c>
      <c r="M8" s="72">
        <v>0</v>
      </c>
      <c r="N8" s="73">
        <v>0</v>
      </c>
      <c r="O8" s="72">
        <v>0</v>
      </c>
      <c r="P8" s="73">
        <v>0</v>
      </c>
      <c r="Q8" s="72">
        <v>0</v>
      </c>
      <c r="R8" s="73">
        <v>0</v>
      </c>
      <c r="S8" s="72">
        <v>0</v>
      </c>
      <c r="T8" s="73">
        <v>0</v>
      </c>
      <c r="U8" s="74">
        <v>0.37847222222222227</v>
      </c>
      <c r="V8" s="73">
        <v>0.53819444444444442</v>
      </c>
      <c r="W8" s="72">
        <v>0.57986111111111105</v>
      </c>
      <c r="X8" s="73">
        <v>0.76666666666666661</v>
      </c>
      <c r="Y8" s="72"/>
      <c r="Z8" s="73"/>
      <c r="AA8" s="72"/>
      <c r="AB8" s="73"/>
      <c r="AC8" s="75"/>
      <c r="AD8" s="73"/>
      <c r="AE8" s="75"/>
      <c r="AF8" s="73"/>
      <c r="AG8" s="75"/>
      <c r="AH8" s="73"/>
      <c r="AI8" s="75"/>
      <c r="AJ8" s="73"/>
      <c r="AK8" s="75"/>
      <c r="AL8" s="73"/>
      <c r="AM8" s="72"/>
      <c r="AN8" s="76"/>
      <c r="AO8" s="77">
        <f t="shared" si="0"/>
        <v>0</v>
      </c>
      <c r="AP8" s="78">
        <f t="shared" si="1"/>
        <v>0</v>
      </c>
      <c r="AQ8" s="78">
        <f t="shared" si="2"/>
        <v>0</v>
      </c>
      <c r="AR8" s="79">
        <f t="shared" si="3"/>
        <v>0</v>
      </c>
      <c r="AS8" s="80">
        <f t="shared" si="4"/>
        <v>0.37847222222222227</v>
      </c>
      <c r="AT8" s="81">
        <f t="shared" si="5"/>
        <v>0.53819444444444442</v>
      </c>
      <c r="AU8" s="81">
        <f t="shared" si="6"/>
        <v>0.57986111111111105</v>
      </c>
      <c r="AV8" s="81">
        <f t="shared" si="7"/>
        <v>0.76666666666666661</v>
      </c>
      <c r="AW8" s="81">
        <f t="shared" si="8"/>
        <v>0</v>
      </c>
      <c r="AX8" s="81">
        <f t="shared" si="9"/>
        <v>0</v>
      </c>
      <c r="AY8" s="77">
        <f t="shared" si="10"/>
        <v>0</v>
      </c>
      <c r="AZ8" s="82">
        <f t="shared" si="11"/>
        <v>0</v>
      </c>
      <c r="BA8" s="79">
        <f t="shared" si="12"/>
        <v>0</v>
      </c>
      <c r="BB8" s="80">
        <f>V8 - U8</f>
        <v>0.15972222222222215</v>
      </c>
      <c r="BC8" s="83">
        <f>X8 - W8</f>
        <v>0.18680555555555556</v>
      </c>
      <c r="BD8" s="83">
        <f>Z8 - Y8</f>
        <v>0</v>
      </c>
      <c r="BE8" s="83">
        <f>AB8 - AA8</f>
        <v>0</v>
      </c>
      <c r="BF8" s="83">
        <f>AD8 - AC8</f>
        <v>0</v>
      </c>
      <c r="BG8" s="83">
        <f>AF8 - AE8</f>
        <v>0</v>
      </c>
      <c r="BH8" s="83">
        <f>AH8 - AG8</f>
        <v>0</v>
      </c>
      <c r="BI8" s="83">
        <f>AJ8 - AI8</f>
        <v>0</v>
      </c>
      <c r="BJ8" s="83">
        <f>AL8 - AK8</f>
        <v>0</v>
      </c>
      <c r="BK8" s="83">
        <f>AN8 - AM8</f>
        <v>0</v>
      </c>
      <c r="BL8" s="84">
        <f>ROUNDUP(SUM(BB8:BK8) * 288, 0) / 288</f>
        <v>0.34722222222222221</v>
      </c>
      <c r="BM8" s="71">
        <v>45904</v>
      </c>
    </row>
    <row r="9" spans="1:65" x14ac:dyDescent="0.25">
      <c r="A9" s="72">
        <v>0.28819444444444448</v>
      </c>
      <c r="B9" s="73">
        <v>0.49444444444444446</v>
      </c>
      <c r="C9" s="72">
        <v>0.53611111111111109</v>
      </c>
      <c r="D9" s="73">
        <v>0.67222222222222217</v>
      </c>
      <c r="E9" s="72">
        <v>0</v>
      </c>
      <c r="F9" s="73">
        <v>0</v>
      </c>
      <c r="G9" s="72">
        <v>0</v>
      </c>
      <c r="H9" s="73">
        <v>0</v>
      </c>
      <c r="I9" s="72">
        <v>0</v>
      </c>
      <c r="J9" s="73">
        <v>0</v>
      </c>
      <c r="K9" s="72">
        <v>0</v>
      </c>
      <c r="L9" s="73">
        <v>0</v>
      </c>
      <c r="M9" s="72">
        <v>0</v>
      </c>
      <c r="N9" s="73">
        <v>0</v>
      </c>
      <c r="O9" s="72">
        <v>0</v>
      </c>
      <c r="P9" s="73">
        <v>0</v>
      </c>
      <c r="Q9" s="72">
        <v>0</v>
      </c>
      <c r="R9" s="73">
        <v>0</v>
      </c>
      <c r="S9" s="72">
        <v>0</v>
      </c>
      <c r="T9" s="73">
        <v>0</v>
      </c>
      <c r="U9" s="74">
        <v>0.28819444444444448</v>
      </c>
      <c r="V9" s="73">
        <v>0.49444444444444446</v>
      </c>
      <c r="W9" s="72">
        <v>0.53611111111111109</v>
      </c>
      <c r="X9" s="73">
        <v>0.67222222222222217</v>
      </c>
      <c r="Y9" s="72"/>
      <c r="Z9" s="73"/>
      <c r="AA9" s="72"/>
      <c r="AB9" s="73"/>
      <c r="AC9" s="75"/>
      <c r="AD9" s="73"/>
      <c r="AE9" s="75"/>
      <c r="AF9" s="73"/>
      <c r="AG9" s="75"/>
      <c r="AH9" s="73"/>
      <c r="AI9" s="75"/>
      <c r="AJ9" s="73"/>
      <c r="AK9" s="75"/>
      <c r="AL9" s="73"/>
      <c r="AM9" s="72"/>
      <c r="AN9" s="76"/>
      <c r="AO9" s="77">
        <f t="shared" si="0"/>
        <v>0</v>
      </c>
      <c r="AP9" s="78">
        <f t="shared" si="1"/>
        <v>0</v>
      </c>
      <c r="AQ9" s="78">
        <f t="shared" si="2"/>
        <v>0</v>
      </c>
      <c r="AR9" s="79">
        <f t="shared" si="3"/>
        <v>0</v>
      </c>
      <c r="AS9" s="80">
        <f t="shared" si="4"/>
        <v>0.28819444444444448</v>
      </c>
      <c r="AT9" s="81">
        <f t="shared" si="5"/>
        <v>0.49444444444444446</v>
      </c>
      <c r="AU9" s="81">
        <f t="shared" si="6"/>
        <v>0.53611111111111109</v>
      </c>
      <c r="AV9" s="81">
        <f t="shared" si="7"/>
        <v>0.67222222222222217</v>
      </c>
      <c r="AW9" s="81">
        <f t="shared" si="8"/>
        <v>0</v>
      </c>
      <c r="AX9" s="81">
        <f t="shared" si="9"/>
        <v>0</v>
      </c>
      <c r="AY9" s="77">
        <f t="shared" si="10"/>
        <v>0</v>
      </c>
      <c r="AZ9" s="82">
        <f t="shared" si="11"/>
        <v>0</v>
      </c>
      <c r="BA9" s="79">
        <f t="shared" si="12"/>
        <v>0</v>
      </c>
      <c r="BB9" s="80">
        <f>V9 - U9</f>
        <v>0.20624999999999999</v>
      </c>
      <c r="BC9" s="83">
        <f>X9 - W9</f>
        <v>0.13611111111111107</v>
      </c>
      <c r="BD9" s="83">
        <f>Z9 - Y9</f>
        <v>0</v>
      </c>
      <c r="BE9" s="83">
        <f>AB9 - AA9</f>
        <v>0</v>
      </c>
      <c r="BF9" s="83">
        <f>AD9 - AC9</f>
        <v>0</v>
      </c>
      <c r="BG9" s="83">
        <f>AF9 - AE9</f>
        <v>0</v>
      </c>
      <c r="BH9" s="83">
        <f>AH9 - AG9</f>
        <v>0</v>
      </c>
      <c r="BI9" s="83">
        <f>AJ9 - AI9</f>
        <v>0</v>
      </c>
      <c r="BJ9" s="83">
        <f>AL9 - AK9</f>
        <v>0</v>
      </c>
      <c r="BK9" s="83">
        <f>AN9 - AM9</f>
        <v>0</v>
      </c>
      <c r="BL9" s="84">
        <f>ROUNDUP(SUM(BB9:BK9) * 288, 0) / 288</f>
        <v>0.34375</v>
      </c>
      <c r="BM9" s="71">
        <v>45905</v>
      </c>
    </row>
    <row r="10" spans="1:65" x14ac:dyDescent="0.25">
      <c r="A10" s="72">
        <v>0</v>
      </c>
      <c r="B10" s="73">
        <v>0</v>
      </c>
      <c r="C10" s="72">
        <v>0</v>
      </c>
      <c r="D10" s="73">
        <v>0</v>
      </c>
      <c r="E10" s="72">
        <v>0</v>
      </c>
      <c r="F10" s="73">
        <v>0</v>
      </c>
      <c r="G10" s="72">
        <v>0</v>
      </c>
      <c r="H10" s="73">
        <v>0</v>
      </c>
      <c r="I10" s="72">
        <v>0</v>
      </c>
      <c r="J10" s="73">
        <v>0</v>
      </c>
      <c r="K10" s="72">
        <v>0</v>
      </c>
      <c r="L10" s="73">
        <v>0</v>
      </c>
      <c r="M10" s="72">
        <v>0</v>
      </c>
      <c r="N10" s="73">
        <v>0</v>
      </c>
      <c r="O10" s="72">
        <v>0</v>
      </c>
      <c r="P10" s="73">
        <v>0</v>
      </c>
      <c r="Q10" s="72">
        <v>0</v>
      </c>
      <c r="R10" s="73">
        <v>0</v>
      </c>
      <c r="S10" s="72">
        <v>0</v>
      </c>
      <c r="T10" s="73">
        <v>0</v>
      </c>
      <c r="U10" s="74">
        <v>0</v>
      </c>
      <c r="V10" s="73">
        <v>0</v>
      </c>
      <c r="W10" s="72">
        <v>0</v>
      </c>
      <c r="X10" s="73">
        <v>0</v>
      </c>
      <c r="Y10" s="72">
        <v>0</v>
      </c>
      <c r="Z10" s="73">
        <v>0</v>
      </c>
      <c r="AA10" s="72">
        <v>0</v>
      </c>
      <c r="AB10" s="73">
        <v>0</v>
      </c>
      <c r="AC10" s="75">
        <v>0</v>
      </c>
      <c r="AD10" s="73">
        <v>0</v>
      </c>
      <c r="AE10" s="75">
        <v>0</v>
      </c>
      <c r="AF10" s="73">
        <v>0</v>
      </c>
      <c r="AG10" s="75">
        <v>0</v>
      </c>
      <c r="AH10" s="73">
        <v>0</v>
      </c>
      <c r="AI10" s="75">
        <v>0</v>
      </c>
      <c r="AJ10" s="73">
        <v>0</v>
      </c>
      <c r="AK10" s="75">
        <v>0</v>
      </c>
      <c r="AL10" s="73">
        <v>0</v>
      </c>
      <c r="AM10" s="72">
        <v>0</v>
      </c>
      <c r="AN10" s="76">
        <v>0</v>
      </c>
      <c r="AO10" s="77">
        <f t="shared" si="0"/>
        <v>0</v>
      </c>
      <c r="AP10" s="78">
        <f t="shared" si="1"/>
        <v>0</v>
      </c>
      <c r="AQ10" s="78">
        <f t="shared" si="2"/>
        <v>0</v>
      </c>
      <c r="AR10" s="79">
        <f t="shared" si="3"/>
        <v>0</v>
      </c>
      <c r="AS10" s="80">
        <f t="shared" si="4"/>
        <v>0</v>
      </c>
      <c r="AT10" s="81">
        <f t="shared" si="5"/>
        <v>0</v>
      </c>
      <c r="AU10" s="81">
        <f t="shared" si="6"/>
        <v>0</v>
      </c>
      <c r="AV10" s="81">
        <f t="shared" si="7"/>
        <v>0</v>
      </c>
      <c r="AW10" s="81">
        <f t="shared" si="8"/>
        <v>0</v>
      </c>
      <c r="AX10" s="81">
        <f t="shared" si="9"/>
        <v>0</v>
      </c>
      <c r="AY10" s="77">
        <f t="shared" si="10"/>
        <v>0</v>
      </c>
      <c r="AZ10" s="82">
        <f t="shared" si="11"/>
        <v>0</v>
      </c>
      <c r="BA10" s="79">
        <f t="shared" si="12"/>
        <v>0</v>
      </c>
      <c r="BB10" s="80">
        <f>V10 - U10</f>
        <v>0</v>
      </c>
      <c r="BC10" s="83">
        <f>X10 - W10</f>
        <v>0</v>
      </c>
      <c r="BD10" s="83">
        <f>Z10 - Y10</f>
        <v>0</v>
      </c>
      <c r="BE10" s="83">
        <f>AB10 - AA10</f>
        <v>0</v>
      </c>
      <c r="BF10" s="83">
        <f>AD10 - AC10</f>
        <v>0</v>
      </c>
      <c r="BG10" s="83">
        <f>AF10 - AE10</f>
        <v>0</v>
      </c>
      <c r="BH10" s="83">
        <f>AH10 - AG10</f>
        <v>0</v>
      </c>
      <c r="BI10" s="83">
        <f>AJ10 - AI10</f>
        <v>0</v>
      </c>
      <c r="BJ10" s="83">
        <f>AL10 - AK10</f>
        <v>0</v>
      </c>
      <c r="BK10" s="83">
        <f>AN10 - AM10</f>
        <v>0</v>
      </c>
      <c r="BL10" s="84">
        <f>ROUNDUP(SUM(BB10:BK10) * 288, 0) / 288</f>
        <v>0</v>
      </c>
      <c r="BM10" s="71">
        <v>0</v>
      </c>
    </row>
    <row r="11" spans="1:65" x14ac:dyDescent="0.25">
      <c r="A11" s="72">
        <v>0</v>
      </c>
      <c r="B11" s="73">
        <v>0</v>
      </c>
      <c r="C11" s="72">
        <v>0</v>
      </c>
      <c r="D11" s="73">
        <v>0</v>
      </c>
      <c r="E11" s="72">
        <v>0</v>
      </c>
      <c r="F11" s="73">
        <v>0</v>
      </c>
      <c r="G11" s="72">
        <v>0</v>
      </c>
      <c r="H11" s="73">
        <v>0</v>
      </c>
      <c r="I11" s="72">
        <v>0</v>
      </c>
      <c r="J11" s="73">
        <v>0</v>
      </c>
      <c r="K11" s="72">
        <v>0</v>
      </c>
      <c r="L11" s="73">
        <v>0</v>
      </c>
      <c r="M11" s="72">
        <v>0</v>
      </c>
      <c r="N11" s="73">
        <v>0</v>
      </c>
      <c r="O11" s="72">
        <v>0</v>
      </c>
      <c r="P11" s="73">
        <v>0</v>
      </c>
      <c r="Q11" s="72">
        <v>0</v>
      </c>
      <c r="R11" s="73">
        <v>0</v>
      </c>
      <c r="S11" s="72">
        <v>0</v>
      </c>
      <c r="T11" s="73">
        <v>0</v>
      </c>
      <c r="U11" s="74">
        <v>0</v>
      </c>
      <c r="V11" s="73">
        <v>0</v>
      </c>
      <c r="W11" s="72">
        <v>0</v>
      </c>
      <c r="X11" s="73">
        <v>0</v>
      </c>
      <c r="Y11" s="72">
        <v>0</v>
      </c>
      <c r="Z11" s="73">
        <v>0</v>
      </c>
      <c r="AA11" s="72">
        <v>0</v>
      </c>
      <c r="AB11" s="73">
        <v>0</v>
      </c>
      <c r="AC11" s="75">
        <v>0</v>
      </c>
      <c r="AD11" s="73">
        <v>0</v>
      </c>
      <c r="AE11" s="75">
        <v>0</v>
      </c>
      <c r="AF11" s="73">
        <v>0</v>
      </c>
      <c r="AG11" s="75">
        <v>0</v>
      </c>
      <c r="AH11" s="73">
        <v>0</v>
      </c>
      <c r="AI11" s="75">
        <v>0</v>
      </c>
      <c r="AJ11" s="73">
        <v>0</v>
      </c>
      <c r="AK11" s="75">
        <v>0</v>
      </c>
      <c r="AL11" s="73">
        <v>0</v>
      </c>
      <c r="AM11" s="72">
        <v>0</v>
      </c>
      <c r="AN11" s="76">
        <v>0</v>
      </c>
      <c r="AO11" s="77">
        <f t="shared" si="0"/>
        <v>0</v>
      </c>
      <c r="AP11" s="78">
        <f t="shared" si="1"/>
        <v>0</v>
      </c>
      <c r="AQ11" s="78">
        <f t="shared" si="2"/>
        <v>0</v>
      </c>
      <c r="AR11" s="79">
        <f t="shared" si="3"/>
        <v>0</v>
      </c>
      <c r="AS11" s="80">
        <f t="shared" si="4"/>
        <v>0</v>
      </c>
      <c r="AT11" s="81">
        <f t="shared" si="5"/>
        <v>0</v>
      </c>
      <c r="AU11" s="81">
        <f t="shared" si="6"/>
        <v>0</v>
      </c>
      <c r="AV11" s="81">
        <f t="shared" si="7"/>
        <v>0</v>
      </c>
      <c r="AW11" s="81">
        <f t="shared" si="8"/>
        <v>0</v>
      </c>
      <c r="AX11" s="81">
        <f t="shared" si="9"/>
        <v>0</v>
      </c>
      <c r="AY11" s="77">
        <f t="shared" si="10"/>
        <v>0</v>
      </c>
      <c r="AZ11" s="82">
        <f t="shared" si="11"/>
        <v>0</v>
      </c>
      <c r="BA11" s="79">
        <f t="shared" si="12"/>
        <v>0</v>
      </c>
      <c r="BB11" s="80">
        <f>V11 - U11</f>
        <v>0</v>
      </c>
      <c r="BC11" s="83">
        <f>X11 - W11</f>
        <v>0</v>
      </c>
      <c r="BD11" s="83">
        <f>Z11 - Y11</f>
        <v>0</v>
      </c>
      <c r="BE11" s="83">
        <f>AB11 - AA11</f>
        <v>0</v>
      </c>
      <c r="BF11" s="83">
        <f>AD11 - AC11</f>
        <v>0</v>
      </c>
      <c r="BG11" s="83">
        <f>AF11 - AE11</f>
        <v>0</v>
      </c>
      <c r="BH11" s="83">
        <f>AH11 - AG11</f>
        <v>0</v>
      </c>
      <c r="BI11" s="83">
        <f>AJ11 - AI11</f>
        <v>0</v>
      </c>
      <c r="BJ11" s="83">
        <f>AL11 - AK11</f>
        <v>0</v>
      </c>
      <c r="BK11" s="83">
        <f>AN11 - AM11</f>
        <v>0</v>
      </c>
      <c r="BL11" s="84">
        <f>ROUNDUP(SUM(BB11:BK11) * 288, 0) / 288</f>
        <v>0</v>
      </c>
      <c r="BM11" s="71">
        <v>0</v>
      </c>
    </row>
    <row r="12" spans="1:65" x14ac:dyDescent="0.25">
      <c r="A12" s="72">
        <v>0.37847222222222227</v>
      </c>
      <c r="B12" s="73">
        <v>0.53333333333333333</v>
      </c>
      <c r="C12" s="72">
        <v>0.57500000000000007</v>
      </c>
      <c r="D12" s="73">
        <v>0.75138888888888899</v>
      </c>
      <c r="E12" s="72">
        <v>0</v>
      </c>
      <c r="F12" s="73">
        <v>0</v>
      </c>
      <c r="G12" s="72">
        <v>0</v>
      </c>
      <c r="H12" s="73">
        <v>0</v>
      </c>
      <c r="I12" s="72">
        <v>0</v>
      </c>
      <c r="J12" s="73">
        <v>0</v>
      </c>
      <c r="K12" s="72">
        <v>0</v>
      </c>
      <c r="L12" s="73">
        <v>0</v>
      </c>
      <c r="M12" s="72">
        <v>0</v>
      </c>
      <c r="N12" s="73">
        <v>0</v>
      </c>
      <c r="O12" s="72">
        <v>0</v>
      </c>
      <c r="P12" s="73">
        <v>0</v>
      </c>
      <c r="Q12" s="72">
        <v>0</v>
      </c>
      <c r="R12" s="73">
        <v>0</v>
      </c>
      <c r="S12" s="72">
        <v>0</v>
      </c>
      <c r="T12" s="73">
        <v>0</v>
      </c>
      <c r="U12" s="74">
        <v>0.37847222222222227</v>
      </c>
      <c r="V12" s="73">
        <v>0.53333333333333333</v>
      </c>
      <c r="W12" s="72">
        <v>0.57500000000000007</v>
      </c>
      <c r="X12" s="73">
        <v>0.75138888888888899</v>
      </c>
      <c r="Y12" s="72"/>
      <c r="Z12" s="73"/>
      <c r="AA12" s="72"/>
      <c r="AB12" s="73"/>
      <c r="AC12" s="75"/>
      <c r="AD12" s="73"/>
      <c r="AE12" s="75"/>
      <c r="AF12" s="73"/>
      <c r="AG12" s="75"/>
      <c r="AH12" s="73"/>
      <c r="AI12" s="75"/>
      <c r="AJ12" s="73"/>
      <c r="AK12" s="75"/>
      <c r="AL12" s="73"/>
      <c r="AM12" s="72"/>
      <c r="AN12" s="76"/>
      <c r="AO12" s="77">
        <f t="shared" si="0"/>
        <v>1</v>
      </c>
      <c r="AP12" s="78">
        <f t="shared" si="1"/>
        <v>0</v>
      </c>
      <c r="AQ12" s="78">
        <f t="shared" si="2"/>
        <v>0</v>
      </c>
      <c r="AR12" s="79">
        <f t="shared" si="3"/>
        <v>0</v>
      </c>
      <c r="AS12" s="80">
        <f t="shared" si="4"/>
        <v>0.37847222222222227</v>
      </c>
      <c r="AT12" s="81">
        <f t="shared" si="5"/>
        <v>0.53333333333333333</v>
      </c>
      <c r="AU12" s="81">
        <f t="shared" si="6"/>
        <v>0.57500000000000007</v>
      </c>
      <c r="AV12" s="81">
        <f t="shared" si="7"/>
        <v>0.75138888888888899</v>
      </c>
      <c r="AW12" s="81">
        <f t="shared" si="8"/>
        <v>0</v>
      </c>
      <c r="AX12" s="81">
        <f t="shared" si="9"/>
        <v>0</v>
      </c>
      <c r="AY12" s="77">
        <f t="shared" si="10"/>
        <v>0</v>
      </c>
      <c r="AZ12" s="82">
        <f t="shared" si="11"/>
        <v>0</v>
      </c>
      <c r="BA12" s="79">
        <f t="shared" si="12"/>
        <v>0</v>
      </c>
      <c r="BB12" s="80">
        <f>V12 - U12</f>
        <v>0.15486111111111106</v>
      </c>
      <c r="BC12" s="83">
        <f>X12 - W12</f>
        <v>0.17638888888888893</v>
      </c>
      <c r="BD12" s="83">
        <f>Z12 - Y12</f>
        <v>0</v>
      </c>
      <c r="BE12" s="83">
        <f>AB12 - AA12</f>
        <v>0</v>
      </c>
      <c r="BF12" s="83">
        <f>AD12 - AC12</f>
        <v>0</v>
      </c>
      <c r="BG12" s="83">
        <f>AF12 - AE12</f>
        <v>0</v>
      </c>
      <c r="BH12" s="83">
        <f>AH12 - AG12</f>
        <v>0</v>
      </c>
      <c r="BI12" s="83">
        <f>AJ12 - AI12</f>
        <v>0</v>
      </c>
      <c r="BJ12" s="83">
        <f>AL12 - AK12</f>
        <v>0</v>
      </c>
      <c r="BK12" s="83">
        <f>AN12 - AM12</f>
        <v>0</v>
      </c>
      <c r="BL12" s="84">
        <f>ROUNDUP(SUM(BB12:BK12) * 288, 0) / 288</f>
        <v>0.33333333333333331</v>
      </c>
      <c r="BM12" s="71">
        <v>45908</v>
      </c>
    </row>
    <row r="13" spans="1:65" x14ac:dyDescent="0.25">
      <c r="A13" s="72">
        <v>0.34027777777777773</v>
      </c>
      <c r="B13" s="73">
        <v>0.52361111111111114</v>
      </c>
      <c r="C13" s="72">
        <v>0.56527777777777777</v>
      </c>
      <c r="D13" s="73">
        <v>0.74930555555555556</v>
      </c>
      <c r="E13" s="72">
        <v>0</v>
      </c>
      <c r="F13" s="73">
        <v>0</v>
      </c>
      <c r="G13" s="72">
        <v>0</v>
      </c>
      <c r="H13" s="73">
        <v>0</v>
      </c>
      <c r="I13" s="72">
        <v>0</v>
      </c>
      <c r="J13" s="73">
        <v>0</v>
      </c>
      <c r="K13" s="72">
        <v>0</v>
      </c>
      <c r="L13" s="73">
        <v>0</v>
      </c>
      <c r="M13" s="72">
        <v>0</v>
      </c>
      <c r="N13" s="73">
        <v>0</v>
      </c>
      <c r="O13" s="72">
        <v>0</v>
      </c>
      <c r="P13" s="73">
        <v>0</v>
      </c>
      <c r="Q13" s="72">
        <v>0</v>
      </c>
      <c r="R13" s="73">
        <v>0</v>
      </c>
      <c r="S13" s="72">
        <v>0</v>
      </c>
      <c r="T13" s="73">
        <v>0</v>
      </c>
      <c r="U13" s="74">
        <v>0.34027777777777773</v>
      </c>
      <c r="V13" s="73">
        <v>0.52361111111111114</v>
      </c>
      <c r="W13" s="72">
        <v>0.56527777777777777</v>
      </c>
      <c r="X13" s="73">
        <v>0.74930555555555556</v>
      </c>
      <c r="Y13" s="72"/>
      <c r="Z13" s="73"/>
      <c r="AA13" s="72"/>
      <c r="AB13" s="73"/>
      <c r="AC13" s="75"/>
      <c r="AD13" s="73"/>
      <c r="AE13" s="75"/>
      <c r="AF13" s="73"/>
      <c r="AG13" s="75"/>
      <c r="AH13" s="73"/>
      <c r="AI13" s="75"/>
      <c r="AJ13" s="73"/>
      <c r="AK13" s="75"/>
      <c r="AL13" s="73"/>
      <c r="AM13" s="72"/>
      <c r="AN13" s="76"/>
      <c r="AO13" s="77">
        <f t="shared" si="0"/>
        <v>0</v>
      </c>
      <c r="AP13" s="78">
        <f t="shared" si="1"/>
        <v>0</v>
      </c>
      <c r="AQ13" s="78">
        <f t="shared" si="2"/>
        <v>0</v>
      </c>
      <c r="AR13" s="79">
        <f t="shared" si="3"/>
        <v>0</v>
      </c>
      <c r="AS13" s="80">
        <f t="shared" si="4"/>
        <v>0.34027777777777773</v>
      </c>
      <c r="AT13" s="81">
        <f t="shared" si="5"/>
        <v>0.52361111111111114</v>
      </c>
      <c r="AU13" s="81">
        <f t="shared" si="6"/>
        <v>0.56527777777777777</v>
      </c>
      <c r="AV13" s="81">
        <f t="shared" si="7"/>
        <v>0.74930555555555556</v>
      </c>
      <c r="AW13" s="81">
        <f t="shared" si="8"/>
        <v>0</v>
      </c>
      <c r="AX13" s="81">
        <f t="shared" si="9"/>
        <v>0</v>
      </c>
      <c r="AY13" s="77">
        <f t="shared" si="10"/>
        <v>0</v>
      </c>
      <c r="AZ13" s="82">
        <f t="shared" si="11"/>
        <v>0</v>
      </c>
      <c r="BA13" s="79">
        <f t="shared" si="12"/>
        <v>0</v>
      </c>
      <c r="BB13" s="80">
        <f>V13 - U13</f>
        <v>0.1833333333333334</v>
      </c>
      <c r="BC13" s="83">
        <f>X13 - W13</f>
        <v>0.18402777777777779</v>
      </c>
      <c r="BD13" s="83">
        <f>Z13 - Y13</f>
        <v>0</v>
      </c>
      <c r="BE13" s="83">
        <f>AB13 - AA13</f>
        <v>0</v>
      </c>
      <c r="BF13" s="83">
        <f>AD13 - AC13</f>
        <v>0</v>
      </c>
      <c r="BG13" s="83">
        <f>AF13 - AE13</f>
        <v>0</v>
      </c>
      <c r="BH13" s="83">
        <f>AH13 - AG13</f>
        <v>0</v>
      </c>
      <c r="BI13" s="83">
        <f>AJ13 - AI13</f>
        <v>0</v>
      </c>
      <c r="BJ13" s="83">
        <f>AL13 - AK13</f>
        <v>0</v>
      </c>
      <c r="BK13" s="83">
        <f>AN13 - AM13</f>
        <v>0</v>
      </c>
      <c r="BL13" s="84">
        <f>ROUNDUP(SUM(BB13:BK13) * 288, 0) / 288</f>
        <v>0.36805555555555558</v>
      </c>
      <c r="BM13" s="71">
        <v>45909</v>
      </c>
    </row>
    <row r="14" spans="1:65" x14ac:dyDescent="0.25">
      <c r="A14" s="72">
        <v>0.36458333333333331</v>
      </c>
      <c r="B14" s="73">
        <v>0.60069444444444442</v>
      </c>
      <c r="C14" s="72">
        <v>0</v>
      </c>
      <c r="D14" s="73">
        <v>0</v>
      </c>
      <c r="E14" s="72">
        <v>0</v>
      </c>
      <c r="F14" s="73">
        <v>0</v>
      </c>
      <c r="G14" s="72">
        <v>0</v>
      </c>
      <c r="H14" s="73">
        <v>0</v>
      </c>
      <c r="I14" s="72">
        <v>0</v>
      </c>
      <c r="J14" s="73">
        <v>0</v>
      </c>
      <c r="K14" s="72">
        <v>0</v>
      </c>
      <c r="L14" s="73">
        <v>0</v>
      </c>
      <c r="M14" s="72">
        <v>0</v>
      </c>
      <c r="N14" s="73">
        <v>0</v>
      </c>
      <c r="O14" s="72">
        <v>0</v>
      </c>
      <c r="P14" s="73">
        <v>0</v>
      </c>
      <c r="Q14" s="72">
        <v>0</v>
      </c>
      <c r="R14" s="73">
        <v>0</v>
      </c>
      <c r="S14" s="72">
        <v>0</v>
      </c>
      <c r="T14" s="73">
        <v>0</v>
      </c>
      <c r="U14" s="74">
        <v>0.36458333333333331</v>
      </c>
      <c r="V14" s="73">
        <v>0.60069444444444442</v>
      </c>
      <c r="W14" s="72"/>
      <c r="X14" s="73"/>
      <c r="Y14" s="72"/>
      <c r="Z14" s="73"/>
      <c r="AA14" s="72"/>
      <c r="AB14" s="73"/>
      <c r="AC14" s="75"/>
      <c r="AD14" s="73"/>
      <c r="AE14" s="75"/>
      <c r="AF14" s="73"/>
      <c r="AG14" s="75"/>
      <c r="AH14" s="73"/>
      <c r="AI14" s="75"/>
      <c r="AJ14" s="73"/>
      <c r="AK14" s="75"/>
      <c r="AL14" s="73"/>
      <c r="AM14" s="72"/>
      <c r="AN14" s="76"/>
      <c r="AO14" s="77">
        <f t="shared" si="0"/>
        <v>0</v>
      </c>
      <c r="AP14" s="78">
        <f t="shared" si="1"/>
        <v>0</v>
      </c>
      <c r="AQ14" s="78">
        <f t="shared" si="2"/>
        <v>0</v>
      </c>
      <c r="AR14" s="79">
        <f t="shared" si="3"/>
        <v>0</v>
      </c>
      <c r="AS14" s="80">
        <f t="shared" si="4"/>
        <v>0.36458333333333331</v>
      </c>
      <c r="AT14" s="81">
        <f t="shared" si="5"/>
        <v>0.60069444444444442</v>
      </c>
      <c r="AU14" s="81">
        <f t="shared" si="6"/>
        <v>0</v>
      </c>
      <c r="AV14" s="81">
        <f t="shared" si="7"/>
        <v>0</v>
      </c>
      <c r="AW14" s="81">
        <f t="shared" si="8"/>
        <v>0</v>
      </c>
      <c r="AX14" s="81">
        <f t="shared" si="9"/>
        <v>0</v>
      </c>
      <c r="AY14" s="77">
        <f t="shared" si="10"/>
        <v>0</v>
      </c>
      <c r="AZ14" s="82">
        <f t="shared" si="11"/>
        <v>0</v>
      </c>
      <c r="BA14" s="79">
        <f t="shared" si="12"/>
        <v>0</v>
      </c>
      <c r="BB14" s="80">
        <f>V14 - U14</f>
        <v>0.2361111111111111</v>
      </c>
      <c r="BC14" s="83">
        <f>X14 - W14</f>
        <v>0</v>
      </c>
      <c r="BD14" s="83">
        <f>Z14 - Y14</f>
        <v>0</v>
      </c>
      <c r="BE14" s="83">
        <f>AB14 - AA14</f>
        <v>0</v>
      </c>
      <c r="BF14" s="83">
        <f>AD14 - AC14</f>
        <v>0</v>
      </c>
      <c r="BG14" s="83">
        <f>AF14 - AE14</f>
        <v>0</v>
      </c>
      <c r="BH14" s="83">
        <f>AH14 - AG14</f>
        <v>0</v>
      </c>
      <c r="BI14" s="83">
        <f>AJ14 - AI14</f>
        <v>0</v>
      </c>
      <c r="BJ14" s="83">
        <f>AL14 - AK14</f>
        <v>0</v>
      </c>
      <c r="BK14" s="83">
        <f>AN14 - AM14</f>
        <v>0</v>
      </c>
      <c r="BL14" s="84">
        <f>ROUNDUP(SUM(BB14:BK14) * 288, 0) / 288</f>
        <v>0.2361111111111111</v>
      </c>
      <c r="BM14" s="71">
        <v>45910</v>
      </c>
    </row>
    <row r="15" spans="1:65" x14ac:dyDescent="0.25">
      <c r="A15" s="72">
        <v>0.3888888888888889</v>
      </c>
      <c r="B15" s="73">
        <v>0.51111111111111118</v>
      </c>
      <c r="C15" s="72">
        <v>0.55277777777777781</v>
      </c>
      <c r="D15" s="73">
        <v>0.79513888888888884</v>
      </c>
      <c r="E15" s="72">
        <v>0</v>
      </c>
      <c r="F15" s="73">
        <v>0</v>
      </c>
      <c r="G15" s="72">
        <v>0</v>
      </c>
      <c r="H15" s="73">
        <v>0</v>
      </c>
      <c r="I15" s="72">
        <v>0</v>
      </c>
      <c r="J15" s="73">
        <v>0</v>
      </c>
      <c r="K15" s="72">
        <v>0</v>
      </c>
      <c r="L15" s="73">
        <v>0</v>
      </c>
      <c r="M15" s="72">
        <v>0</v>
      </c>
      <c r="N15" s="73">
        <v>0</v>
      </c>
      <c r="O15" s="72">
        <v>0</v>
      </c>
      <c r="P15" s="73">
        <v>0</v>
      </c>
      <c r="Q15" s="72">
        <v>0</v>
      </c>
      <c r="R15" s="73">
        <v>0</v>
      </c>
      <c r="S15" s="72">
        <v>0</v>
      </c>
      <c r="T15" s="73">
        <v>0</v>
      </c>
      <c r="U15" s="74">
        <v>0.3888888888888889</v>
      </c>
      <c r="V15" s="73">
        <v>0.51111111111111118</v>
      </c>
      <c r="W15" s="72">
        <v>0.55277777777777781</v>
      </c>
      <c r="X15" s="73">
        <v>0.79513888888888884</v>
      </c>
      <c r="Y15" s="72"/>
      <c r="Z15" s="73"/>
      <c r="AA15" s="72"/>
      <c r="AB15" s="73"/>
      <c r="AC15" s="75"/>
      <c r="AD15" s="73"/>
      <c r="AE15" s="75"/>
      <c r="AF15" s="73"/>
      <c r="AG15" s="75"/>
      <c r="AH15" s="73"/>
      <c r="AI15" s="75"/>
      <c r="AJ15" s="73"/>
      <c r="AK15" s="75"/>
      <c r="AL15" s="73"/>
      <c r="AM15" s="72"/>
      <c r="AN15" s="76"/>
      <c r="AO15" s="77">
        <f t="shared" si="0"/>
        <v>0</v>
      </c>
      <c r="AP15" s="78">
        <f t="shared" si="1"/>
        <v>0</v>
      </c>
      <c r="AQ15" s="78">
        <f t="shared" si="2"/>
        <v>0</v>
      </c>
      <c r="AR15" s="79">
        <f t="shared" si="3"/>
        <v>0</v>
      </c>
      <c r="AS15" s="80">
        <f t="shared" si="4"/>
        <v>0.3888888888888889</v>
      </c>
      <c r="AT15" s="81">
        <f t="shared" si="5"/>
        <v>0.51111111111111118</v>
      </c>
      <c r="AU15" s="81">
        <f t="shared" si="6"/>
        <v>0.55277777777777781</v>
      </c>
      <c r="AV15" s="81">
        <f t="shared" si="7"/>
        <v>0.79513888888888884</v>
      </c>
      <c r="AW15" s="81">
        <f t="shared" si="8"/>
        <v>0</v>
      </c>
      <c r="AX15" s="81">
        <f t="shared" si="9"/>
        <v>0</v>
      </c>
      <c r="AY15" s="77">
        <f t="shared" si="10"/>
        <v>0</v>
      </c>
      <c r="AZ15" s="82">
        <f t="shared" si="11"/>
        <v>0</v>
      </c>
      <c r="BA15" s="79">
        <f t="shared" si="12"/>
        <v>0</v>
      </c>
      <c r="BB15" s="80">
        <f>V15 - U15</f>
        <v>0.12222222222222229</v>
      </c>
      <c r="BC15" s="83">
        <f>X15 - W15</f>
        <v>0.24236111111111103</v>
      </c>
      <c r="BD15" s="83">
        <f>Z15 - Y15</f>
        <v>0</v>
      </c>
      <c r="BE15" s="83">
        <f>AB15 - AA15</f>
        <v>0</v>
      </c>
      <c r="BF15" s="83">
        <f>AD15 - AC15</f>
        <v>0</v>
      </c>
      <c r="BG15" s="83">
        <f>AF15 - AE15</f>
        <v>0</v>
      </c>
      <c r="BH15" s="83">
        <f>AH15 - AG15</f>
        <v>0</v>
      </c>
      <c r="BI15" s="83">
        <f>AJ15 - AI15</f>
        <v>0</v>
      </c>
      <c r="BJ15" s="83">
        <f>AL15 - AK15</f>
        <v>0</v>
      </c>
      <c r="BK15" s="83">
        <f>AN15 - AM15</f>
        <v>0</v>
      </c>
      <c r="BL15" s="84">
        <f>ROUNDUP(SUM(BB15:BK15) * 288, 0) / 288</f>
        <v>0.36458333333333331</v>
      </c>
      <c r="BM15" s="71">
        <v>45911</v>
      </c>
    </row>
    <row r="16" spans="1:65" x14ac:dyDescent="0.25">
      <c r="A16" s="72">
        <v>0.36805555555555558</v>
      </c>
      <c r="B16" s="73">
        <v>0.45833333333333331</v>
      </c>
      <c r="C16" s="72">
        <v>0.5</v>
      </c>
      <c r="D16" s="73">
        <v>0.69791666666666663</v>
      </c>
      <c r="E16" s="72">
        <v>0</v>
      </c>
      <c r="F16" s="73">
        <v>0</v>
      </c>
      <c r="G16" s="72">
        <v>0</v>
      </c>
      <c r="H16" s="73">
        <v>0</v>
      </c>
      <c r="I16" s="72">
        <v>0</v>
      </c>
      <c r="J16" s="73">
        <v>0</v>
      </c>
      <c r="K16" s="72">
        <v>0</v>
      </c>
      <c r="L16" s="73">
        <v>0</v>
      </c>
      <c r="M16" s="72">
        <v>0</v>
      </c>
      <c r="N16" s="73">
        <v>0</v>
      </c>
      <c r="O16" s="72">
        <v>0</v>
      </c>
      <c r="P16" s="73">
        <v>0</v>
      </c>
      <c r="Q16" s="72">
        <v>0</v>
      </c>
      <c r="R16" s="73">
        <v>0</v>
      </c>
      <c r="S16" s="72">
        <v>0</v>
      </c>
      <c r="T16" s="73">
        <v>0</v>
      </c>
      <c r="U16" s="74">
        <v>0.36805555555555558</v>
      </c>
      <c r="V16" s="73">
        <v>0.45833333333333331</v>
      </c>
      <c r="W16" s="72">
        <v>0.5</v>
      </c>
      <c r="X16" s="73">
        <v>0.69791666666666663</v>
      </c>
      <c r="Y16" s="72"/>
      <c r="Z16" s="73"/>
      <c r="AA16" s="72"/>
      <c r="AB16" s="73"/>
      <c r="AC16" s="75"/>
      <c r="AD16" s="73"/>
      <c r="AE16" s="75"/>
      <c r="AF16" s="73"/>
      <c r="AG16" s="75"/>
      <c r="AH16" s="73"/>
      <c r="AI16" s="75"/>
      <c r="AJ16" s="73"/>
      <c r="AK16" s="75"/>
      <c r="AL16" s="73"/>
      <c r="AM16" s="72"/>
      <c r="AN16" s="76"/>
      <c r="AO16" s="77">
        <f t="shared" si="0"/>
        <v>1</v>
      </c>
      <c r="AP16" s="78">
        <f t="shared" si="1"/>
        <v>0</v>
      </c>
      <c r="AQ16" s="78">
        <f t="shared" si="2"/>
        <v>0</v>
      </c>
      <c r="AR16" s="79">
        <f t="shared" si="3"/>
        <v>0</v>
      </c>
      <c r="AS16" s="80">
        <f t="shared" si="4"/>
        <v>0.36805555555555558</v>
      </c>
      <c r="AT16" s="81">
        <f t="shared" si="5"/>
        <v>0.45833333333333331</v>
      </c>
      <c r="AU16" s="81">
        <f t="shared" si="6"/>
        <v>0.5</v>
      </c>
      <c r="AV16" s="81">
        <f t="shared" si="7"/>
        <v>0.69791666666666663</v>
      </c>
      <c r="AW16" s="81">
        <f t="shared" si="8"/>
        <v>0</v>
      </c>
      <c r="AX16" s="81">
        <f t="shared" si="9"/>
        <v>0</v>
      </c>
      <c r="AY16" s="77">
        <f t="shared" si="10"/>
        <v>0</v>
      </c>
      <c r="AZ16" s="82">
        <f t="shared" si="11"/>
        <v>0</v>
      </c>
      <c r="BA16" s="79">
        <f t="shared" si="12"/>
        <v>0</v>
      </c>
      <c r="BB16" s="80">
        <f>V16 - U16</f>
        <v>9.0277777777777735E-2</v>
      </c>
      <c r="BC16" s="83">
        <f>X16 - W16</f>
        <v>0.19791666666666663</v>
      </c>
      <c r="BD16" s="83">
        <f>Z16 - Y16</f>
        <v>0</v>
      </c>
      <c r="BE16" s="83">
        <f>AB16 - AA16</f>
        <v>0</v>
      </c>
      <c r="BF16" s="83">
        <f>AD16 - AC16</f>
        <v>0</v>
      </c>
      <c r="BG16" s="83">
        <f>AF16 - AE16</f>
        <v>0</v>
      </c>
      <c r="BH16" s="83">
        <f>AH16 - AG16</f>
        <v>0</v>
      </c>
      <c r="BI16" s="83">
        <f>AJ16 - AI16</f>
        <v>0</v>
      </c>
      <c r="BJ16" s="83">
        <f>AL16 - AK16</f>
        <v>0</v>
      </c>
      <c r="BK16" s="83">
        <f>AN16 - AM16</f>
        <v>0</v>
      </c>
      <c r="BL16" s="84">
        <f>ROUNDUP(SUM(BB16:BK16) * 288, 0) / 288</f>
        <v>0.28819444444444442</v>
      </c>
      <c r="BM16" s="71">
        <v>45912</v>
      </c>
    </row>
    <row r="17" spans="1:65" x14ac:dyDescent="0.25">
      <c r="A17" s="72">
        <v>0</v>
      </c>
      <c r="B17" s="73">
        <v>0</v>
      </c>
      <c r="C17" s="72">
        <v>0</v>
      </c>
      <c r="D17" s="73">
        <v>0</v>
      </c>
      <c r="E17" s="72">
        <v>0</v>
      </c>
      <c r="F17" s="73">
        <v>0</v>
      </c>
      <c r="G17" s="72">
        <v>0</v>
      </c>
      <c r="H17" s="73">
        <v>0</v>
      </c>
      <c r="I17" s="72">
        <v>0</v>
      </c>
      <c r="J17" s="73">
        <v>0</v>
      </c>
      <c r="K17" s="72">
        <v>0</v>
      </c>
      <c r="L17" s="73">
        <v>0</v>
      </c>
      <c r="M17" s="72">
        <v>0</v>
      </c>
      <c r="N17" s="73">
        <v>0</v>
      </c>
      <c r="O17" s="72">
        <v>0</v>
      </c>
      <c r="P17" s="73">
        <v>0</v>
      </c>
      <c r="Q17" s="72">
        <v>0</v>
      </c>
      <c r="R17" s="73">
        <v>0</v>
      </c>
      <c r="S17" s="72">
        <v>0</v>
      </c>
      <c r="T17" s="73">
        <v>0</v>
      </c>
      <c r="U17" s="74">
        <v>0</v>
      </c>
      <c r="V17" s="73">
        <v>0</v>
      </c>
      <c r="W17" s="72">
        <v>0</v>
      </c>
      <c r="X17" s="73">
        <v>0</v>
      </c>
      <c r="Y17" s="72">
        <v>0</v>
      </c>
      <c r="Z17" s="73">
        <v>0</v>
      </c>
      <c r="AA17" s="72">
        <v>0</v>
      </c>
      <c r="AB17" s="73">
        <v>0</v>
      </c>
      <c r="AC17" s="75">
        <v>0</v>
      </c>
      <c r="AD17" s="73">
        <v>0</v>
      </c>
      <c r="AE17" s="75">
        <v>0</v>
      </c>
      <c r="AF17" s="73">
        <v>0</v>
      </c>
      <c r="AG17" s="75">
        <v>0</v>
      </c>
      <c r="AH17" s="73">
        <v>0</v>
      </c>
      <c r="AI17" s="75">
        <v>0</v>
      </c>
      <c r="AJ17" s="73">
        <v>0</v>
      </c>
      <c r="AK17" s="75">
        <v>0</v>
      </c>
      <c r="AL17" s="73">
        <v>0</v>
      </c>
      <c r="AM17" s="72">
        <v>0</v>
      </c>
      <c r="AN17" s="76">
        <v>0</v>
      </c>
      <c r="AO17" s="77">
        <f t="shared" si="0"/>
        <v>0</v>
      </c>
      <c r="AP17" s="78">
        <f t="shared" si="1"/>
        <v>0</v>
      </c>
      <c r="AQ17" s="78">
        <f t="shared" si="2"/>
        <v>0</v>
      </c>
      <c r="AR17" s="79">
        <f t="shared" si="3"/>
        <v>0</v>
      </c>
      <c r="AS17" s="80">
        <f t="shared" si="4"/>
        <v>0</v>
      </c>
      <c r="AT17" s="81">
        <f t="shared" si="5"/>
        <v>0</v>
      </c>
      <c r="AU17" s="81">
        <f t="shared" si="6"/>
        <v>0</v>
      </c>
      <c r="AV17" s="81">
        <f t="shared" si="7"/>
        <v>0</v>
      </c>
      <c r="AW17" s="81">
        <f t="shared" si="8"/>
        <v>0</v>
      </c>
      <c r="AX17" s="81">
        <f t="shared" si="9"/>
        <v>0</v>
      </c>
      <c r="AY17" s="77">
        <f t="shared" si="10"/>
        <v>0</v>
      </c>
      <c r="AZ17" s="82">
        <f t="shared" si="11"/>
        <v>0</v>
      </c>
      <c r="BA17" s="79">
        <f t="shared" si="12"/>
        <v>0</v>
      </c>
      <c r="BB17" s="80">
        <f>V17 - U17</f>
        <v>0</v>
      </c>
      <c r="BC17" s="83">
        <f>X17 - W17</f>
        <v>0</v>
      </c>
      <c r="BD17" s="83">
        <f>Z17 - Y17</f>
        <v>0</v>
      </c>
      <c r="BE17" s="83">
        <f>AB17 - AA17</f>
        <v>0</v>
      </c>
      <c r="BF17" s="83">
        <f>AD17 - AC17</f>
        <v>0</v>
      </c>
      <c r="BG17" s="83">
        <f>AF17 - AE17</f>
        <v>0</v>
      </c>
      <c r="BH17" s="83">
        <f>AH17 - AG17</f>
        <v>0</v>
      </c>
      <c r="BI17" s="83">
        <f>AJ17 - AI17</f>
        <v>0</v>
      </c>
      <c r="BJ17" s="83">
        <f>AL17 - AK17</f>
        <v>0</v>
      </c>
      <c r="BK17" s="83">
        <f>AN17 - AM17</f>
        <v>0</v>
      </c>
      <c r="BL17" s="84">
        <f>ROUNDUP(SUM(BB17:BK17) * 288, 0) / 288</f>
        <v>0</v>
      </c>
      <c r="BM17" s="71">
        <v>0</v>
      </c>
    </row>
    <row r="18" spans="1:65" x14ac:dyDescent="0.25">
      <c r="A18" s="72">
        <v>0</v>
      </c>
      <c r="B18" s="73">
        <v>0</v>
      </c>
      <c r="C18" s="72">
        <v>0</v>
      </c>
      <c r="D18" s="73">
        <v>0</v>
      </c>
      <c r="E18" s="72">
        <v>0</v>
      </c>
      <c r="F18" s="73">
        <v>0</v>
      </c>
      <c r="G18" s="72">
        <v>0</v>
      </c>
      <c r="H18" s="73">
        <v>0</v>
      </c>
      <c r="I18" s="72">
        <v>0</v>
      </c>
      <c r="J18" s="73">
        <v>0</v>
      </c>
      <c r="K18" s="72">
        <v>0</v>
      </c>
      <c r="L18" s="73">
        <v>0</v>
      </c>
      <c r="M18" s="72">
        <v>0</v>
      </c>
      <c r="N18" s="73">
        <v>0</v>
      </c>
      <c r="O18" s="72">
        <v>0</v>
      </c>
      <c r="P18" s="73">
        <v>0</v>
      </c>
      <c r="Q18" s="72">
        <v>0</v>
      </c>
      <c r="R18" s="73">
        <v>0</v>
      </c>
      <c r="S18" s="72">
        <v>0</v>
      </c>
      <c r="T18" s="73">
        <v>0</v>
      </c>
      <c r="U18" s="74">
        <v>0</v>
      </c>
      <c r="V18" s="73">
        <v>0</v>
      </c>
      <c r="W18" s="72">
        <v>0</v>
      </c>
      <c r="X18" s="73">
        <v>0</v>
      </c>
      <c r="Y18" s="72">
        <v>0</v>
      </c>
      <c r="Z18" s="73">
        <v>0</v>
      </c>
      <c r="AA18" s="72">
        <v>0</v>
      </c>
      <c r="AB18" s="73">
        <v>0</v>
      </c>
      <c r="AC18" s="75">
        <v>0</v>
      </c>
      <c r="AD18" s="73">
        <v>0</v>
      </c>
      <c r="AE18" s="75">
        <v>0</v>
      </c>
      <c r="AF18" s="73">
        <v>0</v>
      </c>
      <c r="AG18" s="75">
        <v>0</v>
      </c>
      <c r="AH18" s="73">
        <v>0</v>
      </c>
      <c r="AI18" s="75">
        <v>0</v>
      </c>
      <c r="AJ18" s="73">
        <v>0</v>
      </c>
      <c r="AK18" s="75">
        <v>0</v>
      </c>
      <c r="AL18" s="73">
        <v>0</v>
      </c>
      <c r="AM18" s="72">
        <v>0</v>
      </c>
      <c r="AN18" s="76">
        <v>0</v>
      </c>
      <c r="AO18" s="77">
        <f t="shared" si="0"/>
        <v>0</v>
      </c>
      <c r="AP18" s="78">
        <f t="shared" si="1"/>
        <v>0</v>
      </c>
      <c r="AQ18" s="78">
        <f t="shared" si="2"/>
        <v>0</v>
      </c>
      <c r="AR18" s="79">
        <f t="shared" si="3"/>
        <v>0</v>
      </c>
      <c r="AS18" s="80">
        <f t="shared" si="4"/>
        <v>0</v>
      </c>
      <c r="AT18" s="81">
        <f t="shared" si="5"/>
        <v>0</v>
      </c>
      <c r="AU18" s="81">
        <f t="shared" si="6"/>
        <v>0</v>
      </c>
      <c r="AV18" s="81">
        <f t="shared" si="7"/>
        <v>0</v>
      </c>
      <c r="AW18" s="81">
        <f t="shared" si="8"/>
        <v>0</v>
      </c>
      <c r="AX18" s="81">
        <f t="shared" si="9"/>
        <v>0</v>
      </c>
      <c r="AY18" s="77">
        <f t="shared" si="10"/>
        <v>0</v>
      </c>
      <c r="AZ18" s="82">
        <f t="shared" si="11"/>
        <v>0</v>
      </c>
      <c r="BA18" s="79">
        <f t="shared" si="12"/>
        <v>0</v>
      </c>
      <c r="BB18" s="80">
        <f>V18 - U18</f>
        <v>0</v>
      </c>
      <c r="BC18" s="83">
        <f>X18 - W18</f>
        <v>0</v>
      </c>
      <c r="BD18" s="83">
        <f>Z18 - Y18</f>
        <v>0</v>
      </c>
      <c r="BE18" s="83">
        <f>AB18 - AA18</f>
        <v>0</v>
      </c>
      <c r="BF18" s="83">
        <f>AD18 - AC18</f>
        <v>0</v>
      </c>
      <c r="BG18" s="83">
        <f>AF18 - AE18</f>
        <v>0</v>
      </c>
      <c r="BH18" s="83">
        <f>AH18 - AG18</f>
        <v>0</v>
      </c>
      <c r="BI18" s="83">
        <f>AJ18 - AI18</f>
        <v>0</v>
      </c>
      <c r="BJ18" s="83">
        <f>AL18 - AK18</f>
        <v>0</v>
      </c>
      <c r="BK18" s="83">
        <f>AN18 - AM18</f>
        <v>0</v>
      </c>
      <c r="BL18" s="84">
        <f>ROUNDUP(SUM(BB18:BK18) * 288, 0) / 288</f>
        <v>0</v>
      </c>
      <c r="BM18" s="71">
        <v>0</v>
      </c>
    </row>
    <row r="19" spans="1:65" x14ac:dyDescent="0.25">
      <c r="A19" s="72">
        <v>0.3125</v>
      </c>
      <c r="B19" s="73">
        <v>0.48125000000000001</v>
      </c>
      <c r="C19" s="72">
        <v>0.5229166666666667</v>
      </c>
      <c r="D19" s="73">
        <v>0.71458333333333324</v>
      </c>
      <c r="E19" s="72">
        <v>0</v>
      </c>
      <c r="F19" s="73">
        <v>0</v>
      </c>
      <c r="G19" s="72">
        <v>0</v>
      </c>
      <c r="H19" s="73">
        <v>0</v>
      </c>
      <c r="I19" s="72">
        <v>0</v>
      </c>
      <c r="J19" s="73">
        <v>0</v>
      </c>
      <c r="K19" s="72">
        <v>0</v>
      </c>
      <c r="L19" s="73">
        <v>0</v>
      </c>
      <c r="M19" s="72">
        <v>0</v>
      </c>
      <c r="N19" s="73">
        <v>0</v>
      </c>
      <c r="O19" s="72">
        <v>0</v>
      </c>
      <c r="P19" s="73">
        <v>0</v>
      </c>
      <c r="Q19" s="72">
        <v>0</v>
      </c>
      <c r="R19" s="73">
        <v>0</v>
      </c>
      <c r="S19" s="72">
        <v>0</v>
      </c>
      <c r="T19" s="73">
        <v>0</v>
      </c>
      <c r="U19" s="74">
        <v>0.3125</v>
      </c>
      <c r="V19" s="73">
        <v>0.48125000000000001</v>
      </c>
      <c r="W19" s="72">
        <v>0.5229166666666667</v>
      </c>
      <c r="X19" s="73">
        <v>0.71458333333333324</v>
      </c>
      <c r="Y19" s="72"/>
      <c r="Z19" s="73"/>
      <c r="AA19" s="72"/>
      <c r="AB19" s="73"/>
      <c r="AC19" s="75"/>
      <c r="AD19" s="73"/>
      <c r="AE19" s="75"/>
      <c r="AF19" s="73"/>
      <c r="AG19" s="75"/>
      <c r="AH19" s="73"/>
      <c r="AI19" s="75"/>
      <c r="AJ19" s="73"/>
      <c r="AK19" s="75"/>
      <c r="AL19" s="73"/>
      <c r="AM19" s="72"/>
      <c r="AN19" s="76"/>
      <c r="AO19" s="77">
        <f t="shared" si="0"/>
        <v>1</v>
      </c>
      <c r="AP19" s="78">
        <f t="shared" si="1"/>
        <v>0</v>
      </c>
      <c r="AQ19" s="78">
        <f t="shared" si="2"/>
        <v>0</v>
      </c>
      <c r="AR19" s="79">
        <f t="shared" si="3"/>
        <v>0</v>
      </c>
      <c r="AS19" s="80">
        <f t="shared" si="4"/>
        <v>0.3125</v>
      </c>
      <c r="AT19" s="81">
        <f t="shared" si="5"/>
        <v>0.48125000000000001</v>
      </c>
      <c r="AU19" s="81">
        <f t="shared" si="6"/>
        <v>0.5229166666666667</v>
      </c>
      <c r="AV19" s="81">
        <f t="shared" si="7"/>
        <v>0.71458333333333324</v>
      </c>
      <c r="AW19" s="81">
        <f t="shared" si="8"/>
        <v>0</v>
      </c>
      <c r="AX19" s="81">
        <f t="shared" si="9"/>
        <v>0</v>
      </c>
      <c r="AY19" s="77">
        <f t="shared" si="10"/>
        <v>0</v>
      </c>
      <c r="AZ19" s="82">
        <f t="shared" si="11"/>
        <v>0</v>
      </c>
      <c r="BA19" s="79">
        <f t="shared" si="12"/>
        <v>0</v>
      </c>
      <c r="BB19" s="80">
        <f>V19 - U19</f>
        <v>0.16875000000000001</v>
      </c>
      <c r="BC19" s="83">
        <f>X19 - W19</f>
        <v>0.19166666666666654</v>
      </c>
      <c r="BD19" s="83">
        <f>Z19 - Y19</f>
        <v>0</v>
      </c>
      <c r="BE19" s="83">
        <f>AB19 - AA19</f>
        <v>0</v>
      </c>
      <c r="BF19" s="83">
        <f>AD19 - AC19</f>
        <v>0</v>
      </c>
      <c r="BG19" s="83">
        <f>AF19 - AE19</f>
        <v>0</v>
      </c>
      <c r="BH19" s="83">
        <f>AH19 - AG19</f>
        <v>0</v>
      </c>
      <c r="BI19" s="83">
        <f>AJ19 - AI19</f>
        <v>0</v>
      </c>
      <c r="BJ19" s="83">
        <f>AL19 - AK19</f>
        <v>0</v>
      </c>
      <c r="BK19" s="83">
        <f>AN19 - AM19</f>
        <v>0</v>
      </c>
      <c r="BL19" s="84">
        <f>ROUNDUP(SUM(BB19:BK19) * 288, 0) / 288</f>
        <v>0.3611111111111111</v>
      </c>
      <c r="BM19" s="71">
        <v>45915</v>
      </c>
    </row>
    <row r="20" spans="1:65" x14ac:dyDescent="0.25">
      <c r="A20" s="72">
        <v>0.3611111111111111</v>
      </c>
      <c r="B20" s="73">
        <v>0.56944444444444442</v>
      </c>
      <c r="C20" s="72">
        <v>0.61111111111111105</v>
      </c>
      <c r="D20" s="73">
        <v>0.73125000000000007</v>
      </c>
      <c r="E20" s="72">
        <v>0</v>
      </c>
      <c r="F20" s="73">
        <v>0</v>
      </c>
      <c r="G20" s="72">
        <v>0</v>
      </c>
      <c r="H20" s="73">
        <v>0</v>
      </c>
      <c r="I20" s="72">
        <v>0</v>
      </c>
      <c r="J20" s="73">
        <v>0</v>
      </c>
      <c r="K20" s="72">
        <v>0</v>
      </c>
      <c r="L20" s="73">
        <v>0</v>
      </c>
      <c r="M20" s="72">
        <v>0</v>
      </c>
      <c r="N20" s="73">
        <v>0</v>
      </c>
      <c r="O20" s="72">
        <v>0</v>
      </c>
      <c r="P20" s="73">
        <v>0</v>
      </c>
      <c r="Q20" s="72">
        <v>0</v>
      </c>
      <c r="R20" s="73">
        <v>0</v>
      </c>
      <c r="S20" s="72">
        <v>0</v>
      </c>
      <c r="T20" s="73">
        <v>0</v>
      </c>
      <c r="U20" s="74">
        <v>0.3611111111111111</v>
      </c>
      <c r="V20" s="73">
        <v>0.56944444444444442</v>
      </c>
      <c r="W20" s="72">
        <v>0.61111111111111105</v>
      </c>
      <c r="X20" s="73">
        <v>0.73125000000000007</v>
      </c>
      <c r="Y20" s="72"/>
      <c r="Z20" s="73"/>
      <c r="AA20" s="72"/>
      <c r="AB20" s="73"/>
      <c r="AC20" s="75"/>
      <c r="AD20" s="73"/>
      <c r="AE20" s="75"/>
      <c r="AF20" s="73"/>
      <c r="AG20" s="75"/>
      <c r="AH20" s="73"/>
      <c r="AI20" s="75"/>
      <c r="AJ20" s="73"/>
      <c r="AK20" s="75"/>
      <c r="AL20" s="73"/>
      <c r="AM20" s="72"/>
      <c r="AN20" s="76"/>
      <c r="AO20" s="77">
        <f t="shared" si="0"/>
        <v>0</v>
      </c>
      <c r="AP20" s="78">
        <f t="shared" si="1"/>
        <v>0</v>
      </c>
      <c r="AQ20" s="78">
        <f t="shared" si="2"/>
        <v>0</v>
      </c>
      <c r="AR20" s="79">
        <f t="shared" si="3"/>
        <v>0</v>
      </c>
      <c r="AS20" s="80">
        <f t="shared" si="4"/>
        <v>0.3611111111111111</v>
      </c>
      <c r="AT20" s="81">
        <f t="shared" si="5"/>
        <v>0.56944444444444442</v>
      </c>
      <c r="AU20" s="81">
        <f t="shared" si="6"/>
        <v>0.61111111111111105</v>
      </c>
      <c r="AV20" s="81">
        <f t="shared" si="7"/>
        <v>0.73125000000000007</v>
      </c>
      <c r="AW20" s="81">
        <f t="shared" si="8"/>
        <v>0</v>
      </c>
      <c r="AX20" s="81">
        <f t="shared" si="9"/>
        <v>0</v>
      </c>
      <c r="AY20" s="77">
        <f t="shared" si="10"/>
        <v>0</v>
      </c>
      <c r="AZ20" s="82">
        <f t="shared" si="11"/>
        <v>1</v>
      </c>
      <c r="BA20" s="79">
        <f t="shared" si="12"/>
        <v>0</v>
      </c>
      <c r="BB20" s="80">
        <f>V20 - U20</f>
        <v>0.20833333333333331</v>
      </c>
      <c r="BC20" s="83">
        <f>X20 - W20</f>
        <v>0.12013888888888902</v>
      </c>
      <c r="BD20" s="83">
        <f>Z20 - Y20</f>
        <v>0</v>
      </c>
      <c r="BE20" s="83">
        <f>AB20 - AA20</f>
        <v>0</v>
      </c>
      <c r="BF20" s="83">
        <f>AD20 - AC20</f>
        <v>0</v>
      </c>
      <c r="BG20" s="83">
        <f>AF20 - AE20</f>
        <v>0</v>
      </c>
      <c r="BH20" s="83">
        <f>AH20 - AG20</f>
        <v>0</v>
      </c>
      <c r="BI20" s="83">
        <f>AJ20 - AI20</f>
        <v>0</v>
      </c>
      <c r="BJ20" s="83">
        <f>AL20 - AK20</f>
        <v>0</v>
      </c>
      <c r="BK20" s="83">
        <f>AN20 - AM20</f>
        <v>0</v>
      </c>
      <c r="BL20" s="84">
        <f>ROUNDUP(SUM(BB20:BK20) * 288, 0) / 288</f>
        <v>0.3298611111111111</v>
      </c>
      <c r="BM20" s="71">
        <v>45916</v>
      </c>
    </row>
    <row r="21" spans="1:65" x14ac:dyDescent="0.25">
      <c r="A21" s="72">
        <v>0.33333333333333331</v>
      </c>
      <c r="B21" s="73">
        <v>0.45833333333333331</v>
      </c>
      <c r="C21" s="72">
        <v>0.5</v>
      </c>
      <c r="D21" s="73">
        <v>0.71111111111111114</v>
      </c>
      <c r="E21" s="72">
        <v>0</v>
      </c>
      <c r="F21" s="73">
        <v>0</v>
      </c>
      <c r="G21" s="72">
        <v>0</v>
      </c>
      <c r="H21" s="73">
        <v>0</v>
      </c>
      <c r="I21" s="72">
        <v>0</v>
      </c>
      <c r="J21" s="73">
        <v>0</v>
      </c>
      <c r="K21" s="72">
        <v>0</v>
      </c>
      <c r="L21" s="73">
        <v>0</v>
      </c>
      <c r="M21" s="72">
        <v>0</v>
      </c>
      <c r="N21" s="73">
        <v>0</v>
      </c>
      <c r="O21" s="72">
        <v>0</v>
      </c>
      <c r="P21" s="73">
        <v>0</v>
      </c>
      <c r="Q21" s="72">
        <v>0</v>
      </c>
      <c r="R21" s="73">
        <v>0</v>
      </c>
      <c r="S21" s="72">
        <v>0</v>
      </c>
      <c r="T21" s="73">
        <v>0</v>
      </c>
      <c r="U21" s="74">
        <v>0.33333333333333331</v>
      </c>
      <c r="V21" s="73">
        <v>0.45833333333333331</v>
      </c>
      <c r="W21" s="72">
        <v>0.5</v>
      </c>
      <c r="X21" s="73">
        <v>0.71111111111111114</v>
      </c>
      <c r="Y21" s="72"/>
      <c r="Z21" s="73"/>
      <c r="AA21" s="72"/>
      <c r="AB21" s="73"/>
      <c r="AC21" s="75"/>
      <c r="AD21" s="73"/>
      <c r="AE21" s="75"/>
      <c r="AF21" s="73"/>
      <c r="AG21" s="75"/>
      <c r="AH21" s="73"/>
      <c r="AI21" s="75"/>
      <c r="AJ21" s="73"/>
      <c r="AK21" s="75"/>
      <c r="AL21" s="73"/>
      <c r="AM21" s="72"/>
      <c r="AN21" s="76"/>
      <c r="AO21" s="77">
        <f t="shared" si="0"/>
        <v>1</v>
      </c>
      <c r="AP21" s="78">
        <f t="shared" si="1"/>
        <v>0</v>
      </c>
      <c r="AQ21" s="78">
        <f t="shared" si="2"/>
        <v>0</v>
      </c>
      <c r="AR21" s="79">
        <f t="shared" si="3"/>
        <v>0</v>
      </c>
      <c r="AS21" s="80">
        <f t="shared" si="4"/>
        <v>0.33333333333333331</v>
      </c>
      <c r="AT21" s="81">
        <f t="shared" si="5"/>
        <v>0.45833333333333331</v>
      </c>
      <c r="AU21" s="81">
        <f t="shared" si="6"/>
        <v>0.5</v>
      </c>
      <c r="AV21" s="81">
        <f t="shared" si="7"/>
        <v>0.71111111111111114</v>
      </c>
      <c r="AW21" s="81">
        <f t="shared" si="8"/>
        <v>0</v>
      </c>
      <c r="AX21" s="81">
        <f t="shared" si="9"/>
        <v>0</v>
      </c>
      <c r="AY21" s="77">
        <f t="shared" si="10"/>
        <v>0</v>
      </c>
      <c r="AZ21" s="82">
        <f t="shared" si="11"/>
        <v>0</v>
      </c>
      <c r="BA21" s="79">
        <f t="shared" si="12"/>
        <v>0</v>
      </c>
      <c r="BB21" s="80">
        <f>V21 - U21</f>
        <v>0.125</v>
      </c>
      <c r="BC21" s="83">
        <f>X21 - W21</f>
        <v>0.21111111111111114</v>
      </c>
      <c r="BD21" s="83">
        <f>Z21 - Y21</f>
        <v>0</v>
      </c>
      <c r="BE21" s="83">
        <f>AB21 - AA21</f>
        <v>0</v>
      </c>
      <c r="BF21" s="83">
        <f>AD21 - AC21</f>
        <v>0</v>
      </c>
      <c r="BG21" s="83">
        <f>AF21 - AE21</f>
        <v>0</v>
      </c>
      <c r="BH21" s="83">
        <f>AH21 - AG21</f>
        <v>0</v>
      </c>
      <c r="BI21" s="83">
        <f>AJ21 - AI21</f>
        <v>0</v>
      </c>
      <c r="BJ21" s="83">
        <f>AL21 - AK21</f>
        <v>0</v>
      </c>
      <c r="BK21" s="83">
        <f>AN21 - AM21</f>
        <v>0</v>
      </c>
      <c r="BL21" s="84">
        <f>ROUNDUP(SUM(BB21:BK21) * 288, 0) / 288</f>
        <v>0.33680555555555558</v>
      </c>
      <c r="BM21" s="71">
        <v>45917</v>
      </c>
    </row>
    <row r="22" spans="1:65" x14ac:dyDescent="0.25">
      <c r="A22" s="72">
        <v>0.25347222222222221</v>
      </c>
      <c r="B22" s="73">
        <v>0.45902777777777781</v>
      </c>
      <c r="C22" s="72">
        <v>0.50069444444444444</v>
      </c>
      <c r="D22" s="73">
        <v>0.65</v>
      </c>
      <c r="E22" s="72">
        <v>0</v>
      </c>
      <c r="F22" s="73">
        <v>0</v>
      </c>
      <c r="G22" s="72">
        <v>0</v>
      </c>
      <c r="H22" s="73">
        <v>0</v>
      </c>
      <c r="I22" s="72">
        <v>0</v>
      </c>
      <c r="J22" s="73">
        <v>0</v>
      </c>
      <c r="K22" s="72">
        <v>0</v>
      </c>
      <c r="L22" s="73">
        <v>0</v>
      </c>
      <c r="M22" s="72">
        <v>0</v>
      </c>
      <c r="N22" s="73">
        <v>0</v>
      </c>
      <c r="O22" s="72">
        <v>0</v>
      </c>
      <c r="P22" s="73">
        <v>0</v>
      </c>
      <c r="Q22" s="72">
        <v>0</v>
      </c>
      <c r="R22" s="73">
        <v>0</v>
      </c>
      <c r="S22" s="72">
        <v>0</v>
      </c>
      <c r="T22" s="73">
        <v>0</v>
      </c>
      <c r="U22" s="74">
        <v>0.25347222222222221</v>
      </c>
      <c r="V22" s="73">
        <v>0.45902777777777781</v>
      </c>
      <c r="W22" s="72">
        <v>0.50069444444444444</v>
      </c>
      <c r="X22" s="73">
        <v>0.65</v>
      </c>
      <c r="Y22" s="72"/>
      <c r="Z22" s="73"/>
      <c r="AA22" s="72"/>
      <c r="AB22" s="73"/>
      <c r="AC22" s="75"/>
      <c r="AD22" s="73"/>
      <c r="AE22" s="75"/>
      <c r="AF22" s="73"/>
      <c r="AG22" s="75"/>
      <c r="AH22" s="73"/>
      <c r="AI22" s="75"/>
      <c r="AJ22" s="73"/>
      <c r="AK22" s="75"/>
      <c r="AL22" s="73"/>
      <c r="AM22" s="72"/>
      <c r="AN22" s="76"/>
      <c r="AO22" s="77">
        <f t="shared" si="0"/>
        <v>0</v>
      </c>
      <c r="AP22" s="78">
        <f t="shared" si="1"/>
        <v>0</v>
      </c>
      <c r="AQ22" s="78">
        <f t="shared" si="2"/>
        <v>0</v>
      </c>
      <c r="AR22" s="79">
        <f t="shared" si="3"/>
        <v>0</v>
      </c>
      <c r="AS22" s="80">
        <f t="shared" si="4"/>
        <v>0.25347222222222221</v>
      </c>
      <c r="AT22" s="81">
        <f t="shared" si="5"/>
        <v>0.45902777777777781</v>
      </c>
      <c r="AU22" s="81">
        <f t="shared" si="6"/>
        <v>0.50069444444444444</v>
      </c>
      <c r="AV22" s="81">
        <f t="shared" si="7"/>
        <v>0.65</v>
      </c>
      <c r="AW22" s="81">
        <f t="shared" si="8"/>
        <v>0</v>
      </c>
      <c r="AX22" s="81">
        <f t="shared" si="9"/>
        <v>0</v>
      </c>
      <c r="AY22" s="77">
        <f t="shared" si="10"/>
        <v>0</v>
      </c>
      <c r="AZ22" s="82">
        <f t="shared" si="11"/>
        <v>0</v>
      </c>
      <c r="BA22" s="79">
        <f t="shared" si="12"/>
        <v>0</v>
      </c>
      <c r="BB22" s="80">
        <f>V22 - U22</f>
        <v>0.2055555555555556</v>
      </c>
      <c r="BC22" s="83">
        <f>X22 - W22</f>
        <v>0.14930555555555558</v>
      </c>
      <c r="BD22" s="83">
        <f>Z22 - Y22</f>
        <v>0</v>
      </c>
      <c r="BE22" s="83">
        <f>AB22 - AA22</f>
        <v>0</v>
      </c>
      <c r="BF22" s="83">
        <f>AD22 - AC22</f>
        <v>0</v>
      </c>
      <c r="BG22" s="83">
        <f>AF22 - AE22</f>
        <v>0</v>
      </c>
      <c r="BH22" s="83">
        <f>AH22 - AG22</f>
        <v>0</v>
      </c>
      <c r="BI22" s="83">
        <f>AJ22 - AI22</f>
        <v>0</v>
      </c>
      <c r="BJ22" s="83">
        <f>AL22 - AK22</f>
        <v>0</v>
      </c>
      <c r="BK22" s="83">
        <f>AN22 - AM22</f>
        <v>0</v>
      </c>
      <c r="BL22" s="84">
        <f>ROUNDUP(SUM(BB22:BK22) * 288, 0) / 288</f>
        <v>0.3576388888888889</v>
      </c>
      <c r="BM22" s="71">
        <v>45918</v>
      </c>
    </row>
    <row r="23" spans="1:65" x14ac:dyDescent="0.25">
      <c r="A23" s="72">
        <v>0.375</v>
      </c>
      <c r="B23" s="73">
        <v>0.5131944444444444</v>
      </c>
      <c r="C23" s="72">
        <v>0.55486111111111114</v>
      </c>
      <c r="D23" s="73">
        <v>0.66666666666666663</v>
      </c>
      <c r="E23" s="72">
        <v>0</v>
      </c>
      <c r="F23" s="73">
        <v>0</v>
      </c>
      <c r="G23" s="72">
        <v>0</v>
      </c>
      <c r="H23" s="73">
        <v>0</v>
      </c>
      <c r="I23" s="72">
        <v>0</v>
      </c>
      <c r="J23" s="73">
        <v>0</v>
      </c>
      <c r="K23" s="72">
        <v>0</v>
      </c>
      <c r="L23" s="73">
        <v>0</v>
      </c>
      <c r="M23" s="72">
        <v>0</v>
      </c>
      <c r="N23" s="73">
        <v>0</v>
      </c>
      <c r="O23" s="72">
        <v>0</v>
      </c>
      <c r="P23" s="73">
        <v>0</v>
      </c>
      <c r="Q23" s="72">
        <v>0</v>
      </c>
      <c r="R23" s="73">
        <v>0</v>
      </c>
      <c r="S23" s="72">
        <v>0</v>
      </c>
      <c r="T23" s="73">
        <v>0</v>
      </c>
      <c r="U23" s="74">
        <v>0.375</v>
      </c>
      <c r="V23" s="73">
        <v>0.5131944444444444</v>
      </c>
      <c r="W23" s="72">
        <v>0.55486111111111114</v>
      </c>
      <c r="X23" s="73">
        <v>0.66666666666666663</v>
      </c>
      <c r="Y23" s="72"/>
      <c r="Z23" s="73"/>
      <c r="AA23" s="72"/>
      <c r="AB23" s="73"/>
      <c r="AC23" s="75"/>
      <c r="AD23" s="73"/>
      <c r="AE23" s="75"/>
      <c r="AF23" s="73"/>
      <c r="AG23" s="75"/>
      <c r="AH23" s="73"/>
      <c r="AI23" s="75"/>
      <c r="AJ23" s="73"/>
      <c r="AK23" s="75"/>
      <c r="AL23" s="73"/>
      <c r="AM23" s="72"/>
      <c r="AN23" s="76"/>
      <c r="AO23" s="77">
        <f t="shared" si="0"/>
        <v>1</v>
      </c>
      <c r="AP23" s="78">
        <f t="shared" si="1"/>
        <v>0</v>
      </c>
      <c r="AQ23" s="78">
        <f t="shared" si="2"/>
        <v>0</v>
      </c>
      <c r="AR23" s="79">
        <f t="shared" si="3"/>
        <v>0</v>
      </c>
      <c r="AS23" s="80">
        <f t="shared" si="4"/>
        <v>0.375</v>
      </c>
      <c r="AT23" s="81">
        <f t="shared" si="5"/>
        <v>0.5131944444444444</v>
      </c>
      <c r="AU23" s="81">
        <f t="shared" si="6"/>
        <v>0.55486111111111114</v>
      </c>
      <c r="AV23" s="81">
        <f t="shared" si="7"/>
        <v>0.66666666666666663</v>
      </c>
      <c r="AW23" s="81">
        <f t="shared" si="8"/>
        <v>0</v>
      </c>
      <c r="AX23" s="81">
        <f t="shared" si="9"/>
        <v>0</v>
      </c>
      <c r="AY23" s="77">
        <f t="shared" si="10"/>
        <v>0</v>
      </c>
      <c r="AZ23" s="82">
        <f t="shared" si="11"/>
        <v>0</v>
      </c>
      <c r="BA23" s="79">
        <f t="shared" si="12"/>
        <v>0</v>
      </c>
      <c r="BB23" s="80">
        <f>V23 - U23</f>
        <v>0.1381944444444444</v>
      </c>
      <c r="BC23" s="83">
        <f>X23 - W23</f>
        <v>0.11180555555555549</v>
      </c>
      <c r="BD23" s="83">
        <f>Z23 - Y23</f>
        <v>0</v>
      </c>
      <c r="BE23" s="83">
        <f>AB23 - AA23</f>
        <v>0</v>
      </c>
      <c r="BF23" s="83">
        <f>AD23 - AC23</f>
        <v>0</v>
      </c>
      <c r="BG23" s="83">
        <f>AF23 - AE23</f>
        <v>0</v>
      </c>
      <c r="BH23" s="83">
        <f>AH23 - AG23</f>
        <v>0</v>
      </c>
      <c r="BI23" s="83">
        <f>AJ23 - AI23</f>
        <v>0</v>
      </c>
      <c r="BJ23" s="83">
        <f>AL23 - AK23</f>
        <v>0</v>
      </c>
      <c r="BK23" s="83">
        <f>AN23 - AM23</f>
        <v>0</v>
      </c>
      <c r="BL23" s="84">
        <f>ROUNDUP(SUM(BB23:BK23) * 288, 0) / 288</f>
        <v>0.25</v>
      </c>
      <c r="BM23" s="71">
        <v>45919</v>
      </c>
    </row>
    <row r="24" spans="1:65" x14ac:dyDescent="0.25">
      <c r="A24" s="72">
        <v>0</v>
      </c>
      <c r="B24" s="73">
        <v>0</v>
      </c>
      <c r="C24" s="72">
        <v>0</v>
      </c>
      <c r="D24" s="73">
        <v>0</v>
      </c>
      <c r="E24" s="72">
        <v>0</v>
      </c>
      <c r="F24" s="73">
        <v>0</v>
      </c>
      <c r="G24" s="72">
        <v>0</v>
      </c>
      <c r="H24" s="73">
        <v>0</v>
      </c>
      <c r="I24" s="72">
        <v>0</v>
      </c>
      <c r="J24" s="73">
        <v>0</v>
      </c>
      <c r="K24" s="72">
        <v>0</v>
      </c>
      <c r="L24" s="73">
        <v>0</v>
      </c>
      <c r="M24" s="72">
        <v>0</v>
      </c>
      <c r="N24" s="73">
        <v>0</v>
      </c>
      <c r="O24" s="72">
        <v>0</v>
      </c>
      <c r="P24" s="73">
        <v>0</v>
      </c>
      <c r="Q24" s="72">
        <v>0</v>
      </c>
      <c r="R24" s="73">
        <v>0</v>
      </c>
      <c r="S24" s="72">
        <v>0</v>
      </c>
      <c r="T24" s="73">
        <v>0</v>
      </c>
      <c r="U24" s="74">
        <v>0</v>
      </c>
      <c r="V24" s="73">
        <v>0</v>
      </c>
      <c r="W24" s="72">
        <v>0</v>
      </c>
      <c r="X24" s="73">
        <v>0</v>
      </c>
      <c r="Y24" s="72">
        <v>0</v>
      </c>
      <c r="Z24" s="73">
        <v>0</v>
      </c>
      <c r="AA24" s="72">
        <v>0</v>
      </c>
      <c r="AB24" s="73">
        <v>0</v>
      </c>
      <c r="AC24" s="75">
        <v>0</v>
      </c>
      <c r="AD24" s="73">
        <v>0</v>
      </c>
      <c r="AE24" s="75">
        <v>0</v>
      </c>
      <c r="AF24" s="73">
        <v>0</v>
      </c>
      <c r="AG24" s="75">
        <v>0</v>
      </c>
      <c r="AH24" s="73">
        <v>0</v>
      </c>
      <c r="AI24" s="75">
        <v>0</v>
      </c>
      <c r="AJ24" s="73">
        <v>0</v>
      </c>
      <c r="AK24" s="75">
        <v>0</v>
      </c>
      <c r="AL24" s="73">
        <v>0</v>
      </c>
      <c r="AM24" s="72">
        <v>0</v>
      </c>
      <c r="AN24" s="76">
        <v>0</v>
      </c>
      <c r="AO24" s="77">
        <f t="shared" si="0"/>
        <v>0</v>
      </c>
      <c r="AP24" s="78">
        <f t="shared" si="1"/>
        <v>0</v>
      </c>
      <c r="AQ24" s="78">
        <f t="shared" si="2"/>
        <v>0</v>
      </c>
      <c r="AR24" s="79">
        <f t="shared" si="3"/>
        <v>0</v>
      </c>
      <c r="AS24" s="80">
        <f t="shared" si="4"/>
        <v>0</v>
      </c>
      <c r="AT24" s="81">
        <f t="shared" si="5"/>
        <v>0</v>
      </c>
      <c r="AU24" s="81">
        <f t="shared" si="6"/>
        <v>0</v>
      </c>
      <c r="AV24" s="81">
        <f t="shared" si="7"/>
        <v>0</v>
      </c>
      <c r="AW24" s="81">
        <f t="shared" si="8"/>
        <v>0</v>
      </c>
      <c r="AX24" s="81">
        <f t="shared" si="9"/>
        <v>0</v>
      </c>
      <c r="AY24" s="77">
        <f t="shared" si="10"/>
        <v>0</v>
      </c>
      <c r="AZ24" s="82">
        <f t="shared" si="11"/>
        <v>0</v>
      </c>
      <c r="BA24" s="79">
        <f t="shared" si="12"/>
        <v>0</v>
      </c>
      <c r="BB24" s="80">
        <f>V24 - U24</f>
        <v>0</v>
      </c>
      <c r="BC24" s="83">
        <f>X24 - W24</f>
        <v>0</v>
      </c>
      <c r="BD24" s="83">
        <f>Z24 - Y24</f>
        <v>0</v>
      </c>
      <c r="BE24" s="83">
        <f>AB24 - AA24</f>
        <v>0</v>
      </c>
      <c r="BF24" s="83">
        <f>AD24 - AC24</f>
        <v>0</v>
      </c>
      <c r="BG24" s="83">
        <f>AF24 - AE24</f>
        <v>0</v>
      </c>
      <c r="BH24" s="83">
        <f>AH24 - AG24</f>
        <v>0</v>
      </c>
      <c r="BI24" s="83">
        <f>AJ24 - AI24</f>
        <v>0</v>
      </c>
      <c r="BJ24" s="83">
        <f>AL24 - AK24</f>
        <v>0</v>
      </c>
      <c r="BK24" s="83">
        <f>AN24 - AM24</f>
        <v>0</v>
      </c>
      <c r="BL24" s="84">
        <f>ROUNDUP(SUM(BB24:BK24) * 288, 0) / 288</f>
        <v>0</v>
      </c>
      <c r="BM24" s="71">
        <v>0</v>
      </c>
    </row>
    <row r="25" spans="1:65" x14ac:dyDescent="0.25">
      <c r="A25" s="72">
        <v>0</v>
      </c>
      <c r="B25" s="73">
        <v>0</v>
      </c>
      <c r="C25" s="72">
        <v>0</v>
      </c>
      <c r="D25" s="73">
        <v>0</v>
      </c>
      <c r="E25" s="72">
        <v>0</v>
      </c>
      <c r="F25" s="73">
        <v>0</v>
      </c>
      <c r="G25" s="72">
        <v>0</v>
      </c>
      <c r="H25" s="73">
        <v>0</v>
      </c>
      <c r="I25" s="72">
        <v>0</v>
      </c>
      <c r="J25" s="73">
        <v>0</v>
      </c>
      <c r="K25" s="72">
        <v>0</v>
      </c>
      <c r="L25" s="73">
        <v>0</v>
      </c>
      <c r="M25" s="72">
        <v>0</v>
      </c>
      <c r="N25" s="73">
        <v>0</v>
      </c>
      <c r="O25" s="72">
        <v>0</v>
      </c>
      <c r="P25" s="73">
        <v>0</v>
      </c>
      <c r="Q25" s="72">
        <v>0</v>
      </c>
      <c r="R25" s="73">
        <v>0</v>
      </c>
      <c r="S25" s="72">
        <v>0</v>
      </c>
      <c r="T25" s="73">
        <v>0</v>
      </c>
      <c r="U25" s="74">
        <v>0</v>
      </c>
      <c r="V25" s="73">
        <v>0</v>
      </c>
      <c r="W25" s="72">
        <v>0</v>
      </c>
      <c r="X25" s="73">
        <v>0</v>
      </c>
      <c r="Y25" s="72">
        <v>0</v>
      </c>
      <c r="Z25" s="73">
        <v>0</v>
      </c>
      <c r="AA25" s="72">
        <v>0</v>
      </c>
      <c r="AB25" s="73">
        <v>0</v>
      </c>
      <c r="AC25" s="75">
        <v>0</v>
      </c>
      <c r="AD25" s="73">
        <v>0</v>
      </c>
      <c r="AE25" s="75">
        <v>0</v>
      </c>
      <c r="AF25" s="73">
        <v>0</v>
      </c>
      <c r="AG25" s="75">
        <v>0</v>
      </c>
      <c r="AH25" s="73">
        <v>0</v>
      </c>
      <c r="AI25" s="75">
        <v>0</v>
      </c>
      <c r="AJ25" s="73">
        <v>0</v>
      </c>
      <c r="AK25" s="75">
        <v>0</v>
      </c>
      <c r="AL25" s="73">
        <v>0</v>
      </c>
      <c r="AM25" s="72">
        <v>0</v>
      </c>
      <c r="AN25" s="76">
        <v>0</v>
      </c>
      <c r="AO25" s="77">
        <f t="shared" si="0"/>
        <v>0</v>
      </c>
      <c r="AP25" s="78">
        <f t="shared" si="1"/>
        <v>0</v>
      </c>
      <c r="AQ25" s="78">
        <f t="shared" si="2"/>
        <v>0</v>
      </c>
      <c r="AR25" s="79">
        <f t="shared" si="3"/>
        <v>0</v>
      </c>
      <c r="AS25" s="80">
        <f t="shared" si="4"/>
        <v>0</v>
      </c>
      <c r="AT25" s="81">
        <f t="shared" si="5"/>
        <v>0</v>
      </c>
      <c r="AU25" s="81">
        <f t="shared" si="6"/>
        <v>0</v>
      </c>
      <c r="AV25" s="81">
        <f t="shared" si="7"/>
        <v>0</v>
      </c>
      <c r="AW25" s="81">
        <f t="shared" si="8"/>
        <v>0</v>
      </c>
      <c r="AX25" s="81">
        <f t="shared" si="9"/>
        <v>0</v>
      </c>
      <c r="AY25" s="77">
        <f t="shared" si="10"/>
        <v>0</v>
      </c>
      <c r="AZ25" s="82">
        <f t="shared" si="11"/>
        <v>0</v>
      </c>
      <c r="BA25" s="79">
        <f t="shared" si="12"/>
        <v>0</v>
      </c>
      <c r="BB25" s="80">
        <f>V25 - U25</f>
        <v>0</v>
      </c>
      <c r="BC25" s="83">
        <f>X25 - W25</f>
        <v>0</v>
      </c>
      <c r="BD25" s="83">
        <f>Z25 - Y25</f>
        <v>0</v>
      </c>
      <c r="BE25" s="83">
        <f>AB25 - AA25</f>
        <v>0</v>
      </c>
      <c r="BF25" s="83">
        <f>AD25 - AC25</f>
        <v>0</v>
      </c>
      <c r="BG25" s="83">
        <f>AF25 - AE25</f>
        <v>0</v>
      </c>
      <c r="BH25" s="83">
        <f>AH25 - AG25</f>
        <v>0</v>
      </c>
      <c r="BI25" s="83">
        <f>AJ25 - AI25</f>
        <v>0</v>
      </c>
      <c r="BJ25" s="83">
        <f>AL25 - AK25</f>
        <v>0</v>
      </c>
      <c r="BK25" s="83">
        <f>AN25 - AM25</f>
        <v>0</v>
      </c>
      <c r="BL25" s="84">
        <f>ROUNDUP(SUM(BB25:BK25) * 288, 0) / 288</f>
        <v>0</v>
      </c>
      <c r="BM25" s="71">
        <v>0</v>
      </c>
    </row>
    <row r="26" spans="1:65" x14ac:dyDescent="0.25">
      <c r="A26" s="72">
        <v>0</v>
      </c>
      <c r="B26" s="73">
        <v>0</v>
      </c>
      <c r="C26" s="72">
        <v>0</v>
      </c>
      <c r="D26" s="73">
        <v>0</v>
      </c>
      <c r="E26" s="72">
        <v>0</v>
      </c>
      <c r="F26" s="73">
        <v>0</v>
      </c>
      <c r="G26" s="72">
        <v>0</v>
      </c>
      <c r="H26" s="73">
        <v>0</v>
      </c>
      <c r="I26" s="72">
        <v>0</v>
      </c>
      <c r="J26" s="73">
        <v>0</v>
      </c>
      <c r="K26" s="72">
        <v>0</v>
      </c>
      <c r="L26" s="73">
        <v>0</v>
      </c>
      <c r="M26" s="72">
        <v>0</v>
      </c>
      <c r="N26" s="73">
        <v>0</v>
      </c>
      <c r="O26" s="72">
        <v>0</v>
      </c>
      <c r="P26" s="73">
        <v>0</v>
      </c>
      <c r="Q26" s="72">
        <v>0</v>
      </c>
      <c r="R26" s="73">
        <v>0</v>
      </c>
      <c r="S26" s="72">
        <v>0</v>
      </c>
      <c r="T26" s="73">
        <v>0</v>
      </c>
      <c r="U26" s="74">
        <v>0</v>
      </c>
      <c r="V26" s="73">
        <v>0</v>
      </c>
      <c r="W26" s="72">
        <v>0</v>
      </c>
      <c r="X26" s="73">
        <v>0</v>
      </c>
      <c r="Y26" s="72">
        <v>0</v>
      </c>
      <c r="Z26" s="73">
        <v>0</v>
      </c>
      <c r="AA26" s="72">
        <v>0</v>
      </c>
      <c r="AB26" s="73">
        <v>0</v>
      </c>
      <c r="AC26" s="75">
        <v>0</v>
      </c>
      <c r="AD26" s="73">
        <v>0</v>
      </c>
      <c r="AE26" s="75">
        <v>0</v>
      </c>
      <c r="AF26" s="73">
        <v>0</v>
      </c>
      <c r="AG26" s="75">
        <v>0</v>
      </c>
      <c r="AH26" s="73">
        <v>0</v>
      </c>
      <c r="AI26" s="75">
        <v>0</v>
      </c>
      <c r="AJ26" s="73">
        <v>0</v>
      </c>
      <c r="AK26" s="75">
        <v>0</v>
      </c>
      <c r="AL26" s="73">
        <v>0</v>
      </c>
      <c r="AM26" s="72">
        <v>0</v>
      </c>
      <c r="AN26" s="76">
        <v>0</v>
      </c>
      <c r="AO26" s="77">
        <f t="shared" si="0"/>
        <v>0</v>
      </c>
      <c r="AP26" s="78">
        <f t="shared" si="1"/>
        <v>0</v>
      </c>
      <c r="AQ26" s="78">
        <f t="shared" si="2"/>
        <v>0</v>
      </c>
      <c r="AR26" s="79">
        <f t="shared" si="3"/>
        <v>0</v>
      </c>
      <c r="AS26" s="80">
        <f t="shared" si="4"/>
        <v>0</v>
      </c>
      <c r="AT26" s="81">
        <f t="shared" si="5"/>
        <v>0</v>
      </c>
      <c r="AU26" s="81">
        <f t="shared" si="6"/>
        <v>0</v>
      </c>
      <c r="AV26" s="81">
        <f t="shared" si="7"/>
        <v>0</v>
      </c>
      <c r="AW26" s="81">
        <f t="shared" si="8"/>
        <v>0</v>
      </c>
      <c r="AX26" s="81">
        <f t="shared" si="9"/>
        <v>0</v>
      </c>
      <c r="AY26" s="77">
        <f t="shared" si="10"/>
        <v>0</v>
      </c>
      <c r="AZ26" s="82">
        <f t="shared" si="11"/>
        <v>0</v>
      </c>
      <c r="BA26" s="79">
        <f t="shared" si="12"/>
        <v>0</v>
      </c>
      <c r="BB26" s="80">
        <f>V26 - U26</f>
        <v>0</v>
      </c>
      <c r="BC26" s="83">
        <f>X26 - W26</f>
        <v>0</v>
      </c>
      <c r="BD26" s="83">
        <f>Z26 - Y26</f>
        <v>0</v>
      </c>
      <c r="BE26" s="83">
        <f>AB26 - AA26</f>
        <v>0</v>
      </c>
      <c r="BF26" s="83">
        <f>AD26 - AC26</f>
        <v>0</v>
      </c>
      <c r="BG26" s="83">
        <f>AF26 - AE26</f>
        <v>0</v>
      </c>
      <c r="BH26" s="83">
        <f>AH26 - AG26</f>
        <v>0</v>
      </c>
      <c r="BI26" s="83">
        <f>AJ26 - AI26</f>
        <v>0</v>
      </c>
      <c r="BJ26" s="83">
        <f>AL26 - AK26</f>
        <v>0</v>
      </c>
      <c r="BK26" s="83">
        <f>AN26 - AM26</f>
        <v>0</v>
      </c>
      <c r="BL26" s="84">
        <f>ROUNDUP(SUM(BB26:BK26) * 288, 0) / 288</f>
        <v>0</v>
      </c>
      <c r="BM26" s="71">
        <v>0</v>
      </c>
    </row>
    <row r="27" spans="1:65" x14ac:dyDescent="0.25">
      <c r="A27" s="72">
        <v>0</v>
      </c>
      <c r="B27" s="73">
        <v>0</v>
      </c>
      <c r="C27" s="72">
        <v>0</v>
      </c>
      <c r="D27" s="73">
        <v>0</v>
      </c>
      <c r="E27" s="72">
        <v>0</v>
      </c>
      <c r="F27" s="73">
        <v>0</v>
      </c>
      <c r="G27" s="72">
        <v>0</v>
      </c>
      <c r="H27" s="73">
        <v>0</v>
      </c>
      <c r="I27" s="72">
        <v>0</v>
      </c>
      <c r="J27" s="73">
        <v>0</v>
      </c>
      <c r="K27" s="72">
        <v>0</v>
      </c>
      <c r="L27" s="73">
        <v>0</v>
      </c>
      <c r="M27" s="72">
        <v>0</v>
      </c>
      <c r="N27" s="73">
        <v>0</v>
      </c>
      <c r="O27" s="72">
        <v>0</v>
      </c>
      <c r="P27" s="73">
        <v>0</v>
      </c>
      <c r="Q27" s="72">
        <v>0</v>
      </c>
      <c r="R27" s="73">
        <v>0</v>
      </c>
      <c r="S27" s="72">
        <v>0</v>
      </c>
      <c r="T27" s="73">
        <v>0</v>
      </c>
      <c r="U27" s="74">
        <v>0</v>
      </c>
      <c r="V27" s="73">
        <v>0</v>
      </c>
      <c r="W27" s="72">
        <v>0</v>
      </c>
      <c r="X27" s="73">
        <v>0</v>
      </c>
      <c r="Y27" s="72">
        <v>0</v>
      </c>
      <c r="Z27" s="73">
        <v>0</v>
      </c>
      <c r="AA27" s="72">
        <v>0</v>
      </c>
      <c r="AB27" s="73">
        <v>0</v>
      </c>
      <c r="AC27" s="75">
        <v>0</v>
      </c>
      <c r="AD27" s="73">
        <v>0</v>
      </c>
      <c r="AE27" s="75">
        <v>0</v>
      </c>
      <c r="AF27" s="73">
        <v>0</v>
      </c>
      <c r="AG27" s="75">
        <v>0</v>
      </c>
      <c r="AH27" s="73">
        <v>0</v>
      </c>
      <c r="AI27" s="75">
        <v>0</v>
      </c>
      <c r="AJ27" s="73">
        <v>0</v>
      </c>
      <c r="AK27" s="75">
        <v>0</v>
      </c>
      <c r="AL27" s="73">
        <v>0</v>
      </c>
      <c r="AM27" s="72">
        <v>0</v>
      </c>
      <c r="AN27" s="76">
        <v>0</v>
      </c>
      <c r="AO27" s="77">
        <f t="shared" si="0"/>
        <v>0</v>
      </c>
      <c r="AP27" s="78">
        <f t="shared" si="1"/>
        <v>0</v>
      </c>
      <c r="AQ27" s="78">
        <f t="shared" si="2"/>
        <v>0</v>
      </c>
      <c r="AR27" s="79">
        <f t="shared" si="3"/>
        <v>0</v>
      </c>
      <c r="AS27" s="80">
        <f t="shared" si="4"/>
        <v>0</v>
      </c>
      <c r="AT27" s="81">
        <f t="shared" si="5"/>
        <v>0</v>
      </c>
      <c r="AU27" s="81">
        <f t="shared" si="6"/>
        <v>0</v>
      </c>
      <c r="AV27" s="81">
        <f t="shared" si="7"/>
        <v>0</v>
      </c>
      <c r="AW27" s="81">
        <f t="shared" si="8"/>
        <v>0</v>
      </c>
      <c r="AX27" s="81">
        <f t="shared" si="9"/>
        <v>0</v>
      </c>
      <c r="AY27" s="77">
        <f t="shared" si="10"/>
        <v>0</v>
      </c>
      <c r="AZ27" s="82">
        <f t="shared" si="11"/>
        <v>0</v>
      </c>
      <c r="BA27" s="79">
        <f t="shared" si="12"/>
        <v>0</v>
      </c>
      <c r="BB27" s="80">
        <f>V27 - U27</f>
        <v>0</v>
      </c>
      <c r="BC27" s="83">
        <f>X27 - W27</f>
        <v>0</v>
      </c>
      <c r="BD27" s="83">
        <f>Z27 - Y27</f>
        <v>0</v>
      </c>
      <c r="BE27" s="83">
        <f>AB27 - AA27</f>
        <v>0</v>
      </c>
      <c r="BF27" s="83">
        <f>AD27 - AC27</f>
        <v>0</v>
      </c>
      <c r="BG27" s="83">
        <f>AF27 - AE27</f>
        <v>0</v>
      </c>
      <c r="BH27" s="83">
        <f>AH27 - AG27</f>
        <v>0</v>
      </c>
      <c r="BI27" s="83">
        <f>AJ27 - AI27</f>
        <v>0</v>
      </c>
      <c r="BJ27" s="83">
        <f>AL27 - AK27</f>
        <v>0</v>
      </c>
      <c r="BK27" s="83">
        <f>AN27 - AM27</f>
        <v>0</v>
      </c>
      <c r="BL27" s="84">
        <f>ROUNDUP(SUM(BB27:BK27) * 288, 0) / 288</f>
        <v>0</v>
      </c>
      <c r="BM27" s="71">
        <v>0</v>
      </c>
    </row>
    <row r="28" spans="1:65" x14ac:dyDescent="0.25">
      <c r="A28" s="72">
        <v>0</v>
      </c>
      <c r="B28" s="73">
        <v>0</v>
      </c>
      <c r="C28" s="72">
        <v>0</v>
      </c>
      <c r="D28" s="73">
        <v>0</v>
      </c>
      <c r="E28" s="72">
        <v>0</v>
      </c>
      <c r="F28" s="73">
        <v>0</v>
      </c>
      <c r="G28" s="72">
        <v>0</v>
      </c>
      <c r="H28" s="73">
        <v>0</v>
      </c>
      <c r="I28" s="72">
        <v>0</v>
      </c>
      <c r="J28" s="73">
        <v>0</v>
      </c>
      <c r="K28" s="72">
        <v>0</v>
      </c>
      <c r="L28" s="73">
        <v>0</v>
      </c>
      <c r="M28" s="72">
        <v>0</v>
      </c>
      <c r="N28" s="73">
        <v>0</v>
      </c>
      <c r="O28" s="72">
        <v>0</v>
      </c>
      <c r="P28" s="73">
        <v>0</v>
      </c>
      <c r="Q28" s="72">
        <v>0</v>
      </c>
      <c r="R28" s="73">
        <v>0</v>
      </c>
      <c r="S28" s="72">
        <v>0</v>
      </c>
      <c r="T28" s="73">
        <v>0</v>
      </c>
      <c r="U28" s="74">
        <v>0</v>
      </c>
      <c r="V28" s="73">
        <v>0</v>
      </c>
      <c r="W28" s="72">
        <v>0</v>
      </c>
      <c r="X28" s="73">
        <v>0</v>
      </c>
      <c r="Y28" s="72">
        <v>0</v>
      </c>
      <c r="Z28" s="73">
        <v>0</v>
      </c>
      <c r="AA28" s="72">
        <v>0</v>
      </c>
      <c r="AB28" s="73">
        <v>0</v>
      </c>
      <c r="AC28" s="75">
        <v>0</v>
      </c>
      <c r="AD28" s="73">
        <v>0</v>
      </c>
      <c r="AE28" s="75">
        <v>0</v>
      </c>
      <c r="AF28" s="73">
        <v>0</v>
      </c>
      <c r="AG28" s="75">
        <v>0</v>
      </c>
      <c r="AH28" s="73">
        <v>0</v>
      </c>
      <c r="AI28" s="75">
        <v>0</v>
      </c>
      <c r="AJ28" s="73">
        <v>0</v>
      </c>
      <c r="AK28" s="75">
        <v>0</v>
      </c>
      <c r="AL28" s="73">
        <v>0</v>
      </c>
      <c r="AM28" s="72">
        <v>0</v>
      </c>
      <c r="AN28" s="76">
        <v>0</v>
      </c>
      <c r="AO28" s="77">
        <f t="shared" si="0"/>
        <v>0</v>
      </c>
      <c r="AP28" s="78">
        <f t="shared" si="1"/>
        <v>0</v>
      </c>
      <c r="AQ28" s="78">
        <f t="shared" si="2"/>
        <v>0</v>
      </c>
      <c r="AR28" s="79">
        <f t="shared" si="3"/>
        <v>0</v>
      </c>
      <c r="AS28" s="80">
        <f t="shared" si="4"/>
        <v>0</v>
      </c>
      <c r="AT28" s="81">
        <f t="shared" si="5"/>
        <v>0</v>
      </c>
      <c r="AU28" s="81">
        <f t="shared" si="6"/>
        <v>0</v>
      </c>
      <c r="AV28" s="81">
        <f t="shared" si="7"/>
        <v>0</v>
      </c>
      <c r="AW28" s="81">
        <f t="shared" si="8"/>
        <v>0</v>
      </c>
      <c r="AX28" s="81">
        <f t="shared" si="9"/>
        <v>0</v>
      </c>
      <c r="AY28" s="77">
        <f t="shared" si="10"/>
        <v>0</v>
      </c>
      <c r="AZ28" s="82">
        <f t="shared" si="11"/>
        <v>0</v>
      </c>
      <c r="BA28" s="79">
        <f t="shared" si="12"/>
        <v>0</v>
      </c>
      <c r="BB28" s="80">
        <f>V28 - U28</f>
        <v>0</v>
      </c>
      <c r="BC28" s="83">
        <f>X28 - W28</f>
        <v>0</v>
      </c>
      <c r="BD28" s="83">
        <f>Z28 - Y28</f>
        <v>0</v>
      </c>
      <c r="BE28" s="83">
        <f>AB28 - AA28</f>
        <v>0</v>
      </c>
      <c r="BF28" s="83">
        <f>AD28 - AC28</f>
        <v>0</v>
      </c>
      <c r="BG28" s="83">
        <f>AF28 - AE28</f>
        <v>0</v>
      </c>
      <c r="BH28" s="83">
        <f>AH28 - AG28</f>
        <v>0</v>
      </c>
      <c r="BI28" s="83">
        <f>AJ28 - AI28</f>
        <v>0</v>
      </c>
      <c r="BJ28" s="83">
        <f>AL28 - AK28</f>
        <v>0</v>
      </c>
      <c r="BK28" s="83">
        <f>AN28 - AM28</f>
        <v>0</v>
      </c>
      <c r="BL28" s="84">
        <f>ROUNDUP(SUM(BB28:BK28) * 288, 0) / 288</f>
        <v>0</v>
      </c>
      <c r="BM28" s="71">
        <v>0</v>
      </c>
    </row>
    <row r="29" spans="1:65" x14ac:dyDescent="0.25">
      <c r="A29" s="72">
        <v>0</v>
      </c>
      <c r="B29" s="73">
        <v>0</v>
      </c>
      <c r="C29" s="72">
        <v>0</v>
      </c>
      <c r="D29" s="73">
        <v>0</v>
      </c>
      <c r="E29" s="72">
        <v>0</v>
      </c>
      <c r="F29" s="73">
        <v>0</v>
      </c>
      <c r="G29" s="72">
        <v>0</v>
      </c>
      <c r="H29" s="73">
        <v>0</v>
      </c>
      <c r="I29" s="72">
        <v>0</v>
      </c>
      <c r="J29" s="73">
        <v>0</v>
      </c>
      <c r="K29" s="72">
        <v>0</v>
      </c>
      <c r="L29" s="73">
        <v>0</v>
      </c>
      <c r="M29" s="72">
        <v>0</v>
      </c>
      <c r="N29" s="73">
        <v>0</v>
      </c>
      <c r="O29" s="72">
        <v>0</v>
      </c>
      <c r="P29" s="73">
        <v>0</v>
      </c>
      <c r="Q29" s="72">
        <v>0</v>
      </c>
      <c r="R29" s="73">
        <v>0</v>
      </c>
      <c r="S29" s="72">
        <v>0</v>
      </c>
      <c r="T29" s="73">
        <v>0</v>
      </c>
      <c r="U29" s="74">
        <v>0</v>
      </c>
      <c r="V29" s="73">
        <v>0</v>
      </c>
      <c r="W29" s="72">
        <v>0</v>
      </c>
      <c r="X29" s="73">
        <v>0</v>
      </c>
      <c r="Y29" s="72">
        <v>0</v>
      </c>
      <c r="Z29" s="73">
        <v>0</v>
      </c>
      <c r="AA29" s="72">
        <v>0</v>
      </c>
      <c r="AB29" s="73">
        <v>0</v>
      </c>
      <c r="AC29" s="75">
        <v>0</v>
      </c>
      <c r="AD29" s="73">
        <v>0</v>
      </c>
      <c r="AE29" s="75">
        <v>0</v>
      </c>
      <c r="AF29" s="73">
        <v>0</v>
      </c>
      <c r="AG29" s="75">
        <v>0</v>
      </c>
      <c r="AH29" s="73">
        <v>0</v>
      </c>
      <c r="AI29" s="75">
        <v>0</v>
      </c>
      <c r="AJ29" s="73">
        <v>0</v>
      </c>
      <c r="AK29" s="75">
        <v>0</v>
      </c>
      <c r="AL29" s="73">
        <v>0</v>
      </c>
      <c r="AM29" s="72">
        <v>0</v>
      </c>
      <c r="AN29" s="76">
        <v>0</v>
      </c>
      <c r="AO29" s="77">
        <f t="shared" si="0"/>
        <v>0</v>
      </c>
      <c r="AP29" s="78">
        <f t="shared" si="1"/>
        <v>0</v>
      </c>
      <c r="AQ29" s="78">
        <f t="shared" si="2"/>
        <v>0</v>
      </c>
      <c r="AR29" s="79">
        <f t="shared" si="3"/>
        <v>0</v>
      </c>
      <c r="AS29" s="80">
        <f t="shared" si="4"/>
        <v>0</v>
      </c>
      <c r="AT29" s="81">
        <f t="shared" si="5"/>
        <v>0</v>
      </c>
      <c r="AU29" s="81">
        <f t="shared" si="6"/>
        <v>0</v>
      </c>
      <c r="AV29" s="81">
        <f t="shared" si="7"/>
        <v>0</v>
      </c>
      <c r="AW29" s="81">
        <f t="shared" si="8"/>
        <v>0</v>
      </c>
      <c r="AX29" s="81">
        <f t="shared" si="9"/>
        <v>0</v>
      </c>
      <c r="AY29" s="77">
        <f t="shared" si="10"/>
        <v>0</v>
      </c>
      <c r="AZ29" s="82">
        <f t="shared" si="11"/>
        <v>0</v>
      </c>
      <c r="BA29" s="79">
        <f t="shared" si="12"/>
        <v>0</v>
      </c>
      <c r="BB29" s="80">
        <f>V29 - U29</f>
        <v>0</v>
      </c>
      <c r="BC29" s="83">
        <f>X29 - W29</f>
        <v>0</v>
      </c>
      <c r="BD29" s="83">
        <f>Z29 - Y29</f>
        <v>0</v>
      </c>
      <c r="BE29" s="83">
        <f>AB29 - AA29</f>
        <v>0</v>
      </c>
      <c r="BF29" s="83">
        <f>AD29 - AC29</f>
        <v>0</v>
      </c>
      <c r="BG29" s="83">
        <f>AF29 - AE29</f>
        <v>0</v>
      </c>
      <c r="BH29" s="83">
        <f>AH29 - AG29</f>
        <v>0</v>
      </c>
      <c r="BI29" s="83">
        <f>AJ29 - AI29</f>
        <v>0</v>
      </c>
      <c r="BJ29" s="83">
        <f>AL29 - AK29</f>
        <v>0</v>
      </c>
      <c r="BK29" s="83">
        <f>AN29 - AM29</f>
        <v>0</v>
      </c>
      <c r="BL29" s="84">
        <f>ROUNDUP(SUM(BB29:BK29) * 288, 0) / 288</f>
        <v>0</v>
      </c>
      <c r="BM29" s="71">
        <v>0</v>
      </c>
    </row>
    <row r="30" spans="1:65" x14ac:dyDescent="0.25">
      <c r="A30" s="72">
        <v>0</v>
      </c>
      <c r="B30" s="73">
        <v>0</v>
      </c>
      <c r="C30" s="72">
        <v>0</v>
      </c>
      <c r="D30" s="73">
        <v>0</v>
      </c>
      <c r="E30" s="72">
        <v>0</v>
      </c>
      <c r="F30" s="73">
        <v>0</v>
      </c>
      <c r="G30" s="72">
        <v>0</v>
      </c>
      <c r="H30" s="73">
        <v>0</v>
      </c>
      <c r="I30" s="72">
        <v>0</v>
      </c>
      <c r="J30" s="73">
        <v>0</v>
      </c>
      <c r="K30" s="72">
        <v>0</v>
      </c>
      <c r="L30" s="73">
        <v>0</v>
      </c>
      <c r="M30" s="72">
        <v>0</v>
      </c>
      <c r="N30" s="73">
        <v>0</v>
      </c>
      <c r="O30" s="72">
        <v>0</v>
      </c>
      <c r="P30" s="73">
        <v>0</v>
      </c>
      <c r="Q30" s="72">
        <v>0</v>
      </c>
      <c r="R30" s="73">
        <v>0</v>
      </c>
      <c r="S30" s="72">
        <v>0</v>
      </c>
      <c r="T30" s="73">
        <v>0</v>
      </c>
      <c r="U30" s="74">
        <v>0</v>
      </c>
      <c r="V30" s="73">
        <v>0</v>
      </c>
      <c r="W30" s="72">
        <v>0</v>
      </c>
      <c r="X30" s="73">
        <v>0</v>
      </c>
      <c r="Y30" s="72">
        <v>0</v>
      </c>
      <c r="Z30" s="73">
        <v>0</v>
      </c>
      <c r="AA30" s="72">
        <v>0</v>
      </c>
      <c r="AB30" s="73">
        <v>0</v>
      </c>
      <c r="AC30" s="75">
        <v>0</v>
      </c>
      <c r="AD30" s="73">
        <v>0</v>
      </c>
      <c r="AE30" s="75">
        <v>0</v>
      </c>
      <c r="AF30" s="73">
        <v>0</v>
      </c>
      <c r="AG30" s="75">
        <v>0</v>
      </c>
      <c r="AH30" s="73">
        <v>0</v>
      </c>
      <c r="AI30" s="75">
        <v>0</v>
      </c>
      <c r="AJ30" s="73">
        <v>0</v>
      </c>
      <c r="AK30" s="75">
        <v>0</v>
      </c>
      <c r="AL30" s="73">
        <v>0</v>
      </c>
      <c r="AM30" s="72">
        <v>0</v>
      </c>
      <c r="AN30" s="76">
        <v>0</v>
      </c>
      <c r="AO30" s="77">
        <f t="shared" si="0"/>
        <v>0</v>
      </c>
      <c r="AP30" s="78">
        <f t="shared" si="1"/>
        <v>0</v>
      </c>
      <c r="AQ30" s="78">
        <f t="shared" si="2"/>
        <v>0</v>
      </c>
      <c r="AR30" s="79">
        <f t="shared" si="3"/>
        <v>0</v>
      </c>
      <c r="AS30" s="80">
        <f t="shared" si="4"/>
        <v>0</v>
      </c>
      <c r="AT30" s="81">
        <f t="shared" si="5"/>
        <v>0</v>
      </c>
      <c r="AU30" s="81">
        <f t="shared" si="6"/>
        <v>0</v>
      </c>
      <c r="AV30" s="81">
        <f t="shared" si="7"/>
        <v>0</v>
      </c>
      <c r="AW30" s="81">
        <f t="shared" si="8"/>
        <v>0</v>
      </c>
      <c r="AX30" s="81">
        <f t="shared" si="9"/>
        <v>0</v>
      </c>
      <c r="AY30" s="77">
        <f t="shared" si="10"/>
        <v>0</v>
      </c>
      <c r="AZ30" s="82">
        <f t="shared" si="11"/>
        <v>0</v>
      </c>
      <c r="BA30" s="79">
        <f t="shared" si="12"/>
        <v>0</v>
      </c>
      <c r="BB30" s="80">
        <f>V30 - U30</f>
        <v>0</v>
      </c>
      <c r="BC30" s="83">
        <f>X30 - W30</f>
        <v>0</v>
      </c>
      <c r="BD30" s="83">
        <f>Z30 - Y30</f>
        <v>0</v>
      </c>
      <c r="BE30" s="83">
        <f>AB30 - AA30</f>
        <v>0</v>
      </c>
      <c r="BF30" s="83">
        <f>AD30 - AC30</f>
        <v>0</v>
      </c>
      <c r="BG30" s="83">
        <f>AF30 - AE30</f>
        <v>0</v>
      </c>
      <c r="BH30" s="83">
        <f>AH30 - AG30</f>
        <v>0</v>
      </c>
      <c r="BI30" s="83">
        <f>AJ30 - AI30</f>
        <v>0</v>
      </c>
      <c r="BJ30" s="83">
        <f>AL30 - AK30</f>
        <v>0</v>
      </c>
      <c r="BK30" s="83">
        <f>AN30 - AM30</f>
        <v>0</v>
      </c>
      <c r="BL30" s="84">
        <f>ROUNDUP(SUM(BB30:BK30) * 288, 0) / 288</f>
        <v>0</v>
      </c>
      <c r="BM30" s="71">
        <v>0</v>
      </c>
    </row>
    <row r="31" spans="1:65" x14ac:dyDescent="0.25">
      <c r="A31" s="72">
        <v>0</v>
      </c>
      <c r="B31" s="73">
        <v>0</v>
      </c>
      <c r="C31" s="72">
        <v>0</v>
      </c>
      <c r="D31" s="73">
        <v>0</v>
      </c>
      <c r="E31" s="72">
        <v>0</v>
      </c>
      <c r="F31" s="73">
        <v>0</v>
      </c>
      <c r="G31" s="72">
        <v>0</v>
      </c>
      <c r="H31" s="73">
        <v>0</v>
      </c>
      <c r="I31" s="72">
        <v>0</v>
      </c>
      <c r="J31" s="73">
        <v>0</v>
      </c>
      <c r="K31" s="72">
        <v>0</v>
      </c>
      <c r="L31" s="73">
        <v>0</v>
      </c>
      <c r="M31" s="72">
        <v>0</v>
      </c>
      <c r="N31" s="73">
        <v>0</v>
      </c>
      <c r="O31" s="72">
        <v>0</v>
      </c>
      <c r="P31" s="73">
        <v>0</v>
      </c>
      <c r="Q31" s="72">
        <v>0</v>
      </c>
      <c r="R31" s="73">
        <v>0</v>
      </c>
      <c r="S31" s="72">
        <v>0</v>
      </c>
      <c r="T31" s="73">
        <v>0</v>
      </c>
      <c r="U31" s="74">
        <v>0</v>
      </c>
      <c r="V31" s="73">
        <v>0</v>
      </c>
      <c r="W31" s="72">
        <v>0</v>
      </c>
      <c r="X31" s="73">
        <v>0</v>
      </c>
      <c r="Y31" s="72">
        <v>0</v>
      </c>
      <c r="Z31" s="73">
        <v>0</v>
      </c>
      <c r="AA31" s="72">
        <v>0</v>
      </c>
      <c r="AB31" s="73">
        <v>0</v>
      </c>
      <c r="AC31" s="75">
        <v>0</v>
      </c>
      <c r="AD31" s="73">
        <v>0</v>
      </c>
      <c r="AE31" s="75">
        <v>0</v>
      </c>
      <c r="AF31" s="73">
        <v>0</v>
      </c>
      <c r="AG31" s="75">
        <v>0</v>
      </c>
      <c r="AH31" s="73">
        <v>0</v>
      </c>
      <c r="AI31" s="75">
        <v>0</v>
      </c>
      <c r="AJ31" s="73">
        <v>0</v>
      </c>
      <c r="AK31" s="75">
        <v>0</v>
      </c>
      <c r="AL31" s="73">
        <v>0</v>
      </c>
      <c r="AM31" s="72">
        <v>0</v>
      </c>
      <c r="AN31" s="76">
        <v>0</v>
      </c>
      <c r="AO31" s="77">
        <f t="shared" si="0"/>
        <v>0</v>
      </c>
      <c r="AP31" s="78">
        <f t="shared" si="1"/>
        <v>0</v>
      </c>
      <c r="AQ31" s="78">
        <f t="shared" si="2"/>
        <v>0</v>
      </c>
      <c r="AR31" s="79">
        <f t="shared" si="3"/>
        <v>0</v>
      </c>
      <c r="AS31" s="80">
        <f t="shared" si="4"/>
        <v>0</v>
      </c>
      <c r="AT31" s="81">
        <f t="shared" si="5"/>
        <v>0</v>
      </c>
      <c r="AU31" s="81">
        <f t="shared" si="6"/>
        <v>0</v>
      </c>
      <c r="AV31" s="81">
        <f t="shared" si="7"/>
        <v>0</v>
      </c>
      <c r="AW31" s="81">
        <f t="shared" si="8"/>
        <v>0</v>
      </c>
      <c r="AX31" s="81">
        <f t="shared" si="9"/>
        <v>0</v>
      </c>
      <c r="AY31" s="77">
        <f t="shared" si="10"/>
        <v>0</v>
      </c>
      <c r="AZ31" s="82">
        <f t="shared" si="11"/>
        <v>0</v>
      </c>
      <c r="BA31" s="79">
        <f t="shared" si="12"/>
        <v>0</v>
      </c>
      <c r="BB31" s="80">
        <f>V31 - U31</f>
        <v>0</v>
      </c>
      <c r="BC31" s="83">
        <f>X31 - W31</f>
        <v>0</v>
      </c>
      <c r="BD31" s="83">
        <f>Z31 - Y31</f>
        <v>0</v>
      </c>
      <c r="BE31" s="83">
        <f>AB31 - AA31</f>
        <v>0</v>
      </c>
      <c r="BF31" s="83">
        <f>AD31 - AC31</f>
        <v>0</v>
      </c>
      <c r="BG31" s="83">
        <f>AF31 - AE31</f>
        <v>0</v>
      </c>
      <c r="BH31" s="83">
        <f>AH31 - AG31</f>
        <v>0</v>
      </c>
      <c r="BI31" s="83">
        <f>AJ31 - AI31</f>
        <v>0</v>
      </c>
      <c r="BJ31" s="83">
        <f>AL31 - AK31</f>
        <v>0</v>
      </c>
      <c r="BK31" s="83">
        <f>AN31 - AM31</f>
        <v>0</v>
      </c>
      <c r="BL31" s="84">
        <f>ROUNDUP(SUM(BB31:BK31) * 288, 0) / 288</f>
        <v>0</v>
      </c>
      <c r="BM31" s="71">
        <v>0</v>
      </c>
    </row>
    <row r="32" spans="1:65" x14ac:dyDescent="0.25">
      <c r="A32" s="72">
        <v>0</v>
      </c>
      <c r="B32" s="73">
        <v>0</v>
      </c>
      <c r="C32" s="72">
        <v>0</v>
      </c>
      <c r="D32" s="73">
        <v>0</v>
      </c>
      <c r="E32" s="72">
        <v>0</v>
      </c>
      <c r="F32" s="73">
        <v>0</v>
      </c>
      <c r="G32" s="72">
        <v>0</v>
      </c>
      <c r="H32" s="73">
        <v>0</v>
      </c>
      <c r="I32" s="72">
        <v>0</v>
      </c>
      <c r="J32" s="73">
        <v>0</v>
      </c>
      <c r="K32" s="72">
        <v>0</v>
      </c>
      <c r="L32" s="73">
        <v>0</v>
      </c>
      <c r="M32" s="72">
        <v>0</v>
      </c>
      <c r="N32" s="73">
        <v>0</v>
      </c>
      <c r="O32" s="72">
        <v>0</v>
      </c>
      <c r="P32" s="73">
        <v>0</v>
      </c>
      <c r="Q32" s="72">
        <v>0</v>
      </c>
      <c r="R32" s="73">
        <v>0</v>
      </c>
      <c r="S32" s="72">
        <v>0</v>
      </c>
      <c r="T32" s="73">
        <v>0</v>
      </c>
      <c r="U32" s="74">
        <v>0</v>
      </c>
      <c r="V32" s="73">
        <v>0</v>
      </c>
      <c r="W32" s="72">
        <v>0</v>
      </c>
      <c r="X32" s="73">
        <v>0</v>
      </c>
      <c r="Y32" s="72">
        <v>0</v>
      </c>
      <c r="Z32" s="73">
        <v>0</v>
      </c>
      <c r="AA32" s="72">
        <v>0</v>
      </c>
      <c r="AB32" s="73">
        <v>0</v>
      </c>
      <c r="AC32" s="75">
        <v>0</v>
      </c>
      <c r="AD32" s="73">
        <v>0</v>
      </c>
      <c r="AE32" s="75">
        <v>0</v>
      </c>
      <c r="AF32" s="73">
        <v>0</v>
      </c>
      <c r="AG32" s="75">
        <v>0</v>
      </c>
      <c r="AH32" s="73">
        <v>0</v>
      </c>
      <c r="AI32" s="75">
        <v>0</v>
      </c>
      <c r="AJ32" s="73">
        <v>0</v>
      </c>
      <c r="AK32" s="75">
        <v>0</v>
      </c>
      <c r="AL32" s="73">
        <v>0</v>
      </c>
      <c r="AM32" s="72">
        <v>0</v>
      </c>
      <c r="AN32" s="76">
        <v>0</v>
      </c>
      <c r="AO32" s="77">
        <f t="shared" si="0"/>
        <v>0</v>
      </c>
      <c r="AP32" s="78">
        <f t="shared" si="1"/>
        <v>0</v>
      </c>
      <c r="AQ32" s="78">
        <f t="shared" si="2"/>
        <v>0</v>
      </c>
      <c r="AR32" s="79">
        <f t="shared" si="3"/>
        <v>0</v>
      </c>
      <c r="AS32" s="80">
        <f t="shared" si="4"/>
        <v>0</v>
      </c>
      <c r="AT32" s="81">
        <f t="shared" si="5"/>
        <v>0</v>
      </c>
      <c r="AU32" s="81">
        <f t="shared" si="6"/>
        <v>0</v>
      </c>
      <c r="AV32" s="81">
        <f t="shared" si="7"/>
        <v>0</v>
      </c>
      <c r="AW32" s="81">
        <f t="shared" si="8"/>
        <v>0</v>
      </c>
      <c r="AX32" s="81">
        <f t="shared" si="9"/>
        <v>0</v>
      </c>
      <c r="AY32" s="77">
        <f t="shared" si="10"/>
        <v>0</v>
      </c>
      <c r="AZ32" s="82">
        <f t="shared" si="11"/>
        <v>0</v>
      </c>
      <c r="BA32" s="79">
        <f t="shared" si="12"/>
        <v>0</v>
      </c>
      <c r="BB32" s="80">
        <f>V32 - U32</f>
        <v>0</v>
      </c>
      <c r="BC32" s="83">
        <f>X32 - W32</f>
        <v>0</v>
      </c>
      <c r="BD32" s="83">
        <f>Z32 - Y32</f>
        <v>0</v>
      </c>
      <c r="BE32" s="83">
        <f>AB32 - AA32</f>
        <v>0</v>
      </c>
      <c r="BF32" s="83">
        <f>AD32 - AC32</f>
        <v>0</v>
      </c>
      <c r="BG32" s="83">
        <f>AF32 - AE32</f>
        <v>0</v>
      </c>
      <c r="BH32" s="83">
        <f>AH32 - AG32</f>
        <v>0</v>
      </c>
      <c r="BI32" s="83">
        <f>AJ32 - AI32</f>
        <v>0</v>
      </c>
      <c r="BJ32" s="83">
        <f>AL32 - AK32</f>
        <v>0</v>
      </c>
      <c r="BK32" s="83">
        <f>AN32 - AM32</f>
        <v>0</v>
      </c>
      <c r="BL32" s="84">
        <f>ROUNDUP(SUM(BB32:BK32) * 288, 0) / 288</f>
        <v>0</v>
      </c>
      <c r="BM32" s="71">
        <v>0</v>
      </c>
    </row>
    <row r="33" spans="1:65" x14ac:dyDescent="0.25">
      <c r="A33" s="72">
        <v>0</v>
      </c>
      <c r="B33" s="73">
        <v>0</v>
      </c>
      <c r="C33" s="72">
        <v>0</v>
      </c>
      <c r="D33" s="73">
        <v>0</v>
      </c>
      <c r="E33" s="72">
        <v>0</v>
      </c>
      <c r="F33" s="73">
        <v>0</v>
      </c>
      <c r="G33" s="72">
        <v>0</v>
      </c>
      <c r="H33" s="73">
        <v>0</v>
      </c>
      <c r="I33" s="72">
        <v>0</v>
      </c>
      <c r="J33" s="73">
        <v>0</v>
      </c>
      <c r="K33" s="72">
        <v>0</v>
      </c>
      <c r="L33" s="73">
        <v>0</v>
      </c>
      <c r="M33" s="72">
        <v>0</v>
      </c>
      <c r="N33" s="73">
        <v>0</v>
      </c>
      <c r="O33" s="72">
        <v>0</v>
      </c>
      <c r="P33" s="73">
        <v>0</v>
      </c>
      <c r="Q33" s="72">
        <v>0</v>
      </c>
      <c r="R33" s="73">
        <v>0</v>
      </c>
      <c r="S33" s="72">
        <v>0</v>
      </c>
      <c r="T33" s="73">
        <v>0</v>
      </c>
      <c r="U33" s="74">
        <v>0</v>
      </c>
      <c r="V33" s="73">
        <v>0</v>
      </c>
      <c r="W33" s="72">
        <v>0</v>
      </c>
      <c r="X33" s="73">
        <v>0</v>
      </c>
      <c r="Y33" s="72">
        <v>0</v>
      </c>
      <c r="Z33" s="73">
        <v>0</v>
      </c>
      <c r="AA33" s="72">
        <v>0</v>
      </c>
      <c r="AB33" s="73">
        <v>0</v>
      </c>
      <c r="AC33" s="75">
        <v>0</v>
      </c>
      <c r="AD33" s="73">
        <v>0</v>
      </c>
      <c r="AE33" s="75">
        <v>0</v>
      </c>
      <c r="AF33" s="73">
        <v>0</v>
      </c>
      <c r="AG33" s="75">
        <v>0</v>
      </c>
      <c r="AH33" s="73">
        <v>0</v>
      </c>
      <c r="AI33" s="75">
        <v>0</v>
      </c>
      <c r="AJ33" s="73">
        <v>0</v>
      </c>
      <c r="AK33" s="75">
        <v>0</v>
      </c>
      <c r="AL33" s="73">
        <v>0</v>
      </c>
      <c r="AM33" s="72">
        <v>0</v>
      </c>
      <c r="AN33" s="76">
        <v>0</v>
      </c>
      <c r="AO33" s="77">
        <f t="shared" si="0"/>
        <v>0</v>
      </c>
      <c r="AP33" s="78">
        <f t="shared" si="1"/>
        <v>0</v>
      </c>
      <c r="AQ33" s="78">
        <f t="shared" si="2"/>
        <v>0</v>
      </c>
      <c r="AR33" s="79">
        <f t="shared" si="3"/>
        <v>0</v>
      </c>
      <c r="AS33" s="80">
        <f t="shared" si="4"/>
        <v>0</v>
      </c>
      <c r="AT33" s="81">
        <f t="shared" si="5"/>
        <v>0</v>
      </c>
      <c r="AU33" s="81">
        <f t="shared" si="6"/>
        <v>0</v>
      </c>
      <c r="AV33" s="81">
        <f t="shared" si="7"/>
        <v>0</v>
      </c>
      <c r="AW33" s="81">
        <f t="shared" si="8"/>
        <v>0</v>
      </c>
      <c r="AX33" s="81">
        <f t="shared" si="9"/>
        <v>0</v>
      </c>
      <c r="AY33" s="77">
        <f t="shared" si="10"/>
        <v>0</v>
      </c>
      <c r="AZ33" s="82">
        <f t="shared" si="11"/>
        <v>0</v>
      </c>
      <c r="BA33" s="79">
        <f t="shared" si="12"/>
        <v>0</v>
      </c>
      <c r="BB33" s="80">
        <f>V33 - U33</f>
        <v>0</v>
      </c>
      <c r="BC33" s="83">
        <f>X33 - W33</f>
        <v>0</v>
      </c>
      <c r="BD33" s="83">
        <f>Z33 - Y33</f>
        <v>0</v>
      </c>
      <c r="BE33" s="83">
        <f>AB33 - AA33</f>
        <v>0</v>
      </c>
      <c r="BF33" s="83">
        <f>AD33 - AC33</f>
        <v>0</v>
      </c>
      <c r="BG33" s="83">
        <f>AF33 - AE33</f>
        <v>0</v>
      </c>
      <c r="BH33" s="83">
        <f>AH33 - AG33</f>
        <v>0</v>
      </c>
      <c r="BI33" s="83">
        <f>AJ33 - AI33</f>
        <v>0</v>
      </c>
      <c r="BJ33" s="83">
        <f>AL33 - AK33</f>
        <v>0</v>
      </c>
      <c r="BK33" s="83">
        <f>AN33 - AM33</f>
        <v>0</v>
      </c>
      <c r="BL33" s="84">
        <f>ROUNDUP(SUM(BB33:BK33) * 288, 0) / 288</f>
        <v>0</v>
      </c>
      <c r="BM33" s="71">
        <v>0</v>
      </c>
    </row>
    <row r="34" spans="1:65" x14ac:dyDescent="0.25">
      <c r="A34" s="72">
        <v>0</v>
      </c>
      <c r="B34" s="73">
        <v>0</v>
      </c>
      <c r="C34" s="72">
        <v>0</v>
      </c>
      <c r="D34" s="73">
        <v>0</v>
      </c>
      <c r="E34" s="72">
        <v>0</v>
      </c>
      <c r="F34" s="73">
        <v>0</v>
      </c>
      <c r="G34" s="72">
        <v>0</v>
      </c>
      <c r="H34" s="73">
        <v>0</v>
      </c>
      <c r="I34" s="72">
        <v>0</v>
      </c>
      <c r="J34" s="73">
        <v>0</v>
      </c>
      <c r="K34" s="72">
        <v>0</v>
      </c>
      <c r="L34" s="73">
        <v>0</v>
      </c>
      <c r="M34" s="72">
        <v>0</v>
      </c>
      <c r="N34" s="73">
        <v>0</v>
      </c>
      <c r="O34" s="72">
        <v>0</v>
      </c>
      <c r="P34" s="73">
        <v>0</v>
      </c>
      <c r="Q34" s="72">
        <v>0</v>
      </c>
      <c r="R34" s="73">
        <v>0</v>
      </c>
      <c r="S34" s="72">
        <v>0</v>
      </c>
      <c r="T34" s="73">
        <v>0</v>
      </c>
      <c r="U34" s="74">
        <v>0</v>
      </c>
      <c r="V34" s="73">
        <v>0</v>
      </c>
      <c r="W34" s="72">
        <v>0</v>
      </c>
      <c r="X34" s="73">
        <v>0</v>
      </c>
      <c r="Y34" s="72">
        <v>0</v>
      </c>
      <c r="Z34" s="73">
        <v>0</v>
      </c>
      <c r="AA34" s="72">
        <v>0</v>
      </c>
      <c r="AB34" s="73">
        <v>0</v>
      </c>
      <c r="AC34" s="75">
        <v>0</v>
      </c>
      <c r="AD34" s="73">
        <v>0</v>
      </c>
      <c r="AE34" s="75">
        <v>0</v>
      </c>
      <c r="AF34" s="73">
        <v>0</v>
      </c>
      <c r="AG34" s="75">
        <v>0</v>
      </c>
      <c r="AH34" s="73">
        <v>0</v>
      </c>
      <c r="AI34" s="75">
        <v>0</v>
      </c>
      <c r="AJ34" s="73">
        <v>0</v>
      </c>
      <c r="AK34" s="75">
        <v>0</v>
      </c>
      <c r="AL34" s="73">
        <v>0</v>
      </c>
      <c r="AM34" s="72">
        <v>0</v>
      </c>
      <c r="AN34" s="76">
        <v>0</v>
      </c>
      <c r="AO34" s="77">
        <f t="shared" si="0"/>
        <v>0</v>
      </c>
      <c r="AP34" s="78">
        <f t="shared" si="1"/>
        <v>0</v>
      </c>
      <c r="AQ34" s="78">
        <f t="shared" si="2"/>
        <v>0</v>
      </c>
      <c r="AR34" s="79">
        <f t="shared" si="3"/>
        <v>0</v>
      </c>
      <c r="AS34" s="80">
        <f t="shared" si="4"/>
        <v>0</v>
      </c>
      <c r="AT34" s="81">
        <f t="shared" si="5"/>
        <v>0</v>
      </c>
      <c r="AU34" s="81">
        <f t="shared" si="6"/>
        <v>0</v>
      </c>
      <c r="AV34" s="81">
        <f t="shared" si="7"/>
        <v>0</v>
      </c>
      <c r="AW34" s="81">
        <f t="shared" si="8"/>
        <v>0</v>
      </c>
      <c r="AX34" s="81">
        <f t="shared" si="9"/>
        <v>0</v>
      </c>
      <c r="AY34" s="77">
        <f t="shared" si="10"/>
        <v>0</v>
      </c>
      <c r="AZ34" s="82">
        <f t="shared" si="11"/>
        <v>0</v>
      </c>
      <c r="BA34" s="79">
        <f t="shared" si="12"/>
        <v>0</v>
      </c>
      <c r="BB34" s="80">
        <f>V34 - U34</f>
        <v>0</v>
      </c>
      <c r="BC34" s="83">
        <f>X34 - W34</f>
        <v>0</v>
      </c>
      <c r="BD34" s="83">
        <f>Z34 - Y34</f>
        <v>0</v>
      </c>
      <c r="BE34" s="83">
        <f>AB34 - AA34</f>
        <v>0</v>
      </c>
      <c r="BF34" s="83">
        <f>AD34 - AC34</f>
        <v>0</v>
      </c>
      <c r="BG34" s="83">
        <f>AF34 - AE34</f>
        <v>0</v>
      </c>
      <c r="BH34" s="83">
        <f>AH34 - AG34</f>
        <v>0</v>
      </c>
      <c r="BI34" s="83">
        <f>AJ34 - AI34</f>
        <v>0</v>
      </c>
      <c r="BJ34" s="83">
        <f>AL34 - AK34</f>
        <v>0</v>
      </c>
      <c r="BK34" s="83">
        <f>AN34 - AM34</f>
        <v>0</v>
      </c>
      <c r="BL34" s="84">
        <f>ROUNDUP(SUM(BB34:BK34) * 288, 0) / 288</f>
        <v>0</v>
      </c>
      <c r="BM34" s="71">
        <v>0</v>
      </c>
    </row>
    <row r="35" spans="1:65" x14ac:dyDescent="0.25">
      <c r="A35" s="85">
        <v>0</v>
      </c>
      <c r="B35" s="86">
        <v>0</v>
      </c>
      <c r="C35" s="85">
        <v>0</v>
      </c>
      <c r="D35" s="86">
        <v>0</v>
      </c>
      <c r="E35" s="85">
        <v>0</v>
      </c>
      <c r="F35" s="86">
        <v>0</v>
      </c>
      <c r="G35" s="85">
        <v>0</v>
      </c>
      <c r="H35" s="86">
        <v>0</v>
      </c>
      <c r="I35" s="85">
        <v>0</v>
      </c>
      <c r="J35" s="86">
        <v>0</v>
      </c>
      <c r="K35" s="85">
        <v>0</v>
      </c>
      <c r="L35" s="86">
        <v>0</v>
      </c>
      <c r="M35" s="85">
        <v>0</v>
      </c>
      <c r="N35" s="86">
        <v>0</v>
      </c>
      <c r="O35" s="85">
        <v>0</v>
      </c>
      <c r="P35" s="86">
        <v>0</v>
      </c>
      <c r="Q35" s="85">
        <v>0</v>
      </c>
      <c r="R35" s="86">
        <v>0</v>
      </c>
      <c r="S35" s="85">
        <v>0</v>
      </c>
      <c r="T35" s="86">
        <v>0</v>
      </c>
      <c r="U35" s="87">
        <v>0</v>
      </c>
      <c r="V35" s="86">
        <v>0</v>
      </c>
      <c r="W35" s="85">
        <v>0</v>
      </c>
      <c r="X35" s="86">
        <v>0</v>
      </c>
      <c r="Y35" s="85">
        <v>0</v>
      </c>
      <c r="Z35" s="86">
        <v>0</v>
      </c>
      <c r="AA35" s="85">
        <v>0</v>
      </c>
      <c r="AB35" s="86">
        <v>0</v>
      </c>
      <c r="AC35" s="88">
        <v>0</v>
      </c>
      <c r="AD35" s="86">
        <v>0</v>
      </c>
      <c r="AE35" s="88">
        <v>0</v>
      </c>
      <c r="AF35" s="86">
        <v>0</v>
      </c>
      <c r="AG35" s="88">
        <v>0</v>
      </c>
      <c r="AH35" s="86">
        <v>0</v>
      </c>
      <c r="AI35" s="88">
        <v>0</v>
      </c>
      <c r="AJ35" s="86">
        <v>0</v>
      </c>
      <c r="AK35" s="88">
        <v>0</v>
      </c>
      <c r="AL35" s="86">
        <v>0</v>
      </c>
      <c r="AM35" s="85">
        <v>0</v>
      </c>
      <c r="AN35" s="89">
        <v>0</v>
      </c>
      <c r="AO35" s="90">
        <f t="shared" si="0"/>
        <v>0</v>
      </c>
      <c r="AP35" s="91">
        <f t="shared" si="1"/>
        <v>0</v>
      </c>
      <c r="AQ35" s="91">
        <f t="shared" si="2"/>
        <v>0</v>
      </c>
      <c r="AR35" s="92">
        <f t="shared" si="3"/>
        <v>0</v>
      </c>
      <c r="AS35" s="93">
        <f t="shared" si="4"/>
        <v>0</v>
      </c>
      <c r="AT35" s="94">
        <f t="shared" si="5"/>
        <v>0</v>
      </c>
      <c r="AU35" s="94">
        <f t="shared" si="6"/>
        <v>0</v>
      </c>
      <c r="AV35" s="94">
        <f t="shared" si="7"/>
        <v>0</v>
      </c>
      <c r="AW35" s="94">
        <f t="shared" si="8"/>
        <v>0</v>
      </c>
      <c r="AX35" s="94">
        <f t="shared" si="9"/>
        <v>0</v>
      </c>
      <c r="AY35" s="90">
        <f t="shared" si="10"/>
        <v>0</v>
      </c>
      <c r="AZ35" s="95">
        <f t="shared" si="11"/>
        <v>0</v>
      </c>
      <c r="BA35" s="92">
        <f t="shared" si="12"/>
        <v>0</v>
      </c>
      <c r="BB35" s="80">
        <f>V35 - U35</f>
        <v>0</v>
      </c>
      <c r="BC35" s="83">
        <f>X35 - W35</f>
        <v>0</v>
      </c>
      <c r="BD35" s="83">
        <f>Z35 - Y35</f>
        <v>0</v>
      </c>
      <c r="BE35" s="83">
        <f>AB35 - AA35</f>
        <v>0</v>
      </c>
      <c r="BF35" s="83">
        <f>AD35 - AC35</f>
        <v>0</v>
      </c>
      <c r="BG35" s="83">
        <f>AF35 - AE35</f>
        <v>0</v>
      </c>
      <c r="BH35" s="83">
        <f>AH35 - AG35</f>
        <v>0</v>
      </c>
      <c r="BI35" s="83">
        <f>AJ35 - AI35</f>
        <v>0</v>
      </c>
      <c r="BJ35" s="83">
        <f>AL35 - AK35</f>
        <v>0</v>
      </c>
      <c r="BK35" s="83">
        <f>AN35 - AM35</f>
        <v>0</v>
      </c>
      <c r="BL35" s="96">
        <f>ROUNDUP(SUM(BB35:BK35) * 288, 0) / 288</f>
        <v>0</v>
      </c>
      <c r="BM35" s="71">
        <v>0</v>
      </c>
    </row>
    <row r="36" spans="1:65" x14ac:dyDescent="0.25">
      <c r="A36" s="85">
        <v>0</v>
      </c>
      <c r="B36" s="86">
        <v>0</v>
      </c>
      <c r="C36" s="85">
        <v>0</v>
      </c>
      <c r="D36" s="86">
        <v>0</v>
      </c>
      <c r="E36" s="85">
        <v>0</v>
      </c>
      <c r="F36" s="86">
        <v>0</v>
      </c>
      <c r="G36" s="85">
        <v>0</v>
      </c>
      <c r="H36" s="86">
        <v>0</v>
      </c>
      <c r="I36" s="85">
        <v>0</v>
      </c>
      <c r="J36" s="86">
        <v>0</v>
      </c>
      <c r="K36" s="85">
        <v>0</v>
      </c>
      <c r="L36" s="86">
        <v>0</v>
      </c>
      <c r="M36" s="85">
        <v>0</v>
      </c>
      <c r="N36" s="86">
        <v>0</v>
      </c>
      <c r="O36" s="85">
        <v>0</v>
      </c>
      <c r="P36" s="86">
        <v>0</v>
      </c>
      <c r="Q36" s="85">
        <v>0</v>
      </c>
      <c r="R36" s="86">
        <v>0</v>
      </c>
      <c r="S36" s="85">
        <v>0</v>
      </c>
      <c r="T36" s="86">
        <v>0</v>
      </c>
      <c r="U36" s="87">
        <v>0</v>
      </c>
      <c r="V36" s="86">
        <v>0</v>
      </c>
      <c r="W36" s="85">
        <v>0</v>
      </c>
      <c r="X36" s="86">
        <v>0</v>
      </c>
      <c r="Y36" s="85">
        <v>0</v>
      </c>
      <c r="Z36" s="86">
        <v>0</v>
      </c>
      <c r="AA36" s="85">
        <v>0</v>
      </c>
      <c r="AB36" s="86">
        <v>0</v>
      </c>
      <c r="AC36" s="88">
        <v>0</v>
      </c>
      <c r="AD36" s="86">
        <v>0</v>
      </c>
      <c r="AE36" s="88">
        <v>0</v>
      </c>
      <c r="AF36" s="86">
        <v>0</v>
      </c>
      <c r="AG36" s="88">
        <v>0</v>
      </c>
      <c r="AH36" s="86">
        <v>0</v>
      </c>
      <c r="AI36" s="88">
        <v>0</v>
      </c>
      <c r="AJ36" s="86">
        <v>0</v>
      </c>
      <c r="AK36" s="88">
        <v>0</v>
      </c>
      <c r="AL36" s="86">
        <v>0</v>
      </c>
      <c r="AM36" s="85">
        <v>0</v>
      </c>
      <c r="AN36" s="89">
        <v>0</v>
      </c>
      <c r="AO36" s="90">
        <f t="shared" si="0"/>
        <v>0</v>
      </c>
      <c r="AP36" s="91">
        <f t="shared" si="1"/>
        <v>0</v>
      </c>
      <c r="AQ36" s="91">
        <f t="shared" si="2"/>
        <v>0</v>
      </c>
      <c r="AR36" s="92">
        <f t="shared" si="3"/>
        <v>0</v>
      </c>
      <c r="AS36" s="93">
        <f t="shared" si="4"/>
        <v>0</v>
      </c>
      <c r="AT36" s="94">
        <f t="shared" si="5"/>
        <v>0</v>
      </c>
      <c r="AU36" s="94">
        <f t="shared" si="6"/>
        <v>0</v>
      </c>
      <c r="AV36" s="94">
        <f t="shared" si="7"/>
        <v>0</v>
      </c>
      <c r="AW36" s="94">
        <f t="shared" si="8"/>
        <v>0</v>
      </c>
      <c r="AX36" s="94">
        <f t="shared" si="9"/>
        <v>0</v>
      </c>
      <c r="AY36" s="90">
        <f t="shared" si="10"/>
        <v>0</v>
      </c>
      <c r="AZ36" s="95">
        <f t="shared" si="11"/>
        <v>0</v>
      </c>
      <c r="BA36" s="92">
        <f t="shared" si="12"/>
        <v>0</v>
      </c>
      <c r="BB36" s="80">
        <f>V36 - U36</f>
        <v>0</v>
      </c>
      <c r="BC36" s="83">
        <f>X36 - W36</f>
        <v>0</v>
      </c>
      <c r="BD36" s="83">
        <f>Z36 - Y36</f>
        <v>0</v>
      </c>
      <c r="BE36" s="83">
        <f>AB36 - AA36</f>
        <v>0</v>
      </c>
      <c r="BF36" s="83">
        <f>AD36 - AC36</f>
        <v>0</v>
      </c>
      <c r="BG36" s="83">
        <f>AF36 - AE36</f>
        <v>0</v>
      </c>
      <c r="BH36" s="83">
        <f>AH36 - AG36</f>
        <v>0</v>
      </c>
      <c r="BI36" s="83">
        <f>AJ36 - AI36</f>
        <v>0</v>
      </c>
      <c r="BJ36" s="83">
        <f>AL36 - AK36</f>
        <v>0</v>
      </c>
      <c r="BK36" s="83">
        <f>AN36 - AM36</f>
        <v>0</v>
      </c>
      <c r="BL36" s="96">
        <f>ROUNDUP(SUM(BB36:BK36) * 288, 0) / 288</f>
        <v>0</v>
      </c>
      <c r="BM36" s="71">
        <v>0</v>
      </c>
    </row>
    <row r="37" spans="1:65" x14ac:dyDescent="0.25">
      <c r="A37" s="85">
        <v>0</v>
      </c>
      <c r="B37" s="86">
        <v>0</v>
      </c>
      <c r="C37" s="85">
        <v>0</v>
      </c>
      <c r="D37" s="86">
        <v>0</v>
      </c>
      <c r="E37" s="85">
        <v>0</v>
      </c>
      <c r="F37" s="86">
        <v>0</v>
      </c>
      <c r="G37" s="85">
        <v>0</v>
      </c>
      <c r="H37" s="86">
        <v>0</v>
      </c>
      <c r="I37" s="85">
        <v>0</v>
      </c>
      <c r="J37" s="86">
        <v>0</v>
      </c>
      <c r="K37" s="85">
        <v>0</v>
      </c>
      <c r="L37" s="86">
        <v>0</v>
      </c>
      <c r="M37" s="85">
        <v>0</v>
      </c>
      <c r="N37" s="86">
        <v>0</v>
      </c>
      <c r="O37" s="85">
        <v>0</v>
      </c>
      <c r="P37" s="86">
        <v>0</v>
      </c>
      <c r="Q37" s="85">
        <v>0</v>
      </c>
      <c r="R37" s="86">
        <v>0</v>
      </c>
      <c r="S37" s="85">
        <v>0</v>
      </c>
      <c r="T37" s="86">
        <v>0</v>
      </c>
      <c r="U37" s="87">
        <v>0</v>
      </c>
      <c r="V37" s="86">
        <v>0</v>
      </c>
      <c r="W37" s="85">
        <v>0</v>
      </c>
      <c r="X37" s="86">
        <v>0</v>
      </c>
      <c r="Y37" s="85">
        <v>0</v>
      </c>
      <c r="Z37" s="86">
        <v>0</v>
      </c>
      <c r="AA37" s="85">
        <v>0</v>
      </c>
      <c r="AB37" s="86">
        <v>0</v>
      </c>
      <c r="AC37" s="88">
        <v>0</v>
      </c>
      <c r="AD37" s="86">
        <v>0</v>
      </c>
      <c r="AE37" s="88">
        <v>0</v>
      </c>
      <c r="AF37" s="86">
        <v>0</v>
      </c>
      <c r="AG37" s="88">
        <v>0</v>
      </c>
      <c r="AH37" s="86">
        <v>0</v>
      </c>
      <c r="AI37" s="88">
        <v>0</v>
      </c>
      <c r="AJ37" s="86">
        <v>0</v>
      </c>
      <c r="AK37" s="88">
        <v>0</v>
      </c>
      <c r="AL37" s="86">
        <v>0</v>
      </c>
      <c r="AM37" s="85">
        <v>0</v>
      </c>
      <c r="AN37" s="89">
        <v>0</v>
      </c>
      <c r="AO37" s="90">
        <f t="shared" si="0"/>
        <v>0</v>
      </c>
      <c r="AP37" s="91">
        <f t="shared" si="1"/>
        <v>0</v>
      </c>
      <c r="AQ37" s="91">
        <f t="shared" si="2"/>
        <v>0</v>
      </c>
      <c r="AR37" s="92">
        <f t="shared" si="3"/>
        <v>0</v>
      </c>
      <c r="AS37" s="93">
        <f t="shared" si="4"/>
        <v>0</v>
      </c>
      <c r="AT37" s="94">
        <f t="shared" si="5"/>
        <v>0</v>
      </c>
      <c r="AU37" s="94">
        <f t="shared" si="6"/>
        <v>0</v>
      </c>
      <c r="AV37" s="94">
        <f t="shared" si="7"/>
        <v>0</v>
      </c>
      <c r="AW37" s="94">
        <f t="shared" si="8"/>
        <v>0</v>
      </c>
      <c r="AX37" s="94">
        <f t="shared" si="9"/>
        <v>0</v>
      </c>
      <c r="AY37" s="90">
        <f t="shared" si="10"/>
        <v>0</v>
      </c>
      <c r="AZ37" s="95">
        <f t="shared" si="11"/>
        <v>0</v>
      </c>
      <c r="BA37" s="92">
        <f t="shared" si="12"/>
        <v>0</v>
      </c>
      <c r="BB37" s="80">
        <f>V37 - U37</f>
        <v>0</v>
      </c>
      <c r="BC37" s="83">
        <f>X37 - W37</f>
        <v>0</v>
      </c>
      <c r="BD37" s="83">
        <f>Z37 - Y37</f>
        <v>0</v>
      </c>
      <c r="BE37" s="83">
        <f>AB37 - AA37</f>
        <v>0</v>
      </c>
      <c r="BF37" s="83">
        <f>AD37 - AC37</f>
        <v>0</v>
      </c>
      <c r="BG37" s="83">
        <f>AF37 - AE37</f>
        <v>0</v>
      </c>
      <c r="BH37" s="83">
        <f>AH37 - AG37</f>
        <v>0</v>
      </c>
      <c r="BI37" s="83">
        <f>AJ37 - AI37</f>
        <v>0</v>
      </c>
      <c r="BJ37" s="83">
        <f>AL37 - AK37</f>
        <v>0</v>
      </c>
      <c r="BK37" s="83">
        <f>AN37 - AM37</f>
        <v>0</v>
      </c>
      <c r="BL37" s="96">
        <f>ROUNDUP(SUM(BB37:BK37) * 288, 0) / 288</f>
        <v>0</v>
      </c>
      <c r="BM37" s="71">
        <v>0</v>
      </c>
    </row>
    <row r="38" spans="1:65" x14ac:dyDescent="0.25">
      <c r="A38" s="85">
        <v>0</v>
      </c>
      <c r="B38" s="86">
        <v>0</v>
      </c>
      <c r="C38" s="85">
        <v>0</v>
      </c>
      <c r="D38" s="86">
        <v>0</v>
      </c>
      <c r="E38" s="85">
        <v>0</v>
      </c>
      <c r="F38" s="86">
        <v>0</v>
      </c>
      <c r="G38" s="85">
        <v>0</v>
      </c>
      <c r="H38" s="86">
        <v>0</v>
      </c>
      <c r="I38" s="85">
        <v>0</v>
      </c>
      <c r="J38" s="86">
        <v>0</v>
      </c>
      <c r="K38" s="85">
        <v>0</v>
      </c>
      <c r="L38" s="86">
        <v>0</v>
      </c>
      <c r="M38" s="85">
        <v>0</v>
      </c>
      <c r="N38" s="86">
        <v>0</v>
      </c>
      <c r="O38" s="85">
        <v>0</v>
      </c>
      <c r="P38" s="86">
        <v>0</v>
      </c>
      <c r="Q38" s="85">
        <v>0</v>
      </c>
      <c r="R38" s="86">
        <v>0</v>
      </c>
      <c r="S38" s="85">
        <v>0</v>
      </c>
      <c r="T38" s="86">
        <v>0</v>
      </c>
      <c r="U38" s="87">
        <v>0</v>
      </c>
      <c r="V38" s="86">
        <v>0</v>
      </c>
      <c r="W38" s="85">
        <v>0</v>
      </c>
      <c r="X38" s="86">
        <v>0</v>
      </c>
      <c r="Y38" s="85">
        <v>0</v>
      </c>
      <c r="Z38" s="86">
        <v>0</v>
      </c>
      <c r="AA38" s="85">
        <v>0</v>
      </c>
      <c r="AB38" s="86">
        <v>0</v>
      </c>
      <c r="AC38" s="88">
        <v>0</v>
      </c>
      <c r="AD38" s="86">
        <v>0</v>
      </c>
      <c r="AE38" s="88">
        <v>0</v>
      </c>
      <c r="AF38" s="86">
        <v>0</v>
      </c>
      <c r="AG38" s="88">
        <v>0</v>
      </c>
      <c r="AH38" s="86">
        <v>0</v>
      </c>
      <c r="AI38" s="88">
        <v>0</v>
      </c>
      <c r="AJ38" s="86">
        <v>0</v>
      </c>
      <c r="AK38" s="88">
        <v>0</v>
      </c>
      <c r="AL38" s="86">
        <v>0</v>
      </c>
      <c r="AM38" s="85">
        <v>0</v>
      </c>
      <c r="AN38" s="89">
        <v>0</v>
      </c>
      <c r="AO38" s="90">
        <f t="shared" si="0"/>
        <v>0</v>
      </c>
      <c r="AP38" s="91">
        <f t="shared" si="1"/>
        <v>0</v>
      </c>
      <c r="AQ38" s="91">
        <f t="shared" si="2"/>
        <v>0</v>
      </c>
      <c r="AR38" s="92">
        <f t="shared" si="3"/>
        <v>0</v>
      </c>
      <c r="AS38" s="93">
        <f t="shared" si="4"/>
        <v>0</v>
      </c>
      <c r="AT38" s="94">
        <f t="shared" si="5"/>
        <v>0</v>
      </c>
      <c r="AU38" s="94">
        <f t="shared" si="6"/>
        <v>0</v>
      </c>
      <c r="AV38" s="94">
        <f t="shared" si="7"/>
        <v>0</v>
      </c>
      <c r="AW38" s="94">
        <f t="shared" si="8"/>
        <v>0</v>
      </c>
      <c r="AX38" s="94">
        <f t="shared" si="9"/>
        <v>0</v>
      </c>
      <c r="AY38" s="90">
        <f t="shared" si="10"/>
        <v>0</v>
      </c>
      <c r="AZ38" s="95">
        <f t="shared" si="11"/>
        <v>0</v>
      </c>
      <c r="BA38" s="92">
        <f t="shared" si="12"/>
        <v>0</v>
      </c>
      <c r="BB38" s="80">
        <f>V38 - U38</f>
        <v>0</v>
      </c>
      <c r="BC38" s="83">
        <f>X38 - W38</f>
        <v>0</v>
      </c>
      <c r="BD38" s="83">
        <f>Z38 - Y38</f>
        <v>0</v>
      </c>
      <c r="BE38" s="83">
        <f>AB38 - AA38</f>
        <v>0</v>
      </c>
      <c r="BF38" s="83">
        <f>AD38 - AC38</f>
        <v>0</v>
      </c>
      <c r="BG38" s="83">
        <f>AF38 - AE38</f>
        <v>0</v>
      </c>
      <c r="BH38" s="83">
        <f>AH38 - AG38</f>
        <v>0</v>
      </c>
      <c r="BI38" s="83">
        <f>AJ38 - AI38</f>
        <v>0</v>
      </c>
      <c r="BJ38" s="83">
        <f>AL38 - AK38</f>
        <v>0</v>
      </c>
      <c r="BK38" s="83">
        <f>AN38 - AM38</f>
        <v>0</v>
      </c>
      <c r="BL38" s="96">
        <f>ROUNDUP(SUM(BB38:BK38) * 288, 0) / 288</f>
        <v>0</v>
      </c>
      <c r="BM38" s="71">
        <v>0</v>
      </c>
    </row>
    <row r="39" spans="1:65" x14ac:dyDescent="0.25">
      <c r="A39" s="97">
        <v>0</v>
      </c>
      <c r="B39" s="98">
        <v>0</v>
      </c>
      <c r="C39" s="97">
        <v>0</v>
      </c>
      <c r="D39" s="98">
        <v>0</v>
      </c>
      <c r="E39" s="97">
        <v>0</v>
      </c>
      <c r="F39" s="98">
        <v>0</v>
      </c>
      <c r="G39" s="97">
        <v>0</v>
      </c>
      <c r="H39" s="98">
        <v>0</v>
      </c>
      <c r="I39" s="97">
        <v>0</v>
      </c>
      <c r="J39" s="98">
        <v>0</v>
      </c>
      <c r="K39" s="97">
        <v>0</v>
      </c>
      <c r="L39" s="98">
        <v>0</v>
      </c>
      <c r="M39" s="97">
        <v>0</v>
      </c>
      <c r="N39" s="98">
        <v>0</v>
      </c>
      <c r="O39" s="97">
        <v>0</v>
      </c>
      <c r="P39" s="98">
        <v>0</v>
      </c>
      <c r="Q39" s="97">
        <v>0</v>
      </c>
      <c r="R39" s="98">
        <v>0</v>
      </c>
      <c r="S39" s="97">
        <v>0</v>
      </c>
      <c r="T39" s="98">
        <v>0</v>
      </c>
      <c r="U39" s="99">
        <v>0</v>
      </c>
      <c r="V39" s="98">
        <v>0</v>
      </c>
      <c r="W39" s="97">
        <v>0</v>
      </c>
      <c r="X39" s="98">
        <v>0</v>
      </c>
      <c r="Y39" s="97">
        <v>0</v>
      </c>
      <c r="Z39" s="98">
        <v>0</v>
      </c>
      <c r="AA39" s="97">
        <v>0</v>
      </c>
      <c r="AB39" s="98">
        <v>0</v>
      </c>
      <c r="AC39" s="100">
        <v>0</v>
      </c>
      <c r="AD39" s="98">
        <v>0</v>
      </c>
      <c r="AE39" s="100">
        <v>0</v>
      </c>
      <c r="AF39" s="98">
        <v>0</v>
      </c>
      <c r="AG39" s="100">
        <v>0</v>
      </c>
      <c r="AH39" s="98">
        <v>0</v>
      </c>
      <c r="AI39" s="100">
        <v>0</v>
      </c>
      <c r="AJ39" s="98">
        <v>0</v>
      </c>
      <c r="AK39" s="100">
        <v>0</v>
      </c>
      <c r="AL39" s="98">
        <v>0</v>
      </c>
      <c r="AM39" s="97">
        <v>0</v>
      </c>
      <c r="AN39" s="101">
        <v>0</v>
      </c>
      <c r="AO39" s="102">
        <f t="shared" si="0"/>
        <v>0</v>
      </c>
      <c r="AP39" s="103">
        <f t="shared" si="1"/>
        <v>0</v>
      </c>
      <c r="AQ39" s="103">
        <f t="shared" si="2"/>
        <v>0</v>
      </c>
      <c r="AR39" s="104">
        <f t="shared" si="3"/>
        <v>0</v>
      </c>
      <c r="AS39" s="105">
        <f t="shared" si="4"/>
        <v>0</v>
      </c>
      <c r="AT39" s="106">
        <f t="shared" si="5"/>
        <v>0</v>
      </c>
      <c r="AU39" s="106">
        <f t="shared" si="6"/>
        <v>0</v>
      </c>
      <c r="AV39" s="106">
        <f t="shared" si="7"/>
        <v>0</v>
      </c>
      <c r="AW39" s="106">
        <f t="shared" si="8"/>
        <v>0</v>
      </c>
      <c r="AX39" s="106">
        <f t="shared" si="9"/>
        <v>0</v>
      </c>
      <c r="AY39" s="102">
        <f t="shared" si="10"/>
        <v>0</v>
      </c>
      <c r="AZ39" s="107">
        <f t="shared" si="11"/>
        <v>0</v>
      </c>
      <c r="BA39" s="104">
        <f t="shared" si="12"/>
        <v>0</v>
      </c>
      <c r="BB39" s="105">
        <f>V39 - U39</f>
        <v>0</v>
      </c>
      <c r="BC39" s="108">
        <f>X39 - W39</f>
        <v>0</v>
      </c>
      <c r="BD39" s="108">
        <f>Z39 - Y39</f>
        <v>0</v>
      </c>
      <c r="BE39" s="108">
        <f>AB39 - AA39</f>
        <v>0</v>
      </c>
      <c r="BF39" s="108">
        <f>AD39 - AC39</f>
        <v>0</v>
      </c>
      <c r="BG39" s="108">
        <f>AF39 - AE39</f>
        <v>0</v>
      </c>
      <c r="BH39" s="108">
        <f>AH39 - AG39</f>
        <v>0</v>
      </c>
      <c r="BI39" s="108">
        <f>AJ39 - AI39</f>
        <v>0</v>
      </c>
      <c r="BJ39" s="108">
        <f>AL39 - AK39</f>
        <v>0</v>
      </c>
      <c r="BK39" s="109">
        <f>AN39 - AM39</f>
        <v>0</v>
      </c>
      <c r="BL39" s="110">
        <f>ROUNDUP(SUM(BB39:BK39) * 288, 0) / 288</f>
        <v>0</v>
      </c>
      <c r="BM39" s="71">
        <v>0</v>
      </c>
    </row>
    <row r="40" spans="1:65" x14ac:dyDescent="0.25">
      <c r="A40" s="72"/>
      <c r="B40" s="73"/>
      <c r="C40" s="72"/>
      <c r="D40" s="73"/>
      <c r="E40" s="72"/>
      <c r="F40" s="73"/>
      <c r="G40" s="72"/>
      <c r="H40" s="73"/>
      <c r="I40" s="72"/>
      <c r="J40" s="73"/>
      <c r="K40" s="72"/>
      <c r="L40" s="73"/>
      <c r="M40" s="72"/>
      <c r="N40" s="73"/>
      <c r="O40" s="72"/>
      <c r="P40" s="73"/>
      <c r="Q40" s="72"/>
      <c r="R40" s="73"/>
      <c r="S40" s="72"/>
      <c r="T40" s="73"/>
      <c r="U40" s="74">
        <f>A40</f>
        <v>0</v>
      </c>
      <c r="V40" s="73">
        <f>IF(AND(C40&gt;0,(C40-B40)&lt;$U$43),IF(AND(E40&gt;0,(E40-D40)&lt;$U$43),IF(AND(G40&gt;0,(G40-F40)&lt;$U$43),IF(AND(I40&gt;0,(I40-H40)&lt;$U$43),IF(AND(K40&gt;0,(K40-J40)&lt;$U$43),IF(AND(M40&gt;0,(M40-L40)&lt;$U$43),IF(AND(O40&gt;0,(O40-N40)&lt;$U$43),P40,N40),L40),J40),H40),F40),D40),B40)</f>
        <v>0</v>
      </c>
      <c r="W40" s="72">
        <f>IF(AND(V40&gt;0,V40=B40),C40,IF(V40=D40,E40,IF(V40=F40,G40,IF(V40=H40,I40,IF(V40=J40,K40,IF(V40=L40,M40,IF(V40=N40,O40,IF(V40=P40,Q40,S40))))))))</f>
        <v>0</v>
      </c>
      <c r="X40" s="73">
        <f>IF(W40=C40,IF(AND(E40&gt;0,(E40-D40)&lt;$U$43),F40,D40),IF(W40=E40,IF(AND(G40&gt;0,(G40-F40)&lt;$U$43),H40,F40),IF(W40=G40,IF(AND(I40&gt;0,(I40-H40)&lt;$U$43),J40,H40),IF(W40=I40,IF(AND(K40&gt;0,(K40-J40)&lt;$U$43),L40,J40),IF(W40=K40,IF(AND(M40&gt;0,(M40-L40)&lt;$U$43),N40,L40),IF(W40=M40,IF(AND(O40&gt;0,(O40-N40)&lt;$U$43),O40,N40),P40))))))</f>
        <v>0</v>
      </c>
      <c r="Y40" s="72">
        <f>IF(AND(X40&gt;0,X40=D40),E40,IF(X40=F40,G40,IF(X40=H40,I40,IF(X40=J40,K40,IF(X40=L40,M40,IF(X40=N40,O40,IF(X40=P40,Q40,S40)))))))</f>
        <v>0</v>
      </c>
      <c r="Z40" s="73">
        <f>IF(Y40=E40,IF(AND(G40&gt;0,(G40-F40)&lt;$U$43),H40,F40),IF(Y40=G40,IF(AND(I40&gt;0,(I40-H40)&lt;$U$43),J40,H40),IF(Y40=I40,IF(AND(K40&gt;0,(K40-J40)&lt;$U$43),L40,J40),IF(Y40=K40,IF(AND(M40&gt;0,(M40-L40)&lt;$U$43),N40,L40),IF(Y40=M40,IF(AND(O40&gt;0,(O40-N40)&lt;$U$43),P40,N40),IF(Y40=O40,IF(AND(Q40&gt;0,(Q40-P40)&lt;$U$43),Q40,P40),R40))))))</f>
        <v>0</v>
      </c>
      <c r="AA40" s="72">
        <f>IF(AND(Z40&gt;0,Z40=F40),G40,IF(Z40=H40,I40,IF(Z40=J40,K40,IF(Z40=L40,M40,IF(Z40=N40,O40,IF(Z40=P40,Q40,S40))))))</f>
        <v>0</v>
      </c>
      <c r="AB40" s="73">
        <f>IF(AA40=G40,IF(AND(I40&gt;0,(I40-H40)&lt;$U$43),J40,H40),IF(AA40=I40,IF(AND(K40&gt;0,(K40-J40)&lt;$U$43),L40,J40),IF(AA40=K40,IF(AND(M40&gt;0,(M40-L40)&lt;$U$43),N40,L40),IF(AA40=M40,IF(AND(O40&gt;0,(O40-N40)&lt;$U$43),P40,N40),IF(AA40=O40,IF(AND(Q40&gt;0,(Q40-P40)&lt;$U$43),R40,P40),IF(AA40=Q40,IF(AND(S40&gt;0,(S40-R40)&lt;$U$43),S40,R40),T40))))))</f>
        <v>0</v>
      </c>
      <c r="AC40" s="75">
        <f>IF(AND(AB40&gt;0,AB40=H40),I40,IF(AB40=J40,K40,IF(AB40=L40,M40,IF(AB40=N40,O40,IF(AB40=P40,Q40,S40)))))</f>
        <v>0</v>
      </c>
      <c r="AD40" s="73">
        <f>IF(AC40=I40,IF(AND(K40&gt;0,(K40-J40)&lt;$U$43),L40,J40),IF(AC40=K40,IF(AND(M40&gt;0,(M40-L40)&lt;$U$43),N40,L40),IF(AC40=M40,IF(AND(O40&gt;0,(O40-N40)&lt;$U$43),P40,N40),IF(AC40=O40,IF(AND(Q40&gt;0,(Q40-P40)&lt;$U$43),R40,P40),IF(AC40=Q40,IF(AND(S40&gt;0,(S40-R40)&lt;$U$43),T40,R40))))))</f>
        <v>0</v>
      </c>
      <c r="AE40" s="75">
        <f>IF(AND(AD40&gt;0,AD40=J40),K40,IF(AD40=L40,M40,IF(AD40=N40,O40,IF(AD40=P40,Q40,S40))))</f>
        <v>0</v>
      </c>
      <c r="AF40" s="73">
        <f>IF(AE40=K40,IF(AND(M40&gt;0,(M40-L40)&lt;$U$43),N40,L40),IF(AE40=M40,IF(AND(O40&gt;0,(O40-N40)&lt;$U$43),P40,N40),IF(AE40=O40,IF(AND(Q40&gt;0,(Q40-P40)&lt;$U$43),R40,P40),IF(AE40=Q40,IF(AND(S40&gt;0,(S40-R40)&lt;$U$43),T40,R40)))))</f>
        <v>0</v>
      </c>
      <c r="AG40" s="75">
        <f>IF(AND(AF40&gt;0,AF40=L40),M40,IF(AF40=N40,O40,IF(AF40=P40,Q40,S40)))</f>
        <v>0</v>
      </c>
      <c r="AH40" s="73">
        <f>IF(AG40=M40,IF(AND(O40&gt;0,(O40-N40)&lt;$U$43),P40,N40),IF(AG40=O40,IF(AND(Q40&gt;0,(Q40-P40)&lt;$U$43),R40,P40),IF(AG40=Q40,IF(AND(S40&gt;0,(S40-R40)&lt;$U$43),T40,R40))))</f>
        <v>0</v>
      </c>
      <c r="AI40" s="75">
        <f>IF(AND(AH40&gt;0,AH40=N40),O40,IF(AH40=P40,Q40,S40))</f>
        <v>0</v>
      </c>
      <c r="AJ40" s="73">
        <f>IF(AI40=O40,IF(AND(Q40&gt;0,(Q40-P40)&lt;$U$43),R40,P40),IF(AI40=Q40,IF(AND(S40&gt;0,(S40-R40)&lt;$U$43),T40,R40)))</f>
        <v>0</v>
      </c>
      <c r="AK40" s="75">
        <f>IF(AND(AJ40&gt;0,AJ40=P40),Q40,S40)</f>
        <v>0</v>
      </c>
      <c r="AL40" s="73">
        <f>IF(AK40=Q40,IF(AND(S40&gt;0,(S40-R40)&lt;$U$43),T40,R40))</f>
        <v>0</v>
      </c>
      <c r="AM40" s="72">
        <f>IF(AND(AL40&gt;0,AL40=R40),S40,0)</f>
        <v>0</v>
      </c>
      <c r="AN40" s="76">
        <f>IF(AM40=S40,T40,0)</f>
        <v>0</v>
      </c>
      <c r="AO40" s="77">
        <f t="shared" si="0"/>
        <v>0</v>
      </c>
      <c r="AP40" s="78">
        <f t="shared" si="1"/>
        <v>0</v>
      </c>
      <c r="AQ40" s="78">
        <f t="shared" si="2"/>
        <v>0</v>
      </c>
      <c r="AR40" s="79">
        <f t="shared" si="3"/>
        <v>0</v>
      </c>
      <c r="AS40" s="80">
        <f t="shared" si="4"/>
        <v>0</v>
      </c>
      <c r="AT40" s="81">
        <f t="shared" si="5"/>
        <v>0</v>
      </c>
      <c r="AU40" s="81">
        <f t="shared" si="6"/>
        <v>0</v>
      </c>
      <c r="AV40" s="81">
        <f t="shared" si="7"/>
        <v>0</v>
      </c>
      <c r="AW40" s="81">
        <f t="shared" si="8"/>
        <v>0</v>
      </c>
      <c r="AX40" s="81">
        <f t="shared" si="9"/>
        <v>0</v>
      </c>
      <c r="AY40" s="111">
        <f t="shared" si="10"/>
        <v>0</v>
      </c>
      <c r="AZ40" s="112">
        <f t="shared" si="11"/>
        <v>0</v>
      </c>
      <c r="BA40" s="113">
        <f t="shared" si="12"/>
        <v>0</v>
      </c>
      <c r="BB40" s="64">
        <f>V40 - U40</f>
        <v>0</v>
      </c>
      <c r="BC40" s="114">
        <f>X40 - W40</f>
        <v>0</v>
      </c>
      <c r="BD40" s="114">
        <f>Z40 - Y40</f>
        <v>0</v>
      </c>
      <c r="BE40" s="114">
        <f>AB40 - AA40</f>
        <v>0</v>
      </c>
      <c r="BF40" s="114">
        <f>AD40 - AC40</f>
        <v>0</v>
      </c>
      <c r="BG40" s="114">
        <f>AF40 - AE40</f>
        <v>0</v>
      </c>
      <c r="BH40" s="114">
        <f>AH40 - AG40</f>
        <v>0</v>
      </c>
      <c r="BI40" s="114">
        <f>AJ40 - AI40</f>
        <v>0</v>
      </c>
      <c r="BJ40" s="114">
        <f>AL40 - AK40</f>
        <v>0</v>
      </c>
      <c r="BK40" s="114">
        <f>AN40 - AM40</f>
        <v>0</v>
      </c>
      <c r="BL40" s="70">
        <f>ROUNDUP(SUM(BB40:BK40) * 288, 0) / 288</f>
        <v>0</v>
      </c>
      <c r="BM40" s="71"/>
    </row>
    <row r="41" spans="1:65" x14ac:dyDescent="0.25">
      <c r="A41" s="72"/>
      <c r="B41" s="73"/>
      <c r="C41" s="72"/>
      <c r="D41" s="73"/>
      <c r="E41" s="72"/>
      <c r="F41" s="73"/>
      <c r="G41" s="72"/>
      <c r="H41" s="73"/>
      <c r="I41" s="72"/>
      <c r="J41" s="73"/>
      <c r="K41" s="72"/>
      <c r="L41" s="73"/>
      <c r="M41" s="72"/>
      <c r="N41" s="73"/>
      <c r="O41" s="72"/>
      <c r="P41" s="73"/>
      <c r="Q41" s="72"/>
      <c r="R41" s="73"/>
      <c r="S41" s="72"/>
      <c r="T41" s="73"/>
      <c r="U41" s="74">
        <f>A41</f>
        <v>0</v>
      </c>
      <c r="V41" s="73">
        <f>IF(AND(C41&gt;0,(C41-B41)&lt;$U$43),IF(AND(E41&gt;0,(E41-D41)&lt;$U$43),IF(AND(G41&gt;0,(G41-F41)&lt;$U$43),IF(AND(I41&gt;0,(I41-H41)&lt;$U$43),IF(AND(K41&gt;0,(K41-J41)&lt;$U$43),IF(AND(M41&gt;0,(M41-L41)&lt;$U$43),IF(AND(O41&gt;0,(O41-N41)&lt;$U$43),P41,N41),L41),J41),H41),F41),D41),B41)</f>
        <v>0</v>
      </c>
      <c r="W41" s="72">
        <f>IF(AND(V41&gt;0,V41=B41),C41,IF(V41=D41,E41,IF(V41=F41,G41,IF(V41=H41,I41,IF(V41=J41,K41,IF(V41=L41,M41,IF(V41=N41,O41,IF(V41=P41,Q41,S41))))))))</f>
        <v>0</v>
      </c>
      <c r="X41" s="73">
        <f>IF(W41=C41,IF(AND(E41&gt;0,(E41-D41)&lt;$U$43),F41,D41),IF(W41=E41,IF(AND(G41&gt;0,(G41-F41)&lt;$U$43),H41,F41),IF(W41=G41,IF(AND(I41&gt;0,(I41-H41)&lt;$U$43),J41,H41),IF(W41=I41,IF(AND(K41&gt;0,(K41-J41)&lt;$U$43),L41,J41),IF(W41=K41,IF(AND(M41&gt;0,(M41-L41)&lt;$U$43),N41,L41),IF(W41=M41,IF(AND(O41&gt;0,(O41-N41)&lt;$U$43),O41,N41),P41))))))</f>
        <v>0</v>
      </c>
      <c r="Y41" s="72">
        <f>IF(AND(X41&gt;0,X41=D41),E41,IF(X41=F41,G41,IF(X41=H41,I41,IF(X41=J41,K41,IF(X41=L41,M41,IF(X41=N41,O41,IF(X41=P41,Q41,S41)))))))</f>
        <v>0</v>
      </c>
      <c r="Z41" s="73">
        <f>IF(Y41=E41,IF(AND(G41&gt;0,(G41-F41)&lt;$U$43),H41,F41),IF(Y41=G41,IF(AND(I41&gt;0,(I41-H41)&lt;$U$43),J41,H41),IF(Y41=I41,IF(AND(K41&gt;0,(K41-J41)&lt;$U$43),L41,J41),IF(Y41=K41,IF(AND(M41&gt;0,(M41-L41)&lt;$U$43),N41,L41),IF(Y41=M41,IF(AND(O41&gt;0,(O41-N41)&lt;$U$43),P41,N41),IF(Y41=O41,IF(AND(Q41&gt;0,(Q41-P41)&lt;$U$43),Q41,P41),R41))))))</f>
        <v>0</v>
      </c>
      <c r="AA41" s="72">
        <f>IF(AND(Z41&gt;0,Z41=F41),G41,IF(Z41=H41,I41,IF(Z41=J41,K41,IF(Z41=L41,M41,IF(Z41=N41,O41,IF(Z41=P41,Q41,S41))))))</f>
        <v>0</v>
      </c>
      <c r="AB41" s="73">
        <f>IF(AA41=G41,IF(AND(I41&gt;0,(I41-H41)&lt;$U$43),J41,H41),IF(AA41=I41,IF(AND(K41&gt;0,(K41-J41)&lt;$U$43),L41,J41),IF(AA41=K41,IF(AND(M41&gt;0,(M41-L41)&lt;$U$43),N41,L41),IF(AA41=M41,IF(AND(O41&gt;0,(O41-N41)&lt;$U$43),P41,N41),IF(AA41=O41,IF(AND(Q41&gt;0,(Q41-P41)&lt;$U$43),R41,P41),IF(AA41=Q41,IF(AND(S41&gt;0,(S41-R41)&lt;$U$43),S41,R41),T41))))))</f>
        <v>0</v>
      </c>
      <c r="AC41" s="75">
        <f>IF(AND(AB41&gt;0,AB41=H41),I41,IF(AB41=J41,K41,IF(AB41=L41,M41,IF(AB41=N41,O41,IF(AB41=P41,Q41,S41)))))</f>
        <v>0</v>
      </c>
      <c r="AD41" s="73">
        <f>IF(AC41=I41,IF(AND(K41&gt;0,(K41-J41)&lt;$U$43),L41,J41),IF(AC41=K41,IF(AND(M41&gt;0,(M41-L41)&lt;$U$43),N41,L41),IF(AC41=M41,IF(AND(O41&gt;0,(O41-N41)&lt;$U$43),P41,N41),IF(AC41=O41,IF(AND(Q41&gt;0,(Q41-P41)&lt;$U$43),R41,P41),IF(AC41=Q41,IF(AND(S41&gt;0,(S41-R41)&lt;$U$43),T41,R41))))))</f>
        <v>0</v>
      </c>
      <c r="AE41" s="75">
        <f>IF(AND(AD41&gt;0,AD41=J41),K41,IF(AD41=L41,M41,IF(AD41=N41,O41,IF(AD41=P41,Q41,S41))))</f>
        <v>0</v>
      </c>
      <c r="AF41" s="73">
        <f>IF(AE41=K41,IF(AND(M41&gt;0,(M41-L41)&lt;$U$43),N41,L41),IF(AE41=M41,IF(AND(O41&gt;0,(O41-N41)&lt;$U$43),P41,N41),IF(AE41=O41,IF(AND(Q41&gt;0,(Q41-P41)&lt;$U$43),R41,P41),IF(AE41=Q41,IF(AND(S41&gt;0,(S41-R41)&lt;$U$43),T41,R41)))))</f>
        <v>0</v>
      </c>
      <c r="AG41" s="75">
        <f>IF(AND(AF41&gt;0,AF41=L41),M41,IF(AF41=N41,O41,IF(AF41=P41,Q41,S41)))</f>
        <v>0</v>
      </c>
      <c r="AH41" s="73">
        <f>IF(AG41=M41,IF(AND(O41&gt;0,(O41-N41)&lt;$U$43),P41,N41),IF(AG41=O41,IF(AND(Q41&gt;0,(Q41-P41)&lt;$U$43),R41,P41),IF(AG41=Q41,IF(AND(S41&gt;0,(S41-R41)&lt;$U$43),T41,R41))))</f>
        <v>0</v>
      </c>
      <c r="AI41" s="75">
        <f>IF(AND(AH41&gt;0,AH41=N41),O41,IF(AH41=P41,Q41,S41))</f>
        <v>0</v>
      </c>
      <c r="AJ41" s="73">
        <f>IF(AI41=O41,IF(AND(Q41&gt;0,(Q41-P41)&lt;$U$43),R41,P41),IF(AI41=Q41,IF(AND(S41&gt;0,(S41-R41)&lt;$U$43),T41,R41)))</f>
        <v>0</v>
      </c>
      <c r="AK41" s="75">
        <f>IF(AND(AJ41&gt;0,AJ41=P41),Q41,S41)</f>
        <v>0</v>
      </c>
      <c r="AL41" s="73">
        <f>IF(AK41=Q41,IF(AND(S41&gt;0,(S41-R41)&lt;$U$43),T41,R41))</f>
        <v>0</v>
      </c>
      <c r="AM41" s="72">
        <f>IF(AND(AL41&gt;0,AL41=R41),S41,0)</f>
        <v>0</v>
      </c>
      <c r="AN41" s="76">
        <f>IF(AM41=S41,T41,0)</f>
        <v>0</v>
      </c>
      <c r="AO41" s="77">
        <f t="shared" si="0"/>
        <v>0</v>
      </c>
      <c r="AP41" s="78">
        <f t="shared" si="1"/>
        <v>0</v>
      </c>
      <c r="AQ41" s="78">
        <f t="shared" si="2"/>
        <v>0</v>
      </c>
      <c r="AR41" s="79">
        <f t="shared" si="3"/>
        <v>0</v>
      </c>
      <c r="AS41" s="80">
        <f t="shared" si="4"/>
        <v>0</v>
      </c>
      <c r="AT41" s="81">
        <f t="shared" si="5"/>
        <v>0</v>
      </c>
      <c r="AU41" s="81">
        <f t="shared" si="6"/>
        <v>0</v>
      </c>
      <c r="AV41" s="81">
        <f t="shared" si="7"/>
        <v>0</v>
      </c>
      <c r="AW41" s="81">
        <f t="shared" si="8"/>
        <v>0</v>
      </c>
      <c r="AX41" s="81">
        <f t="shared" si="9"/>
        <v>0</v>
      </c>
      <c r="AY41" s="77">
        <f t="shared" si="10"/>
        <v>0</v>
      </c>
      <c r="AZ41" s="82">
        <f t="shared" si="11"/>
        <v>0</v>
      </c>
      <c r="BA41" s="79">
        <f t="shared" si="12"/>
        <v>0</v>
      </c>
      <c r="BB41" s="80">
        <f>V41 - U41</f>
        <v>0</v>
      </c>
      <c r="BC41" s="83">
        <f>X41 - W41</f>
        <v>0</v>
      </c>
      <c r="BD41" s="83">
        <f>Z41 - Y41</f>
        <v>0</v>
      </c>
      <c r="BE41" s="83">
        <f>AB41 - AA41</f>
        <v>0</v>
      </c>
      <c r="BF41" s="83">
        <f>AD41 - AC41</f>
        <v>0</v>
      </c>
      <c r="BG41" s="83">
        <f>AF41 - AE41</f>
        <v>0</v>
      </c>
      <c r="BH41" s="83">
        <f>AH41 - AG41</f>
        <v>0</v>
      </c>
      <c r="BI41" s="83">
        <f>AJ41 - AI41</f>
        <v>0</v>
      </c>
      <c r="BJ41" s="83">
        <f>AL41 - AK41</f>
        <v>0</v>
      </c>
      <c r="BK41" s="83">
        <f>AN41 - AM41</f>
        <v>0</v>
      </c>
      <c r="BL41" s="84">
        <f>ROUNDUP(SUM(BB41:BK41) * 288, 0) / 288</f>
        <v>0</v>
      </c>
      <c r="BM41" s="71"/>
    </row>
    <row r="42" spans="1:65" ht="15.75" thickBot="1" x14ac:dyDescent="0.3">
      <c r="A42" s="97"/>
      <c r="B42" s="98"/>
      <c r="C42" s="97"/>
      <c r="D42" s="98"/>
      <c r="E42" s="97"/>
      <c r="F42" s="98"/>
      <c r="G42" s="97"/>
      <c r="H42" s="98"/>
      <c r="I42" s="97"/>
      <c r="J42" s="98"/>
      <c r="K42" s="97"/>
      <c r="L42" s="98"/>
      <c r="M42" s="97"/>
      <c r="N42" s="98"/>
      <c r="O42" s="97"/>
      <c r="P42" s="98"/>
      <c r="Q42" s="97"/>
      <c r="R42" s="98"/>
      <c r="S42" s="97"/>
      <c r="T42" s="98"/>
      <c r="U42" s="99">
        <f>A42</f>
        <v>0</v>
      </c>
      <c r="V42" s="98">
        <f>IF(AND(C42&gt;0,(C42-B42)&lt;$U$43),IF(AND(E42&gt;0,(E42-D42)&lt;$U$43),IF(AND(G42&gt;0,(G42-F42)&lt;$U$43),IF(AND(I42&gt;0,(I42-H42)&lt;$U$43),IF(AND(K42&gt;0,(K42-J42)&lt;$U$43),IF(AND(M42&gt;0,(M42-L42)&lt;$U$43),IF(AND(O42&gt;0,(O42-N42)&lt;$U$43),P42,N42),L42),J42),H42),F42),D42),B42)</f>
        <v>0</v>
      </c>
      <c r="W42" s="97">
        <f>IF(AND(V42&gt;0,V42=B42),C42,IF(V42=D42,E42,IF(V42=F42,G42,IF(V42=H42,I42,IF(V42=J42,K42,IF(V42=L42,M42,IF(V42=N42,O42,IF(V42=P42,Q42,S42))))))))</f>
        <v>0</v>
      </c>
      <c r="X42" s="98">
        <f>IF(W42=C42,IF(AND(E42&gt;0,(E42-D42)&lt;$U$43),F42,D42),IF(W42=E42,IF(AND(G42&gt;0,(G42-F42)&lt;$U$43),H42,F42),IF(W42=G42,IF(AND(I42&gt;0,(I42-H42)&lt;$U$43),J42,H42),IF(W42=I42,IF(AND(K42&gt;0,(K42-J42)&lt;$U$43),L42,J42),IF(W42=K42,IF(AND(M42&gt;0,(M42-L42)&lt;$U$43),N42,L42),IF(W42=M42,IF(AND(O42&gt;0,(O42-N42)&lt;$U$43),O42,N42),P42))))))</f>
        <v>0</v>
      </c>
      <c r="Y42" s="97">
        <f>IF(AND(X42&gt;0,X42=D42),E42,IF(X42=F42,G42,IF(X42=H42,I42,IF(X42=J42,K42,IF(X42=L42,M42,IF(X42=N42,O42,IF(X42=P42,Q42,S42)))))))</f>
        <v>0</v>
      </c>
      <c r="Z42" s="98">
        <f>IF(Y42=E42,IF(AND(G42&gt;0,(G42-F42)&lt;$U$43),H42,F42),IF(Y42=G42,IF(AND(I42&gt;0,(I42-H42)&lt;$U$43),J42,H42),IF(Y42=I42,IF(AND(K42&gt;0,(K42-J42)&lt;$U$43),L42,J42),IF(Y42=K42,IF(AND(M42&gt;0,(M42-L42)&lt;$U$43),N42,L42),IF(Y42=M42,IF(AND(O42&gt;0,(O42-N42)&lt;$U$43),P42,N42),IF(Y42=O42,IF(AND(Q42&gt;0,(Q42-P42)&lt;$U$43),Q42,P42),R42))))))</f>
        <v>0</v>
      </c>
      <c r="AA42" s="97">
        <f>IF(AND(Z42&gt;0,Z42=F42),G42,IF(Z42=H42,I42,IF(Z42=J42,K42,IF(Z42=L42,M42,IF(Z42=N42,O42,IF(Z42=P42,Q42,S42))))))</f>
        <v>0</v>
      </c>
      <c r="AB42" s="98">
        <f>IF(AA42=G42,IF(AND(I42&gt;0,(I42-H42)&lt;$U$43),J42,H42),IF(AA42=I42,IF(AND(K42&gt;0,(K42-J42)&lt;$U$43),L42,J42),IF(AA42=K42,IF(AND(M42&gt;0,(M42-L42)&lt;$U$43),N42,L42),IF(AA42=M42,IF(AND(O42&gt;0,(O42-N42)&lt;$U$43),P42,N42),IF(AA42=O42,IF(AND(Q42&gt;0,(Q42-P42)&lt;$U$43),R42,P42),IF(AA42=Q42,IF(AND(S42&gt;0,(S42-R42)&lt;$U$43),S42,R42),T42))))))</f>
        <v>0</v>
      </c>
      <c r="AC42" s="100">
        <f>IF(AND(AB42&gt;0,AB42=H42),I42,IF(AB42=J42,K42,IF(AB42=L42,M42,IF(AB42=N42,O42,IF(AB42=P42,Q42,S42)))))</f>
        <v>0</v>
      </c>
      <c r="AD42" s="98">
        <f>IF(AC42=I42,IF(AND(K42&gt;0,(K42-J42)&lt;$U$43),L42,J42),IF(AC42=K42,IF(AND(M42&gt;0,(M42-L42)&lt;$U$43),N42,L42),IF(AC42=M42,IF(AND(O42&gt;0,(O42-N42)&lt;$U$43),P42,N42),IF(AC42=O42,IF(AND(Q42&gt;0,(Q42-P42)&lt;$U$43),R42,P42),IF(AC42=Q42,IF(AND(S42&gt;0,(S42-R42)&lt;$U$43),T42,R42))))))</f>
        <v>0</v>
      </c>
      <c r="AE42" s="100">
        <f>IF(AND(AD42&gt;0,AD42=J42),K42,IF(AD42=L42,M42,IF(AD42=N42,O42,IF(AD42=P42,Q42,S42))))</f>
        <v>0</v>
      </c>
      <c r="AF42" s="98">
        <f>IF(AE42=K42,IF(AND(M42&gt;0,(M42-L42)&lt;$U$43),N42,L42),IF(AE42=M42,IF(AND(O42&gt;0,(O42-N42)&lt;$U$43),P42,N42),IF(AE42=O42,IF(AND(Q42&gt;0,(Q42-P42)&lt;$U$43),R42,P42),IF(AE42=Q42,IF(AND(S42&gt;0,(S42-R42)&lt;$U$43),T42,R42)))))</f>
        <v>0</v>
      </c>
      <c r="AG42" s="100">
        <f>IF(AND(AF42&gt;0,AF42=L42),M42,IF(AF42=N42,O42,IF(AF42=P42,Q42,S42)))</f>
        <v>0</v>
      </c>
      <c r="AH42" s="98">
        <f>IF(AG42=M42,IF(AND(O42&gt;0,(O42-N42)&lt;$U$43),P42,N42),IF(AG42=O42,IF(AND(Q42&gt;0,(Q42-P42)&lt;$U$43),R42,P42),IF(AG42=Q42,IF(AND(S42&gt;0,(S42-R42)&lt;$U$43),T42,R42))))</f>
        <v>0</v>
      </c>
      <c r="AI42" s="100">
        <f>IF(AND(AH42&gt;0,AH42=N42),O42,IF(AH42=P42,Q42,S42))</f>
        <v>0</v>
      </c>
      <c r="AJ42" s="98">
        <f>IF(AI42=O42,IF(AND(Q42&gt;0,(Q42-P42)&lt;$U$43),R42,P42),IF(AI42=Q42,IF(AND(S42&gt;0,(S42-R42)&lt;$U$43),T42,R42)))</f>
        <v>0</v>
      </c>
      <c r="AK42" s="100">
        <f>IF(AND(AJ42&gt;0,AJ42=P42),Q42,S42)</f>
        <v>0</v>
      </c>
      <c r="AL42" s="98">
        <f>IF(AK42=Q42,IF(AND(S42&gt;0,(S42-R42)&lt;$U$43),T42,R42))</f>
        <v>0</v>
      </c>
      <c r="AM42" s="97">
        <f>IF(AND(AL42&gt;0,AL42=R42),S42,0)</f>
        <v>0</v>
      </c>
      <c r="AN42" s="101">
        <f>IF(AM42=S42,T42,0)</f>
        <v>0</v>
      </c>
      <c r="AO42" s="102">
        <f t="shared" si="0"/>
        <v>0</v>
      </c>
      <c r="AP42" s="103">
        <f t="shared" si="1"/>
        <v>0</v>
      </c>
      <c r="AQ42" s="103">
        <f t="shared" si="2"/>
        <v>0</v>
      </c>
      <c r="AR42" s="104">
        <f t="shared" si="3"/>
        <v>0</v>
      </c>
      <c r="AS42" s="105">
        <f t="shared" si="4"/>
        <v>0</v>
      </c>
      <c r="AT42" s="106">
        <f t="shared" si="5"/>
        <v>0</v>
      </c>
      <c r="AU42" s="106">
        <f t="shared" si="6"/>
        <v>0</v>
      </c>
      <c r="AV42" s="106">
        <f t="shared" si="7"/>
        <v>0</v>
      </c>
      <c r="AW42" s="106">
        <f t="shared" si="8"/>
        <v>0</v>
      </c>
      <c r="AX42" s="106">
        <f t="shared" si="9"/>
        <v>0</v>
      </c>
      <c r="AY42" s="90">
        <f t="shared" si="10"/>
        <v>0</v>
      </c>
      <c r="AZ42" s="95">
        <f t="shared" si="11"/>
        <v>0</v>
      </c>
      <c r="BA42" s="92">
        <f t="shared" si="12"/>
        <v>0</v>
      </c>
      <c r="BB42" s="80">
        <f>V42 - U42</f>
        <v>0</v>
      </c>
      <c r="BC42" s="83">
        <f>X42 - W42</f>
        <v>0</v>
      </c>
      <c r="BD42" s="83">
        <f>Z42 - Y42</f>
        <v>0</v>
      </c>
      <c r="BE42" s="83">
        <f>AB42 - AA42</f>
        <v>0</v>
      </c>
      <c r="BF42" s="83">
        <f>AD42 - AC42</f>
        <v>0</v>
      </c>
      <c r="BG42" s="83">
        <f>AF42 - AE42</f>
        <v>0</v>
      </c>
      <c r="BH42" s="83">
        <f>AH42 - AG42</f>
        <v>0</v>
      </c>
      <c r="BI42" s="83">
        <f>AJ42 - AI42</f>
        <v>0</v>
      </c>
      <c r="BJ42" s="83">
        <f>AL42 - AK42</f>
        <v>0</v>
      </c>
      <c r="BK42" s="83">
        <f>AN42 - AM42</f>
        <v>0</v>
      </c>
      <c r="BL42" s="84">
        <f>ROUNDUP(SUM(BB42:BK42) * 288, 0) / 288</f>
        <v>0</v>
      </c>
      <c r="BM42" s="71"/>
    </row>
    <row r="43" spans="1:65" ht="16.5" thickTop="1" thickBot="1" x14ac:dyDescent="0.3">
      <c r="U43" s="41">
        <v>1.3888888888888888E-2</v>
      </c>
      <c r="AM43" s="115"/>
      <c r="AT43" s="116" t="s">
        <v>71</v>
      </c>
      <c r="AU43" s="116" t="s">
        <v>72</v>
      </c>
      <c r="AV43" s="116" t="s">
        <v>73</v>
      </c>
      <c r="AW43" s="116" t="s">
        <v>74</v>
      </c>
      <c r="AX43" s="116"/>
      <c r="AY43" s="117">
        <f>SUM(AY5:AY42)</f>
        <v>0</v>
      </c>
      <c r="AZ43" s="118">
        <f>SUM(AZ5:AZ42)</f>
        <v>1</v>
      </c>
      <c r="BA43" s="119">
        <f>SUM(BA5:BA42)</f>
        <v>0</v>
      </c>
      <c r="BB43" s="120" t="str">
        <f t="shared" ref="BB43:BL43" si="13">TRUNC(SUM(BB5:BB42)*24,0) &amp; ":" &amp; RIGHT("00"&amp;ROUND(((SUM(BB5:BB42)*24)-TRUNC(SUM(BB5:BB42)*24,0))*60,2),2)</f>
        <v>56:33</v>
      </c>
      <c r="BC43" s="121" t="str">
        <f t="shared" si="13"/>
        <v>59:12</v>
      </c>
      <c r="BD43" s="121" t="str">
        <f t="shared" si="13"/>
        <v>3:01</v>
      </c>
      <c r="BE43" s="121" t="str">
        <f t="shared" si="13"/>
        <v>0:00</v>
      </c>
      <c r="BF43" s="121" t="str">
        <f t="shared" si="13"/>
        <v>0:00</v>
      </c>
      <c r="BG43" s="121" t="str">
        <f t="shared" si="13"/>
        <v>0:00</v>
      </c>
      <c r="BH43" s="121" t="str">
        <f t="shared" si="13"/>
        <v>0:00</v>
      </c>
      <c r="BI43" s="121" t="str">
        <f t="shared" si="13"/>
        <v>0:00</v>
      </c>
      <c r="BJ43" s="121" t="str">
        <f t="shared" si="13"/>
        <v>0:00</v>
      </c>
      <c r="BK43" s="122" t="str">
        <f t="shared" si="13"/>
        <v>0:00</v>
      </c>
      <c r="BL43" s="123" t="str">
        <f t="shared" si="13"/>
        <v>119:10</v>
      </c>
      <c r="BM43" s="124"/>
    </row>
    <row r="45" spans="1:65" x14ac:dyDescent="0.25">
      <c r="C45" s="391"/>
      <c r="D45" s="391"/>
    </row>
  </sheetData>
  <mergeCells count="30">
    <mergeCell ref="AO2:BA2"/>
    <mergeCell ref="BB2:BL2"/>
    <mergeCell ref="A3:B3"/>
    <mergeCell ref="C3:D3"/>
    <mergeCell ref="E3:F3"/>
    <mergeCell ref="G3:H3"/>
    <mergeCell ref="I3:J3"/>
    <mergeCell ref="O3:P3"/>
    <mergeCell ref="Q3:R3"/>
    <mergeCell ref="S3:T3"/>
    <mergeCell ref="U3:V3"/>
    <mergeCell ref="A2:G2"/>
    <mergeCell ref="H2:T2"/>
    <mergeCell ref="U2:AN2"/>
    <mergeCell ref="BB3:BL3"/>
    <mergeCell ref="AS3:AX3"/>
    <mergeCell ref="C45:D45"/>
    <mergeCell ref="AI3:AJ3"/>
    <mergeCell ref="AK3:AL3"/>
    <mergeCell ref="AM3:AN3"/>
    <mergeCell ref="AO3:AR3"/>
    <mergeCell ref="K3:L3"/>
    <mergeCell ref="M3:N3"/>
    <mergeCell ref="AY3:BA3"/>
    <mergeCell ref="W3:X3"/>
    <mergeCell ref="Y3:Z3"/>
    <mergeCell ref="AA3:AB3"/>
    <mergeCell ref="AC3:AD3"/>
    <mergeCell ref="AE3:AF3"/>
    <mergeCell ref="AG3:AH3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C15"/>
  <sheetViews>
    <sheetView workbookViewId="0">
      <selection activeCell="C15" sqref="C15"/>
    </sheetView>
  </sheetViews>
  <sheetFormatPr baseColWidth="10" defaultRowHeight="15" x14ac:dyDescent="0.25"/>
  <cols>
    <col min="1" max="1" width="17.5703125" customWidth="1"/>
    <col min="2" max="2" width="38" customWidth="1"/>
    <col min="3" max="3" width="12.42578125" customWidth="1"/>
  </cols>
  <sheetData>
    <row r="1" spans="1:3" x14ac:dyDescent="0.25">
      <c r="A1" t="s">
        <v>116</v>
      </c>
      <c r="B1" t="s">
        <v>12</v>
      </c>
      <c r="C1" t="s">
        <v>130</v>
      </c>
    </row>
    <row r="2" spans="1:3" x14ac:dyDescent="0.25">
      <c r="A2" t="s">
        <v>118</v>
      </c>
      <c r="B2" t="s">
        <v>117</v>
      </c>
      <c r="C2">
        <v>0.3</v>
      </c>
    </row>
    <row r="3" spans="1:3" x14ac:dyDescent="0.25">
      <c r="A3" t="s">
        <v>119</v>
      </c>
      <c r="B3" t="s">
        <v>141</v>
      </c>
      <c r="C3">
        <v>0.2</v>
      </c>
    </row>
    <row r="4" spans="1:3" x14ac:dyDescent="0.25">
      <c r="A4" t="s">
        <v>120</v>
      </c>
      <c r="B4" t="s">
        <v>121</v>
      </c>
      <c r="C4">
        <v>0.5</v>
      </c>
    </row>
    <row r="5" spans="1:3" x14ac:dyDescent="0.25">
      <c r="A5" t="s">
        <v>122</v>
      </c>
      <c r="B5" t="s">
        <v>131</v>
      </c>
      <c r="C5">
        <v>0.6</v>
      </c>
    </row>
    <row r="6" spans="1:3" x14ac:dyDescent="0.25">
      <c r="A6" t="s">
        <v>123</v>
      </c>
      <c r="B6" t="s">
        <v>132</v>
      </c>
      <c r="C6">
        <v>0.35</v>
      </c>
    </row>
    <row r="7" spans="1:3" x14ac:dyDescent="0.25">
      <c r="A7" t="s">
        <v>124</v>
      </c>
      <c r="B7" t="s">
        <v>125</v>
      </c>
      <c r="C7">
        <v>0.25</v>
      </c>
    </row>
    <row r="8" spans="1:3" x14ac:dyDescent="0.25">
      <c r="A8" t="s">
        <v>126</v>
      </c>
      <c r="B8" t="s">
        <v>127</v>
      </c>
      <c r="C8">
        <v>0.5</v>
      </c>
    </row>
    <row r="9" spans="1:3" x14ac:dyDescent="0.25">
      <c r="A9" t="s">
        <v>133</v>
      </c>
      <c r="B9" t="s">
        <v>134</v>
      </c>
      <c r="C9">
        <v>6.5</v>
      </c>
    </row>
    <row r="10" spans="1:3" x14ac:dyDescent="0.25">
      <c r="A10" t="s">
        <v>135</v>
      </c>
      <c r="B10" t="s">
        <v>136</v>
      </c>
      <c r="C10">
        <v>1.5</v>
      </c>
    </row>
    <row r="11" spans="1:3" x14ac:dyDescent="0.25">
      <c r="A11" t="s">
        <v>137</v>
      </c>
      <c r="B11" t="s">
        <v>138</v>
      </c>
      <c r="C11">
        <v>6</v>
      </c>
    </row>
    <row r="12" spans="1:3" x14ac:dyDescent="0.25">
      <c r="A12" t="s">
        <v>140</v>
      </c>
      <c r="B12" t="s">
        <v>139</v>
      </c>
      <c r="C12">
        <v>2.5</v>
      </c>
    </row>
    <row r="13" spans="1:3" x14ac:dyDescent="0.25">
      <c r="A13" t="s">
        <v>142</v>
      </c>
      <c r="B13" t="s">
        <v>143</v>
      </c>
      <c r="C13">
        <v>32.5</v>
      </c>
    </row>
    <row r="14" spans="1:3" x14ac:dyDescent="0.25">
      <c r="A14" t="s">
        <v>144</v>
      </c>
      <c r="B14" t="s">
        <v>145</v>
      </c>
      <c r="C14">
        <v>0.25</v>
      </c>
    </row>
    <row r="15" spans="1:3" x14ac:dyDescent="0.25">
      <c r="A15" t="s">
        <v>146</v>
      </c>
      <c r="B15" t="s">
        <v>147</v>
      </c>
      <c r="C15">
        <v>1.1000000000000001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B1:Q41"/>
  <sheetViews>
    <sheetView workbookViewId="0">
      <selection activeCell="L56" sqref="L56"/>
    </sheetView>
  </sheetViews>
  <sheetFormatPr baseColWidth="10" defaultRowHeight="15" x14ac:dyDescent="0.25"/>
  <cols>
    <col min="1" max="1" width="4" style="24" customWidth="1"/>
    <col min="2" max="2" width="11.42578125" style="24"/>
    <col min="3" max="3" width="7.42578125" style="24" customWidth="1"/>
    <col min="4" max="7" width="7.140625" style="24" customWidth="1"/>
    <col min="8" max="8" width="4.7109375" style="24" customWidth="1"/>
    <col min="9" max="11" width="7.140625" style="24" customWidth="1"/>
    <col min="12" max="12" width="4.7109375" style="24" customWidth="1"/>
    <col min="13" max="13" width="7.140625" style="24" customWidth="1"/>
    <col min="14" max="14" width="7.5703125" style="24" customWidth="1"/>
    <col min="15" max="15" width="11.140625" style="24" customWidth="1"/>
    <col min="16" max="16" width="6.28515625" style="24" customWidth="1"/>
    <col min="17" max="16384" width="11.42578125" style="24"/>
  </cols>
  <sheetData>
    <row r="1" spans="2:17" x14ac:dyDescent="0.25">
      <c r="B1" s="451" t="s">
        <v>87</v>
      </c>
      <c r="C1" s="451"/>
      <c r="D1" s="451"/>
      <c r="E1" s="451"/>
      <c r="F1" s="451"/>
      <c r="G1" s="451"/>
      <c r="H1" s="451"/>
      <c r="I1" s="451"/>
      <c r="J1" s="451"/>
      <c r="K1" s="451"/>
      <c r="L1" s="451"/>
      <c r="M1" s="451"/>
      <c r="N1" s="451"/>
      <c r="O1" s="451"/>
    </row>
    <row r="2" spans="2:17" x14ac:dyDescent="0.25">
      <c r="B2" s="332"/>
      <c r="C2" s="332"/>
      <c r="D2" s="332"/>
      <c r="E2" s="332"/>
      <c r="F2" s="332"/>
      <c r="G2" s="332"/>
      <c r="H2" s="332"/>
      <c r="I2" s="332"/>
      <c r="J2" s="332"/>
      <c r="K2" s="332"/>
      <c r="L2" s="332"/>
      <c r="M2" s="332"/>
      <c r="N2" s="332"/>
      <c r="O2" s="332"/>
    </row>
    <row r="3" spans="2:17" x14ac:dyDescent="0.25">
      <c r="B3" s="24" t="s">
        <v>88</v>
      </c>
      <c r="C3" s="132" t="s">
        <v>89</v>
      </c>
    </row>
    <row r="4" spans="2:17" x14ac:dyDescent="0.25">
      <c r="B4" s="24" t="s">
        <v>90</v>
      </c>
      <c r="D4" s="24">
        <f>Inter!I23</f>
        <v>0</v>
      </c>
      <c r="K4" s="24" t="s">
        <v>155</v>
      </c>
    </row>
    <row r="5" spans="2:17" ht="15.75" thickBot="1" x14ac:dyDescent="0.3"/>
    <row r="6" spans="2:17" ht="15.75" customHeight="1" x14ac:dyDescent="0.25">
      <c r="C6" s="452" t="s">
        <v>91</v>
      </c>
      <c r="D6" s="455" t="s">
        <v>92</v>
      </c>
      <c r="E6" s="455" t="s">
        <v>4</v>
      </c>
      <c r="F6" s="458"/>
      <c r="G6" s="458"/>
      <c r="H6" s="460" t="s">
        <v>93</v>
      </c>
      <c r="I6" s="462" t="s">
        <v>4</v>
      </c>
      <c r="J6" s="458"/>
      <c r="K6" s="458"/>
      <c r="L6" s="460" t="s">
        <v>93</v>
      </c>
      <c r="M6" s="464" t="s">
        <v>94</v>
      </c>
      <c r="N6" s="195"/>
      <c r="O6" s="196"/>
    </row>
    <row r="7" spans="2:17" x14ac:dyDescent="0.25">
      <c r="C7" s="453"/>
      <c r="D7" s="456"/>
      <c r="E7" s="459"/>
      <c r="F7" s="459"/>
      <c r="G7" s="459"/>
      <c r="H7" s="461"/>
      <c r="I7" s="463"/>
      <c r="J7" s="459"/>
      <c r="K7" s="459"/>
      <c r="L7" s="461"/>
      <c r="M7" s="465"/>
      <c r="N7" s="195"/>
      <c r="O7" s="196"/>
    </row>
    <row r="8" spans="2:17" x14ac:dyDescent="0.25">
      <c r="C8" s="453"/>
      <c r="D8" s="456"/>
      <c r="E8" s="459"/>
      <c r="F8" s="459"/>
      <c r="G8" s="459"/>
      <c r="H8" s="461"/>
      <c r="I8" s="463"/>
      <c r="J8" s="459"/>
      <c r="K8" s="459"/>
      <c r="L8" s="461"/>
      <c r="M8" s="465"/>
      <c r="N8" s="195"/>
      <c r="O8" s="196"/>
    </row>
    <row r="9" spans="2:17" ht="15.75" thickBot="1" x14ac:dyDescent="0.3">
      <c r="C9" s="454"/>
      <c r="D9" s="457"/>
      <c r="E9" s="197" t="s">
        <v>58</v>
      </c>
      <c r="F9" s="197" t="s">
        <v>59</v>
      </c>
      <c r="G9" s="197" t="s">
        <v>95</v>
      </c>
      <c r="H9" s="461"/>
      <c r="I9" s="198" t="s">
        <v>58</v>
      </c>
      <c r="J9" s="197" t="s">
        <v>59</v>
      </c>
      <c r="K9" s="197" t="s">
        <v>95</v>
      </c>
      <c r="L9" s="461"/>
      <c r="M9" s="465"/>
      <c r="N9" s="195"/>
      <c r="O9" s="196"/>
    </row>
    <row r="10" spans="2:17" ht="15.75" thickBot="1" x14ac:dyDescent="0.3">
      <c r="B10" s="437" t="s">
        <v>80</v>
      </c>
      <c r="C10" s="438"/>
      <c r="D10" s="441">
        <v>0.3125</v>
      </c>
      <c r="E10" s="199">
        <v>0.48125000000000001</v>
      </c>
      <c r="F10" s="199">
        <v>0.5229166666666667</v>
      </c>
      <c r="G10" s="200"/>
      <c r="H10" s="201" t="s">
        <v>154</v>
      </c>
      <c r="I10" s="202"/>
      <c r="J10" s="203"/>
      <c r="K10" s="204"/>
      <c r="L10" s="205"/>
      <c r="M10" s="450">
        <v>0.71458333333333324</v>
      </c>
      <c r="N10" s="195"/>
      <c r="O10" s="196"/>
      <c r="P10" s="206"/>
      <c r="Q10" s="206"/>
    </row>
    <row r="11" spans="2:17" ht="15.75" thickBot="1" x14ac:dyDescent="0.3">
      <c r="B11" s="437"/>
      <c r="C11" s="439"/>
      <c r="D11" s="442"/>
      <c r="E11" s="207"/>
      <c r="F11" s="207"/>
      <c r="G11" s="46"/>
      <c r="H11" s="47"/>
      <c r="I11" s="208"/>
      <c r="J11" s="209"/>
      <c r="K11" s="210"/>
      <c r="L11" s="211"/>
      <c r="M11" s="445"/>
      <c r="N11" s="195"/>
      <c r="O11" s="196"/>
      <c r="P11" s="172"/>
      <c r="Q11" s="172"/>
    </row>
    <row r="12" spans="2:17" ht="15.75" thickBot="1" x14ac:dyDescent="0.3">
      <c r="B12" s="437"/>
      <c r="C12" s="440"/>
      <c r="D12" s="443"/>
      <c r="E12" s="212"/>
      <c r="F12" s="212"/>
      <c r="G12" s="213"/>
      <c r="H12" s="214"/>
      <c r="I12" s="215"/>
      <c r="J12" s="216"/>
      <c r="K12" s="217"/>
      <c r="L12" s="218"/>
      <c r="M12" s="446"/>
      <c r="N12" s="195"/>
      <c r="O12" s="196"/>
      <c r="P12" s="172"/>
      <c r="Q12" s="172"/>
    </row>
    <row r="13" spans="2:17" ht="15.75" thickBot="1" x14ac:dyDescent="0.3">
      <c r="B13" s="437" t="s">
        <v>81</v>
      </c>
      <c r="C13" s="438"/>
      <c r="D13" s="441">
        <v>0.3611111111111111</v>
      </c>
      <c r="E13" s="199">
        <v>0.56944444444444442</v>
      </c>
      <c r="F13" s="199">
        <v>0.61111111111111105</v>
      </c>
      <c r="G13" s="200"/>
      <c r="H13" s="201" t="s">
        <v>154</v>
      </c>
      <c r="I13" s="202"/>
      <c r="J13" s="203"/>
      <c r="K13" s="204"/>
      <c r="L13" s="205"/>
      <c r="M13" s="444">
        <v>0.73125000000000007</v>
      </c>
      <c r="N13" s="195"/>
      <c r="O13" s="219"/>
      <c r="P13" s="172"/>
      <c r="Q13" s="172"/>
    </row>
    <row r="14" spans="2:17" ht="15.75" thickBot="1" x14ac:dyDescent="0.3">
      <c r="B14" s="437"/>
      <c r="C14" s="439"/>
      <c r="D14" s="442"/>
      <c r="E14" s="207"/>
      <c r="F14" s="207"/>
      <c r="G14" s="46"/>
      <c r="H14" s="47"/>
      <c r="I14" s="208"/>
      <c r="J14" s="209"/>
      <c r="K14" s="210"/>
      <c r="L14" s="211"/>
      <c r="M14" s="445"/>
      <c r="N14" s="220"/>
      <c r="O14" s="219"/>
      <c r="P14" s="172"/>
      <c r="Q14" s="172"/>
    </row>
    <row r="15" spans="2:17" ht="15.75" thickBot="1" x14ac:dyDescent="0.3">
      <c r="B15" s="437"/>
      <c r="C15" s="440"/>
      <c r="D15" s="443"/>
      <c r="E15" s="212"/>
      <c r="F15" s="212"/>
      <c r="G15" s="213"/>
      <c r="H15" s="214"/>
      <c r="I15" s="215"/>
      <c r="J15" s="216"/>
      <c r="K15" s="217"/>
      <c r="L15" s="218"/>
      <c r="M15" s="446"/>
      <c r="N15" s="220"/>
      <c r="O15" s="219"/>
      <c r="P15" s="172"/>
      <c r="Q15" s="172"/>
    </row>
    <row r="16" spans="2:17" ht="15.75" thickBot="1" x14ac:dyDescent="0.3">
      <c r="B16" s="437" t="s">
        <v>82</v>
      </c>
      <c r="C16" s="438"/>
      <c r="D16" s="441">
        <v>0.33333333333333331</v>
      </c>
      <c r="E16" s="199">
        <v>0.45833333333333331</v>
      </c>
      <c r="F16" s="199">
        <v>0.5</v>
      </c>
      <c r="G16" s="200"/>
      <c r="H16" s="201" t="s">
        <v>154</v>
      </c>
      <c r="I16" s="202"/>
      <c r="J16" s="203"/>
      <c r="K16" s="204"/>
      <c r="L16" s="205"/>
      <c r="M16" s="444">
        <v>0.71111111111111114</v>
      </c>
      <c r="N16" s="220"/>
      <c r="O16" s="219"/>
      <c r="P16" s="172"/>
      <c r="Q16" s="172"/>
    </row>
    <row r="17" spans="2:17" ht="15.75" thickBot="1" x14ac:dyDescent="0.3">
      <c r="B17" s="437"/>
      <c r="C17" s="439"/>
      <c r="D17" s="442"/>
      <c r="E17" s="207"/>
      <c r="F17" s="207"/>
      <c r="G17" s="46"/>
      <c r="H17" s="47"/>
      <c r="I17" s="208"/>
      <c r="J17" s="209"/>
      <c r="K17" s="210"/>
      <c r="L17" s="211"/>
      <c r="M17" s="445"/>
      <c r="N17" s="220"/>
      <c r="O17" s="219"/>
      <c r="P17" s="172"/>
      <c r="Q17" s="172"/>
    </row>
    <row r="18" spans="2:17" ht="15.75" thickBot="1" x14ac:dyDescent="0.3">
      <c r="B18" s="437"/>
      <c r="C18" s="440"/>
      <c r="D18" s="443"/>
      <c r="E18" s="212"/>
      <c r="F18" s="212"/>
      <c r="G18" s="213"/>
      <c r="H18" s="214"/>
      <c r="I18" s="215"/>
      <c r="J18" s="216"/>
      <c r="K18" s="217"/>
      <c r="L18" s="218"/>
      <c r="M18" s="446"/>
      <c r="N18" s="220"/>
      <c r="O18" s="219"/>
      <c r="P18" s="172"/>
      <c r="Q18" s="172"/>
    </row>
    <row r="19" spans="2:17" ht="15.75" thickBot="1" x14ac:dyDescent="0.3">
      <c r="B19" s="437" t="s">
        <v>83</v>
      </c>
      <c r="C19" s="438"/>
      <c r="D19" s="441">
        <v>0.25347222222222221</v>
      </c>
      <c r="E19" s="199">
        <v>0.45902777777777781</v>
      </c>
      <c r="F19" s="199">
        <v>0.50069444444444444</v>
      </c>
      <c r="G19" s="200"/>
      <c r="H19" s="201" t="s">
        <v>154</v>
      </c>
      <c r="I19" s="202"/>
      <c r="J19" s="203"/>
      <c r="K19" s="204"/>
      <c r="L19" s="205"/>
      <c r="M19" s="444">
        <v>0.65</v>
      </c>
      <c r="N19" s="220"/>
      <c r="O19" s="219"/>
      <c r="P19" s="172"/>
      <c r="Q19" s="172"/>
    </row>
    <row r="20" spans="2:17" ht="15.75" thickBot="1" x14ac:dyDescent="0.3">
      <c r="B20" s="437"/>
      <c r="C20" s="439"/>
      <c r="D20" s="442"/>
      <c r="E20" s="207"/>
      <c r="F20" s="207"/>
      <c r="G20" s="46"/>
      <c r="H20" s="47"/>
      <c r="I20" s="208"/>
      <c r="J20" s="209"/>
      <c r="K20" s="210"/>
      <c r="L20" s="211"/>
      <c r="M20" s="445"/>
      <c r="N20" s="220"/>
      <c r="O20" s="219"/>
      <c r="P20" s="172"/>
      <c r="Q20" s="172"/>
    </row>
    <row r="21" spans="2:17" ht="15.75" thickBot="1" x14ac:dyDescent="0.3">
      <c r="B21" s="437"/>
      <c r="C21" s="440"/>
      <c r="D21" s="443"/>
      <c r="E21" s="212"/>
      <c r="F21" s="212"/>
      <c r="G21" s="213"/>
      <c r="H21" s="214"/>
      <c r="I21" s="215"/>
      <c r="J21" s="216"/>
      <c r="K21" s="217"/>
      <c r="L21" s="218"/>
      <c r="M21" s="446"/>
      <c r="N21" s="220"/>
      <c r="O21" s="219"/>
      <c r="P21" s="172"/>
      <c r="Q21" s="172"/>
    </row>
    <row r="22" spans="2:17" ht="15.75" thickBot="1" x14ac:dyDescent="0.3">
      <c r="B22" s="437" t="s">
        <v>84</v>
      </c>
      <c r="C22" s="438"/>
      <c r="D22" s="441">
        <v>0.375</v>
      </c>
      <c r="E22" s="199">
        <v>0.5131944444444444</v>
      </c>
      <c r="F22" s="199">
        <v>0.55486111111111114</v>
      </c>
      <c r="G22" s="200"/>
      <c r="H22" s="201" t="s">
        <v>154</v>
      </c>
      <c r="I22" s="202"/>
      <c r="J22" s="203"/>
      <c r="K22" s="204"/>
      <c r="L22" s="205"/>
      <c r="M22" s="444">
        <v>0.66666666666666663</v>
      </c>
      <c r="N22" s="195"/>
      <c r="O22" s="219"/>
      <c r="P22" s="172"/>
      <c r="Q22" s="172"/>
    </row>
    <row r="23" spans="2:17" ht="15.75" thickBot="1" x14ac:dyDescent="0.3">
      <c r="B23" s="437"/>
      <c r="C23" s="439"/>
      <c r="D23" s="442"/>
      <c r="E23" s="207"/>
      <c r="F23" s="207"/>
      <c r="G23" s="46"/>
      <c r="H23" s="47"/>
      <c r="I23" s="208"/>
      <c r="J23" s="209"/>
      <c r="K23" s="210"/>
      <c r="L23" s="211"/>
      <c r="M23" s="445"/>
      <c r="N23" s="220"/>
      <c r="O23" s="219"/>
      <c r="P23" s="172"/>
      <c r="Q23" s="172"/>
    </row>
    <row r="24" spans="2:17" ht="15.75" thickBot="1" x14ac:dyDescent="0.3">
      <c r="B24" s="437"/>
      <c r="C24" s="440"/>
      <c r="D24" s="443"/>
      <c r="E24" s="212"/>
      <c r="F24" s="212"/>
      <c r="G24" s="213"/>
      <c r="H24" s="214"/>
      <c r="I24" s="215"/>
      <c r="J24" s="216"/>
      <c r="K24" s="217"/>
      <c r="L24" s="218"/>
      <c r="M24" s="446"/>
      <c r="N24" s="220"/>
      <c r="O24" s="219"/>
      <c r="P24" s="172"/>
      <c r="Q24" s="172"/>
    </row>
    <row r="25" spans="2:17" ht="15.75" thickBot="1" x14ac:dyDescent="0.3">
      <c r="B25" s="437" t="s">
        <v>85</v>
      </c>
      <c r="C25" s="438"/>
      <c r="D25" s="441"/>
      <c r="E25" s="199"/>
      <c r="F25" s="199"/>
      <c r="G25" s="200"/>
      <c r="H25" s="201"/>
      <c r="I25" s="202"/>
      <c r="J25" s="203"/>
      <c r="K25" s="204"/>
      <c r="L25" s="205"/>
      <c r="M25" s="444"/>
      <c r="N25" s="220"/>
      <c r="O25" s="219"/>
      <c r="P25" s="172"/>
      <c r="Q25" s="172"/>
    </row>
    <row r="26" spans="2:17" ht="15.75" thickBot="1" x14ac:dyDescent="0.3">
      <c r="B26" s="437"/>
      <c r="C26" s="439"/>
      <c r="D26" s="442"/>
      <c r="E26" s="207"/>
      <c r="F26" s="207"/>
      <c r="G26" s="46"/>
      <c r="H26" s="47"/>
      <c r="I26" s="208"/>
      <c r="J26" s="209"/>
      <c r="K26" s="210"/>
      <c r="L26" s="211"/>
      <c r="M26" s="445"/>
      <c r="N26" s="220"/>
      <c r="O26" s="219"/>
      <c r="P26" s="172"/>
      <c r="Q26" s="172"/>
    </row>
    <row r="27" spans="2:17" ht="15.75" thickBot="1" x14ac:dyDescent="0.3">
      <c r="B27" s="437"/>
      <c r="C27" s="440"/>
      <c r="D27" s="443"/>
      <c r="E27" s="212"/>
      <c r="F27" s="212"/>
      <c r="G27" s="213"/>
      <c r="H27" s="214"/>
      <c r="I27" s="215"/>
      <c r="J27" s="216"/>
      <c r="K27" s="217"/>
      <c r="L27" s="218"/>
      <c r="M27" s="446"/>
      <c r="N27" s="220"/>
      <c r="O27" s="219"/>
      <c r="P27" s="172"/>
      <c r="Q27" s="172"/>
    </row>
    <row r="28" spans="2:17" ht="15.75" thickBot="1" x14ac:dyDescent="0.3">
      <c r="B28" s="437" t="s">
        <v>86</v>
      </c>
      <c r="C28" s="438"/>
      <c r="D28" s="441"/>
      <c r="E28" s="199"/>
      <c r="F28" s="199"/>
      <c r="G28" s="200"/>
      <c r="H28" s="201"/>
      <c r="I28" s="202"/>
      <c r="J28" s="203"/>
      <c r="K28" s="204"/>
      <c r="L28" s="205"/>
      <c r="M28" s="444"/>
      <c r="N28" s="220"/>
      <c r="O28" s="219"/>
      <c r="P28" s="172"/>
      <c r="Q28" s="172"/>
    </row>
    <row r="29" spans="2:17" ht="15.75" thickBot="1" x14ac:dyDescent="0.3">
      <c r="B29" s="437"/>
      <c r="C29" s="439"/>
      <c r="D29" s="442"/>
      <c r="E29" s="207"/>
      <c r="F29" s="207"/>
      <c r="G29" s="46"/>
      <c r="H29" s="47"/>
      <c r="I29" s="208"/>
      <c r="J29" s="209"/>
      <c r="K29" s="210"/>
      <c r="L29" s="211"/>
      <c r="M29" s="445"/>
      <c r="N29" s="220"/>
      <c r="O29" s="219"/>
      <c r="P29" s="172"/>
      <c r="Q29" s="172"/>
    </row>
    <row r="30" spans="2:17" ht="15.75" thickBot="1" x14ac:dyDescent="0.3">
      <c r="B30" s="437"/>
      <c r="C30" s="440"/>
      <c r="D30" s="443"/>
      <c r="E30" s="212"/>
      <c r="F30" s="212"/>
      <c r="G30" s="213"/>
      <c r="H30" s="214"/>
      <c r="I30" s="215"/>
      <c r="J30" s="216"/>
      <c r="K30" s="217"/>
      <c r="L30" s="218"/>
      <c r="M30" s="446"/>
      <c r="N30" s="220"/>
      <c r="O30" s="219"/>
      <c r="P30" s="172"/>
      <c r="Q30" s="172"/>
    </row>
    <row r="32" spans="2:17" x14ac:dyDescent="0.25">
      <c r="B32" s="221" t="s">
        <v>96</v>
      </c>
    </row>
    <row r="33" spans="2:15" x14ac:dyDescent="0.25">
      <c r="B33" s="221" t="s">
        <v>97</v>
      </c>
    </row>
    <row r="36" spans="2:15" x14ac:dyDescent="0.25">
      <c r="B36" s="447" t="s">
        <v>98</v>
      </c>
      <c r="C36" s="448"/>
      <c r="D36" s="448"/>
      <c r="E36" s="448"/>
      <c r="F36" s="448"/>
      <c r="G36" s="448"/>
      <c r="H36" s="448"/>
      <c r="I36" s="448"/>
      <c r="J36" s="449"/>
      <c r="K36" s="447" t="s">
        <v>99</v>
      </c>
      <c r="L36" s="448"/>
      <c r="M36" s="448"/>
      <c r="N36" s="369"/>
      <c r="O36" s="370"/>
    </row>
    <row r="37" spans="2:15" x14ac:dyDescent="0.25">
      <c r="B37" s="426"/>
      <c r="C37" s="427"/>
      <c r="D37" s="427"/>
      <c r="E37" s="427"/>
      <c r="F37" s="427"/>
      <c r="G37" s="427"/>
      <c r="H37" s="427"/>
      <c r="I37" s="427"/>
      <c r="J37" s="428"/>
      <c r="K37" s="435" t="s">
        <v>100</v>
      </c>
      <c r="L37" s="369"/>
      <c r="M37" s="370"/>
      <c r="N37" s="435" t="s">
        <v>101</v>
      </c>
      <c r="O37" s="436"/>
    </row>
    <row r="38" spans="2:15" x14ac:dyDescent="0.25">
      <c r="B38" s="429"/>
      <c r="C38" s="430"/>
      <c r="D38" s="430"/>
      <c r="E38" s="430"/>
      <c r="F38" s="430"/>
      <c r="G38" s="430"/>
      <c r="H38" s="430"/>
      <c r="I38" s="430"/>
      <c r="J38" s="431"/>
      <c r="K38" s="426"/>
      <c r="L38" s="427"/>
      <c r="M38" s="428"/>
      <c r="N38" s="426"/>
      <c r="O38" s="428"/>
    </row>
    <row r="39" spans="2:15" x14ac:dyDescent="0.25">
      <c r="B39" s="429"/>
      <c r="C39" s="430"/>
      <c r="D39" s="430"/>
      <c r="E39" s="430"/>
      <c r="F39" s="430"/>
      <c r="G39" s="430"/>
      <c r="H39" s="430"/>
      <c r="I39" s="430"/>
      <c r="J39" s="431"/>
      <c r="K39" s="429"/>
      <c r="L39" s="430"/>
      <c r="M39" s="431"/>
      <c r="N39" s="429"/>
      <c r="O39" s="431"/>
    </row>
    <row r="40" spans="2:15" x14ac:dyDescent="0.25">
      <c r="B40" s="429"/>
      <c r="C40" s="430"/>
      <c r="D40" s="430"/>
      <c r="E40" s="430"/>
      <c r="F40" s="430"/>
      <c r="G40" s="430"/>
      <c r="H40" s="430"/>
      <c r="I40" s="430"/>
      <c r="J40" s="431"/>
      <c r="K40" s="429"/>
      <c r="L40" s="430"/>
      <c r="M40" s="431"/>
      <c r="N40" s="429"/>
      <c r="O40" s="431"/>
    </row>
    <row r="41" spans="2:15" x14ac:dyDescent="0.25">
      <c r="B41" s="432"/>
      <c r="C41" s="433"/>
      <c r="D41" s="433"/>
      <c r="E41" s="433"/>
      <c r="F41" s="433"/>
      <c r="G41" s="433"/>
      <c r="H41" s="433"/>
      <c r="I41" s="433"/>
      <c r="J41" s="434"/>
      <c r="K41" s="432"/>
      <c r="L41" s="433"/>
      <c r="M41" s="434"/>
      <c r="N41" s="432"/>
      <c r="O41" s="434"/>
    </row>
  </sheetData>
  <mergeCells count="44">
    <mergeCell ref="B1:O1"/>
    <mergeCell ref="B2:O2"/>
    <mergeCell ref="C6:C9"/>
    <mergeCell ref="D6:D9"/>
    <mergeCell ref="E6:G8"/>
    <mergeCell ref="H6:H9"/>
    <mergeCell ref="I6:K8"/>
    <mergeCell ref="L6:L9"/>
    <mergeCell ref="M6:M9"/>
    <mergeCell ref="B10:B12"/>
    <mergeCell ref="C10:C12"/>
    <mergeCell ref="D10:D12"/>
    <mergeCell ref="M10:M12"/>
    <mergeCell ref="B13:B15"/>
    <mergeCell ref="C13:C15"/>
    <mergeCell ref="D13:D15"/>
    <mergeCell ref="M13:M15"/>
    <mergeCell ref="B16:B18"/>
    <mergeCell ref="C16:C18"/>
    <mergeCell ref="D16:D18"/>
    <mergeCell ref="M16:M18"/>
    <mergeCell ref="B19:B21"/>
    <mergeCell ref="C19:C21"/>
    <mergeCell ref="D19:D21"/>
    <mergeCell ref="M19:M21"/>
    <mergeCell ref="B22:B24"/>
    <mergeCell ref="C22:C24"/>
    <mergeCell ref="D22:D24"/>
    <mergeCell ref="M22:M24"/>
    <mergeCell ref="B25:B27"/>
    <mergeCell ref="C25:C27"/>
    <mergeCell ref="D25:D27"/>
    <mergeCell ref="M25:M27"/>
    <mergeCell ref="B28:B30"/>
    <mergeCell ref="C28:C30"/>
    <mergeCell ref="D28:D30"/>
    <mergeCell ref="M28:M30"/>
    <mergeCell ref="B36:J36"/>
    <mergeCell ref="K36:O36"/>
    <mergeCell ref="B37:J41"/>
    <mergeCell ref="K37:M37"/>
    <mergeCell ref="N37:O37"/>
    <mergeCell ref="K38:M41"/>
    <mergeCell ref="N38:O4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E7"/>
  <sheetViews>
    <sheetView workbookViewId="0">
      <pane ySplit="1" topLeftCell="A2" activePane="bottomLeft" state="frozen"/>
      <selection pane="bottomLeft" activeCell="E59" sqref="E59"/>
    </sheetView>
  </sheetViews>
  <sheetFormatPr baseColWidth="10" defaultRowHeight="15" x14ac:dyDescent="0.25"/>
  <cols>
    <col min="1" max="1" width="13.42578125" style="34" customWidth="1"/>
    <col min="2" max="4" width="11.42578125" style="34"/>
    <col min="5" max="5" width="30.42578125" style="34" customWidth="1"/>
  </cols>
  <sheetData>
    <row r="1" spans="1:5" ht="15.75" thickBot="1" x14ac:dyDescent="0.3">
      <c r="A1" s="35" t="s">
        <v>49</v>
      </c>
      <c r="B1" s="35" t="s">
        <v>50</v>
      </c>
      <c r="C1" s="35" t="s">
        <v>2</v>
      </c>
      <c r="D1" s="35" t="s">
        <v>3</v>
      </c>
      <c r="E1" s="35" t="s">
        <v>12</v>
      </c>
    </row>
    <row r="2" spans="1:5" x14ac:dyDescent="0.25">
      <c r="A2" s="33"/>
      <c r="B2" s="33"/>
      <c r="C2" s="36"/>
      <c r="D2" s="37"/>
      <c r="E2" s="33"/>
    </row>
    <row r="3" spans="1:5" x14ac:dyDescent="0.25">
      <c r="C3" s="38"/>
      <c r="D3" s="39"/>
    </row>
    <row r="4" spans="1:5" x14ac:dyDescent="0.25">
      <c r="C4" s="38"/>
      <c r="D4" s="39"/>
    </row>
    <row r="5" spans="1:5" x14ac:dyDescent="0.25">
      <c r="C5" s="38"/>
      <c r="D5" s="39"/>
    </row>
    <row r="6" spans="1:5" x14ac:dyDescent="0.25">
      <c r="C6" s="38"/>
      <c r="D6" s="39"/>
    </row>
    <row r="7" spans="1:5" x14ac:dyDescent="0.25">
      <c r="C7" s="38"/>
      <c r="D7" s="3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</vt:i4>
      </vt:variant>
    </vt:vector>
  </HeadingPairs>
  <TitlesOfParts>
    <vt:vector size="8" baseType="lpstr">
      <vt:lpstr>Inter</vt:lpstr>
      <vt:lpstr>Édition Pointages</vt:lpstr>
      <vt:lpstr>Gestion</vt:lpstr>
      <vt:lpstr>Calcul</vt:lpstr>
      <vt:lpstr>GPS_Data</vt:lpstr>
      <vt:lpstr>FHebdo</vt:lpstr>
      <vt:lpstr>Archives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2025-05-23T16:49:18Z</cp:lastPrinted>
  <dcterms:created xsi:type="dcterms:W3CDTF">2024-10-06T20:00:42Z</dcterms:created>
  <dcterms:modified xsi:type="dcterms:W3CDTF">2025-10-08T11:48:03Z</dcterms:modified>
</cp:coreProperties>
</file>