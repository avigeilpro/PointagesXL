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L17" i="93" s="1"/>
  <c r="BB17" i="93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70" i="92" l="1"/>
  <c r="AE70" i="92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 s="1"/>
  <c r="AO41" i="93"/>
  <c r="AP41" i="93"/>
  <c r="AQ41" i="93"/>
  <c r="AR41" i="93"/>
  <c r="AS41" i="93"/>
  <c r="AT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U41" i="93" l="1"/>
  <c r="AV41" i="93" s="1"/>
  <c r="AV45" i="93"/>
  <c r="AZ45" i="93" s="1"/>
  <c r="AV44" i="93"/>
  <c r="AY44" i="93" s="1"/>
  <c r="AV43" i="93"/>
  <c r="AY43" i="93" s="1"/>
  <c r="AV42" i="93"/>
  <c r="AZ42" i="93" s="1"/>
  <c r="AV40" i="93"/>
  <c r="AV39" i="93"/>
  <c r="AW41" i="93" l="1"/>
  <c r="AX41" i="93" s="1"/>
  <c r="AW40" i="93"/>
  <c r="AX40" i="93" s="1"/>
  <c r="AW39" i="93"/>
  <c r="AX39" i="93" s="1"/>
  <c r="AY45" i="93"/>
  <c r="BA45" i="93"/>
  <c r="AZ44" i="93"/>
  <c r="BA43" i="93"/>
  <c r="BA42" i="93"/>
  <c r="AZ43" i="93"/>
  <c r="AY42" i="93"/>
  <c r="BA41" i="93"/>
  <c r="BA44" i="93"/>
  <c r="AZ41" i="93"/>
  <c r="BA40" i="93" l="1"/>
  <c r="AY40" i="93"/>
  <c r="AZ40" i="93"/>
  <c r="AZ39" i="93"/>
  <c r="AY41" i="93"/>
  <c r="BA39" i="93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T17" i="93"/>
  <c r="AT29" i="93"/>
  <c r="AT21" i="93"/>
  <c r="AT13" i="93"/>
  <c r="AQ20" i="93"/>
  <c r="AT33" i="93"/>
  <c r="AZ46" i="93"/>
  <c r="AT14" i="93"/>
  <c r="AT22" i="93"/>
  <c r="AT30" i="93"/>
  <c r="AT38" i="93"/>
  <c r="AU38" i="93" s="1"/>
  <c r="AV38" i="93" s="1"/>
  <c r="AQ38" i="93" s="1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0" i="93" l="1"/>
  <c r="AQ11" i="93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24/08/2026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25/08/2026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26/08/2026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27/08/2026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28/08/2026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29/08/2026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30/08/2026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31/08/2026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01/09/2026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02/09/2026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03/09/2026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04/09/2026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05/09/2026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06/09/2026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07/09/2026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08/09/2026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09/09/2026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10/09/2026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11/09/2026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12/09/2026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13/09/2026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14/09/2026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15/09/2026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16/09/2026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17/09/2026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18/09/2026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19/09/2026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20/09/2026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<sst xmlns="http://schemas.openxmlformats.org/spreadsheetml/2006/main" count="662" uniqueCount="392">
  <si>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</si>
  <si>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</si>
  <si>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</si>
  <si>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</si>
  <si>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</si>
  <si>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</si>
  <si>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</si>
  <si>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</si>
  <si>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</si>
  <si>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</si>
  <si>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</si>
  <si>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</si>
  <si>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</si>
  <si>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</si>
  <si>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</si>
  <si>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</si>
  <si>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</si>
  <si>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</si>
  <si>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</si>
  <si>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</si>
  <si>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</si>
  <si>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</si>
  <si>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</si>
  <si>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</si>
  <si>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</si>
  <si>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</si>
  <si>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</si>
  <si>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</si>
  <si>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</si>
  <si>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</si>
  <si>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</si>
  <si>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</si>
  <si>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</si>
  <si>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</si>
  <si>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</si>
  <si>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</si>
  <si>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</si>
  <si>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</si>
  <si>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</si>
  <si>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</si>
  <si>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</si>
  <si>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</si>
  <si>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</si>
  <si>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</si>
  <si>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</si>
  <si>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</si>
  <si>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</si>
  <si>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</si>
  <si>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</si>
  <si>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</si>
  <si>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</si>
  <si>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</si>
  <si>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</si>
  <si>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</si>
  <si>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</si>
  <si>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</si>
  <si>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</si>
  <si>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</si>
  <si>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</si>
  <si>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</si>
  <si>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</si>
  <si>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</si>
  <si>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</si>
  <si>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</si>
  <si>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</si>
  <si>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</si>
  <si>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</si>
  <si>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</si>
  <si>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</si>
  <si>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</si>
  <si>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</si>
  <si>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</si>
  <si>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</si>
  <si>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</si>
  <si>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</si>
  <si>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</si>
  <si>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</si>
  <si>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</si>
  <si>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</si>
  <si>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</si>
  <si>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</si>
  <si>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</si>
  <si>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</si>
  <si>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</si>
  <si>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</si>
  <si>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</si>
  <si>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</si>
  <si>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</si>
  <si>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</si>
  <si>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</si>
  <si>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</si>
  <si>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</si>
  <si>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</si>
  <si>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</si>
  <si>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</si>
  <si>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</si>
  <si>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</si>
  <si>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</si>
  <si>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</si>
  <si>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</si>
  <si>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</si>
  <si>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</si>
  <si>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</si>
  <si>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</si>
  <si>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</si>
  <si>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</si>
  <si>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</si>
  <si>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</si>
  <si>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</si>
  <si>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</si>
  <si>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</si>
  <si>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</si>
  <si>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</si>
  <si>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</si>
  <si>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</si>
  <si>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</si>
  <si>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</si>
  <si>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</si>
  <si>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</si>
  <si>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</si>
  <si>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</si>
  <si>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</si>
  <si>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</si>
  <si>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</si>
  <si>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</si>
  <si>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</si>
  <si>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</si>
  <si>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</si>
  <si>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</si>
  <si>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</si>
  <si>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</si>
  <si>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</si>
  <si>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</si>
  <si>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</si>
  <si>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</si>
  <si>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</si>
  <si>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</si>
  <si>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</si>
  <si>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</si>
  <si>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</si>
  <si>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</si>
  <si>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</si>
  <si>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</si>
  <si>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</si>
  <si>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</si>
  <si>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</si>
  <si>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</si>
  <si>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</si>
  <si>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</si>
  <si>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</si>
  <si>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</si>
  <si>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</si>
  <si>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</si>
  <si>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</si>
  <si>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</si>
  <si>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</si>
  <si>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</si>
  <si>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</si>
  <si>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</si>
  <si>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</si>
  <si>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</si>
  <si>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</si>
  <si>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</si>
  <si>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</si>
  <si>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</si>
  <si>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</si>
  <si>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</si>
  <si>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</si>
  <si>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</si>
  <si>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</si>
  <si>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</si>
  <si>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</si>
  <si>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</si>
  <si>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</si>
  <si>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</si>
  <si>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</si>
  <si>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</si>
  <si>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</si>
  <si>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</si>
  <si>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</si>
  <si>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</si>
  <si>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</si>
  <si>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</si>
  <si>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</si>
  <si>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</si>
  <si>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</si>
  <si>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</si>
  <si>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</si>
  <si>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</si>
  <si>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</si>
  <si>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</si>
  <si>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</si>
  <si>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</si>
  <si>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</si>
  <si>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</si>
  <si>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</si>
  <si>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</si>
  <si>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</si>
  <si>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</si>
  <si>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</si>
  <si>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</si>
  <si>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</si>
  <si>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</si>
  <si>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</si>
  <si>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</si>
  <si>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</si>
  <si>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</si>
  <si>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</si>
  <si>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</si>
  <si>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</si>
  <si>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</si>
  <si>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</si>
  <si>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</si>
  <si>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</si>
  <si>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</si>
  <si>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</si>
  <si>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</si>
  <si>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</si>
  <si>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</si>
  <si>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</si>
  <si>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</si>
  <si>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</si>
  <si>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</si>
  <si>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</si>
  <si>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</si>
  <si>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</si>
  <si>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</si>
  <si>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</si>
  <si>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</si>
  <si>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</si>
  <si>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</si>
  <si>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</si>
  <si>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</si>
  <si>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</si>
  <si>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</si>
  <si>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</si>
  <si>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</si>
  <si>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</si>
  <si>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</si>
  <si>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</si>
  <si>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</si>
  <si>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</si>
  <si>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</si>
  <si>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</si>
  <si>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</si>
  <si>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</si>
  <si>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</si>
  <si>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</si>
  <si>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</si>
  <si>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</si>
  <si>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</si>
  <si>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</si>
  <si>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</si>
  <si>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</si>
  <si>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</si>
  <si>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</si>
  <si>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</si>
  <si>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</si>
  <si>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</si>
  <si>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</si>
  <si>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</si>
  <si>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</si>
  <si>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</si>
  <si>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</si>
  <si>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</si>
  <si>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</si>
  <si>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</si>
  <si>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</si>
  <si>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</si>
  <si>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</si>
  <si>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</si>
  <si>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</si>
  <si>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</si>
  <si>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</si>
  <si>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</si>
  <si>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</si>
  <si>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</si>
  <si>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</si>
  <si>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</si>
  <si>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</si>
  <si>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</si>
  <si>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</si>
  <si>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</si>
  <si>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</si>
  <si>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</si>
  <si>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</si>
  <si>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</si>
  <si>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</si>
  <si>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</si>
  <si>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</si>
  <si>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</si>
  <si>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</si>
  <si>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</si>
  <si>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</si>
  <si>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</si>
  <si>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</si>
  <si>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</si>
  <si>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</si>
  <si>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</si>
  <si>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</si>
  <si>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</si>
  <si>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</si>
  <si>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</si>
  <si>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</si>
  <si>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</si>
  <si>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</si>
  <si>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</si>
  <si>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</si>
  <si>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</si>
  <si>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</si>
  <si>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</si>
  <si>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</si>
  <si>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</si>
  <si>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</si>
  <si>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</si>
  <si>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</si>
  <si>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</si>
  <si>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</si>
  <si>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</si>
  <si>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</si>
  <si>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</si>
  <si>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</si>
  <si>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</si>
  <si>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</si>
  <si>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</si>
  <si>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</si>
  <si>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</si>
  <si>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</si>
  <si>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</si>
  <si>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</si>
  <si>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</si>
  <si>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</si>
  <si>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</si>
  <si>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</si>
  <si>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</si>
  <si>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OLIVIER</t>
  </si>
  <si>
    <t>SÉBASTIEN</t>
  </si>
  <si>
    <t>BOURDANEL Danièle</t>
  </si>
  <si>
    <t>Semaine n° 37 du 08/09/2025 au 14/09/2025</t>
  </si>
  <si>
    <t>PL</t>
  </si>
  <si>
    <t>Ind Rep</t>
  </si>
  <si>
    <t>Repos</t>
  </si>
  <si>
    <t>2026.3.0</t>
  </si>
  <si>
    <t>46.21467166666666,1.4339416666666667</t>
  </si>
  <si>
    <t>46.2349192,1.5568905</t>
  </si>
  <si>
    <t>46.214345,1.4401833333333334</t>
  </si>
  <si>
    <t>46.2243125,1.4771987</t>
  </si>
  <si>
    <t>46.19647166666667,1.501865</t>
  </si>
  <si>
    <t>46.1236693,1.6272072</t>
  </si>
  <si>
    <t>46.183391666666665,1.4827783333333333</t>
  </si>
  <si>
    <t>46.236936666666665,1.5188449999999998</t>
  </si>
  <si>
    <t>46.1363683,1.6159415</t>
  </si>
  <si>
    <t>46.115734999999994,1.7145933333333332</t>
  </si>
  <si>
    <t>46.1308013,1.6913833</t>
  </si>
  <si>
    <t>46.21516333333334,1.5841733333333332</t>
  </si>
  <si>
    <t>46.22121666666667,1.5793033333333333</t>
  </si>
  <si>
    <t>46.2352502,1.5769292</t>
  </si>
  <si>
    <t>46.15902833333333,1.6519716666666668</t>
  </si>
  <si>
    <t>46.249736666666664,1.5302383333333334</t>
  </si>
  <si>
    <t>Semaine n° 14 du 30/03/2026 au 05/04/2026</t>
  </si>
  <si>
    <t>Poitiers</t>
  </si>
  <si>
    <t>46.5658893,0.3745284</t>
  </si>
  <si>
    <t>Saint-Benoît</t>
  </si>
  <si>
    <t>46.566280000000006,0.3542616666666667</t>
  </si>
  <si>
    <t>46.2178369,1.4910788</t>
  </si>
  <si>
    <t>46.115001666666664,1.6276183333333336</t>
  </si>
  <si>
    <t>46.1565604,1.8040452</t>
  </si>
  <si>
    <t>46.122888333333336,1.619875</t>
  </si>
  <si>
    <t>46.161763333333326,1.4971299999999998</t>
  </si>
  <si>
    <t>46.204944999999995,1.6016033333333335</t>
  </si>
  <si>
    <t>46.2293663,1.5696509</t>
  </si>
  <si>
    <t>46.1997243,1.4353081</t>
  </si>
  <si>
    <t>46.2240029,1.5545572</t>
  </si>
  <si>
    <t>46.25963,1.5521116666666668</t>
  </si>
  <si>
    <t>Route proche Colondannes</t>
  </si>
  <si>
    <t>46.290800000000004,1.6179299999999999</t>
  </si>
  <si>
    <t>46.21347000000001,1.5882283333333334</t>
  </si>
  <si>
    <t>46.113906666666665,1.7095066666666667</t>
  </si>
  <si>
    <t>46.12535,1.5796283333333334</t>
  </si>
  <si>
    <t>46.1178814,1.567955</t>
  </si>
  <si>
    <t>46.118555,1.7229783333333335</t>
  </si>
  <si>
    <t>La Jonchère-Saint-Maurice</t>
  </si>
  <si>
    <t>46.000413333333334,1.4702833333333336</t>
  </si>
  <si>
    <t>46.14762,1.7830016666666666</t>
  </si>
  <si>
    <t>46.20781333333333,1.5969816666666667</t>
  </si>
  <si>
    <t>46.2598397,1.4416473</t>
  </si>
  <si>
    <t>- Controls effectués :
  =&gt; horaire valide
  =&gt; ordre chronologique</t>
  </si>
  <si>
    <t>- Activer la case "Mode Copie" pour pouvoir copier une ligne sur une autre, sans quoi ça ne sera pas possible</t>
  </si>
  <si>
    <t>- Saisir les horaires sans séparateur
ex: 800 pour 08:00, 1520 pour 15:20, 1 pour 00:01</t>
  </si>
  <si>
    <t>- La page est totalement reconstruite lorsqu'on change de mois dans Inter, si des données sont présente elles seront supprimées</t>
  </si>
  <si>
    <t>Septembre</t>
  </si>
  <si>
    <t>n° 35 du 24/08/2026 au 30/08/2026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</si>
</sst>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2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auto="1"/>
      </right>
      <top style="medium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6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15" fillId="18" borderId="8" xfId="0" applyFont="1" applyFill="1" applyBorder="1"/>
    <xf numFmtId="0" fontId="0" fillId="18" borderId="8" xfId="0" applyFill="1" applyBorder="1"/>
    <xf numFmtId="0" fontId="0" fillId="18" borderId="155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6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8" xfId="1" applyBorder="1" applyAlignment="1">
      <alignment horizontal="center" vertical="center"/>
    </xf>
    <xf numFmtId="0" fontId="13" fillId="0" borderId="159" xfId="1" applyBorder="1" applyAlignment="1">
      <alignment horizontal="left" vertical="center"/>
    </xf>
    <xf numFmtId="1" fontId="13" fillId="0" borderId="159" xfId="1" applyNumberFormat="1" applyBorder="1" applyAlignment="1">
      <alignment horizontal="right" vertical="center"/>
    </xf>
    <xf numFmtId="0" fontId="13" fillId="0" borderId="159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7" xfId="0" applyNumberFormat="1" applyFont="1" applyBorder="1" applyAlignment="1">
      <alignment horizontal="center" vertical="center"/>
    </xf>
    <xf numFmtId="0" fontId="34" fillId="0" borderId="157" xfId="0" applyFont="1" applyBorder="1" applyAlignment="1">
      <alignment horizontal="center" vertical="center"/>
    </xf>
    <xf numFmtId="167" fontId="34" fillId="0" borderId="162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49" fontId="0" fillId="0" borderId="165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22" fillId="0" borderId="0" xfId="0" applyFont="1" applyBorder="1"/>
    <xf numFmtId="14" fontId="0" fillId="0" borderId="167" xfId="0" applyNumberFormat="1" applyBorder="1"/>
    <xf numFmtId="14" fontId="0" fillId="0" borderId="168" xfId="0" applyNumberFormat="1" applyBorder="1"/>
    <xf numFmtId="0" fontId="0" fillId="0" borderId="168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0" fillId="0" borderId="0" xfId="0" applyBorder="1"/>
    <xf numFmtId="0" fontId="0" fillId="0" borderId="103" xfId="0" applyBorder="1"/>
    <xf numFmtId="2" fontId="32" fillId="0" borderId="174" xfId="0" applyNumberFormat="1" applyFont="1" applyBorder="1"/>
    <xf numFmtId="0" fontId="0" fillId="0" borderId="175" xfId="0" applyBorder="1"/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93" xfId="0" applyBorder="1"/>
    <xf numFmtId="0" fontId="0" fillId="0" borderId="94" xfId="0" applyBorder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15" fillId="18" borderId="0" xfId="0" applyFont="1" applyFill="1" applyBorder="1"/>
    <xf numFmtId="0" fontId="13" fillId="0" borderId="192" xfId="0" applyFont="1" applyBorder="1" applyAlignment="1">
      <alignment horizontal="center"/>
    </xf>
    <xf numFmtId="14" fontId="13" fillId="0" borderId="192" xfId="0" applyNumberFormat="1" applyFont="1" applyBorder="1" applyAlignment="1">
      <alignment horizontal="center"/>
    </xf>
    <xf numFmtId="0" fontId="13" fillId="0" borderId="193" xfId="0" applyFont="1" applyBorder="1" applyAlignment="1">
      <alignment horizontal="center"/>
    </xf>
    <xf numFmtId="0" fontId="13" fillId="0" borderId="194" xfId="0" applyFont="1" applyBorder="1" applyAlignment="1">
      <alignment horizontal="center"/>
    </xf>
    <xf numFmtId="0" fontId="13" fillId="0" borderId="195" xfId="0" applyFont="1" applyBorder="1" applyAlignment="1">
      <alignment horizontal="center"/>
    </xf>
    <xf numFmtId="0" fontId="8" fillId="0" borderId="196" xfId="0" applyFont="1" applyBorder="1" applyAlignment="1">
      <alignment horizontal="center"/>
    </xf>
    <xf numFmtId="0" fontId="8" fillId="0" borderId="197" xfId="0" applyFont="1" applyBorder="1" applyAlignment="1">
      <alignment horizontal="center"/>
    </xf>
    <xf numFmtId="0" fontId="8" fillId="0" borderId="186" xfId="0" applyFont="1" applyBorder="1" applyAlignment="1">
      <alignment horizontal="center"/>
    </xf>
    <xf numFmtId="49" fontId="0" fillId="0" borderId="104" xfId="0" applyNumberFormat="1" applyBorder="1" applyAlignment="1">
      <alignment horizontal="center"/>
    </xf>
    <xf numFmtId="20" fontId="0" fillId="0" borderId="104" xfId="0" applyNumberFormat="1" applyBorder="1" applyAlignment="1">
      <alignment horizontal="center"/>
    </xf>
    <xf numFmtId="20" fontId="0" fillId="0" borderId="165" xfId="0" applyNumberFormat="1" applyBorder="1" applyAlignment="1">
      <alignment horizontal="center"/>
    </xf>
    <xf numFmtId="0" fontId="0" fillId="0" borderId="0" xfId="0" applyBorder="1"/>
    <xf numFmtId="0" fontId="0" fillId="0" borderId="200" xfId="0" applyBorder="1"/>
    <xf numFmtId="0" fontId="0" fillId="0" borderId="200" xfId="0" applyFill="1" applyBorder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12" borderId="125" xfId="0" applyFont="1" applyFill="1" applyBorder="1" applyAlignment="1">
      <alignment horizontal="right"/>
    </xf>
    <xf numFmtId="166" fontId="13" fillId="12" borderId="125" xfId="0" applyNumberFormat="1" applyFont="1" applyFill="1" applyBorder="1" applyAlignment="1" applyProtection="1">
      <alignment horizontal="right"/>
      <protection locked="0"/>
    </xf>
    <xf numFmtId="166" fontId="13" fillId="13" borderId="125" xfId="0" applyNumberFormat="1" applyFont="1" applyFill="1" applyBorder="1" applyAlignment="1" applyProtection="1">
      <alignment horizontal="right"/>
      <protection locked="0"/>
    </xf>
    <xf numFmtId="166" fontId="16" fillId="12" borderId="13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4" fontId="13" fillId="14" borderId="125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0" fontId="13" fillId="14" borderId="129" xfId="0" applyFont="1" applyFill="1" applyBorder="1" applyAlignment="1">
      <alignment horizontal="right"/>
    </xf>
    <xf numFmtId="14" fontId="13" fillId="14" borderId="126" xfId="0" applyNumberFormat="1" applyFont="1" applyFill="1" applyBorder="1" applyAlignment="1">
      <alignment horizontal="center"/>
    </xf>
    <xf numFmtId="0" fontId="13" fillId="14" borderId="138" xfId="0" applyFont="1" applyFill="1" applyBorder="1" applyAlignment="1">
      <alignment horizontal="right"/>
    </xf>
    <xf numFmtId="14" fontId="13" fillId="14" borderId="136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5" xfId="0" applyFont="1" applyFill="1" applyBorder="1" applyAlignment="1">
      <alignment horizontal="right"/>
    </xf>
    <xf numFmtId="166" fontId="13" fillId="15" borderId="125" xfId="0" applyNumberFormat="1" applyFont="1" applyFill="1" applyBorder="1" applyAlignment="1" applyProtection="1">
      <alignment horizontal="right"/>
      <protection locked="0"/>
    </xf>
    <xf numFmtId="166" fontId="13" fillId="15" borderId="134" xfId="0" applyNumberFormat="1" applyFont="1" applyFill="1" applyBorder="1" applyAlignment="1" applyProtection="1">
      <alignment horizontal="right"/>
      <protection locked="0"/>
    </xf>
    <xf numFmtId="0" fontId="13" fillId="15" borderId="134" xfId="0" applyFont="1" applyFill="1" applyBorder="1" applyAlignment="1">
      <alignment horizontal="right"/>
    </xf>
    <xf numFmtId="0" fontId="13" fillId="15" borderId="128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0" fontId="13" fillId="15" borderId="133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7" fillId="0" borderId="0" xfId="0" applyFont="1"/>
    <xf numFmtId="0" fontId="13" fillId="0" borderId="0" xfId="0" applyFont="1"/>
    <xf numFmtId="0" fontId="26" fillId="0" borderId="91" xfId="0" applyFont="1" applyBorder="1" applyAlignment="1">
      <alignment horizontal="center" vertical="center"/>
    </xf>
    <xf numFmtId="166" fontId="16" fillId="13" borderId="142" xfId="0" applyNumberFormat="1" applyFont="1" applyFill="1" applyBorder="1" applyAlignment="1" applyProtection="1">
      <alignment horizontal="right"/>
      <protection locked="0"/>
    </xf>
    <xf numFmtId="166" fontId="16" fillId="12" borderId="142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3" fillId="12" borderId="142" xfId="0" applyNumberFormat="1" applyFont="1" applyFill="1" applyBorder="1" applyAlignment="1" applyProtection="1">
      <alignment horizontal="right"/>
      <protection locked="0"/>
    </xf>
    <xf numFmtId="166" fontId="13" fillId="13" borderId="142" xfId="0" applyNumberFormat="1" applyFont="1" applyFill="1" applyBorder="1" applyAlignment="1" applyProtection="1">
      <alignment horizontal="right"/>
      <protection locked="0"/>
    </xf>
    <xf numFmtId="166" fontId="13" fillId="13" borderId="145" xfId="0" applyNumberFormat="1" applyFont="1" applyFill="1" applyBorder="1" applyAlignment="1" applyProtection="1">
      <alignment horizontal="right"/>
      <protection locked="0"/>
    </xf>
    <xf numFmtId="166" fontId="16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7" xfId="0" applyNumberFormat="1" applyFont="1" applyFill="1" applyBorder="1" applyAlignment="1" applyProtection="1">
      <alignment horizontal="right"/>
      <protection locked="0"/>
    </xf>
    <xf numFmtId="0" fontId="13" fillId="13" borderId="128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13" fillId="12" borderId="128" xfId="0" applyFont="1" applyFill="1" applyBorder="1" applyAlignment="1">
      <alignment horizontal="right"/>
    </xf>
    <xf numFmtId="0" fontId="13" fillId="12" borderId="131" xfId="0" applyFont="1" applyFill="1" applyBorder="1" applyAlignment="1">
      <alignment horizontal="right"/>
    </xf>
    <xf numFmtId="0" fontId="13" fillId="13" borderId="129" xfId="0" applyFont="1" applyFill="1" applyBorder="1" applyAlignment="1">
      <alignment horizontal="right"/>
    </xf>
    <xf numFmtId="0" fontId="13" fillId="15" borderId="131" xfId="0" applyFont="1" applyFill="1" applyBorder="1" applyAlignment="1">
      <alignment horizontal="right"/>
    </xf>
    <xf numFmtId="0" fontId="13" fillId="15" borderId="135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center"/>
    </xf>
    <xf numFmtId="0" fontId="13" fillId="12" borderId="148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3" borderId="151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5" borderId="148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center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4" borderId="127" xfId="0" applyFont="1" applyFill="1" applyBorder="1" applyAlignment="1">
      <alignment horizontal="right"/>
    </xf>
    <xf numFmtId="14" fontId="13" fillId="14" borderId="124" xfId="0" applyNumberFormat="1" applyFont="1" applyFill="1" applyBorder="1" applyAlignment="1">
      <alignment horizontal="center"/>
    </xf>
    <xf numFmtId="0" fontId="13" fillId="13" borderId="132" xfId="0" applyFont="1" applyFill="1" applyBorder="1" applyAlignment="1">
      <alignment horizontal="right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6" fillId="12" borderId="146" xfId="0" applyNumberFormat="1" applyFont="1" applyFill="1" applyBorder="1" applyAlignment="1" applyProtection="1">
      <alignment horizontal="right"/>
      <protection locked="0"/>
    </xf>
    <xf numFmtId="0" fontId="13" fillId="12" borderId="139" xfId="0" applyFont="1" applyFill="1" applyBorder="1" applyAlignment="1">
      <alignment horizontal="right"/>
    </xf>
    <xf numFmtId="0" fontId="13" fillId="12" borderId="141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center"/>
    </xf>
    <xf numFmtId="0" fontId="13" fillId="12" borderId="138" xfId="0" applyFont="1" applyFill="1" applyBorder="1" applyAlignment="1">
      <alignment horizontal="right"/>
    </xf>
    <xf numFmtId="0" fontId="31" fillId="0" borderId="0" xfId="0" applyFont="1"/>
    <xf numFmtId="0" fontId="30" fillId="0" borderId="0" xfId="0" applyFont="1"/>
    <xf numFmtId="0" fontId="13" fillId="12" borderId="140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5" borderId="124" xfId="0" applyFont="1" applyFill="1" applyBorder="1" applyAlignment="1">
      <alignment horizontal="right"/>
    </xf>
    <xf numFmtId="14" fontId="13" fillId="15" borderId="124" xfId="0" applyNumberFormat="1" applyFont="1" applyFill="1" applyBorder="1" applyAlignment="1">
      <alignment horizontal="center"/>
    </xf>
    <xf numFmtId="166" fontId="16" fillId="15" borderId="124" xfId="0" applyNumberFormat="1" applyFont="1" applyFill="1" applyBorder="1" applyAlignment="1" applyProtection="1">
      <alignment horizontal="right"/>
      <protection locked="0"/>
    </xf>
    <xf numFmtId="0" fontId="13" fillId="15" borderId="127" xfId="0" applyFont="1" applyFill="1" applyBorder="1" applyAlignment="1">
      <alignment horizontal="right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3" fillId="0" borderId="0" xfId="0" applyFont="1" applyFill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/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44" xfId="0" applyNumberFormat="1" applyFont="1" applyFill="1" applyBorder="1" applyAlignment="1" applyProtection="1">
      <alignment horizontal="right"/>
      <protection locked="0"/>
    </xf>
    <xf numFmtId="0" fontId="13" fillId="13" borderId="127" xfId="0" applyFont="1" applyFill="1" applyBorder="1" applyAlignment="1">
      <alignment horizontal="right"/>
    </xf>
    <xf numFmtId="0" fontId="13" fillId="13" borderId="124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center"/>
    </xf>
    <xf numFmtId="0" fontId="0" fillId="0" borderId="125" xfId="0" applyFill="1" applyBorder="1" applyAlignment="1">
      <alignment horizontal="center" vertical="center"/>
    </xf>
    <xf numFmtId="0" fontId="0" fillId="0" borderId="125" xfId="0" applyFill="1" applyBorder="1"/>
    <xf numFmtId="0" fontId="0" fillId="0" borderId="136" xfId="0" applyFill="1" applyBorder="1" applyAlignment="1">
      <alignment horizontal="center" vertical="center"/>
    </xf>
    <xf numFmtId="0" fontId="0" fillId="0" borderId="136" xfId="0" applyFill="1" applyBorder="1"/>
    <xf numFmtId="0" fontId="0" fillId="0" borderId="137" xfId="0" applyFill="1" applyBorder="1" applyAlignment="1">
      <alignment horizontal="center" vertical="center"/>
    </xf>
    <xf numFmtId="0" fontId="0" fillId="0" borderId="137" xfId="0" applyFill="1" applyBorder="1"/>
    <xf numFmtId="0" fontId="0" fillId="0" borderId="128" xfId="0" applyFill="1" applyBorder="1" applyAlignment="1">
      <alignment horizontal="right"/>
    </xf>
    <xf numFmtId="0" fontId="0" fillId="0" borderId="138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31" xfId="0" applyFill="1" applyBorder="1"/>
    <xf numFmtId="0" fontId="0" fillId="0" borderId="140" xfId="0" applyFill="1" applyBorder="1"/>
    <xf numFmtId="0" fontId="0" fillId="0" borderId="141" xfId="0" applyFill="1" applyBorder="1"/>
    <xf numFmtId="0" fontId="0" fillId="0" borderId="169" xfId="0" applyFill="1" applyBorder="1" applyAlignment="1">
      <alignment horizontal="right"/>
    </xf>
    <xf numFmtId="0" fontId="0" fillId="0" borderId="170" xfId="0" applyFill="1" applyBorder="1" applyAlignment="1">
      <alignment horizontal="center" vertical="center"/>
    </xf>
    <xf numFmtId="0" fontId="0" fillId="0" borderId="170" xfId="0" applyFill="1" applyBorder="1"/>
    <xf numFmtId="0" fontId="0" fillId="0" borderId="171" xfId="0" applyFill="1" applyBorder="1"/>
    <xf numFmtId="0" fontId="0" fillId="0" borderId="133" xfId="0" applyFill="1" applyBorder="1" applyAlignment="1">
      <alignment horizontal="right"/>
    </xf>
    <xf numFmtId="0" fontId="0" fillId="0" borderId="134" xfId="0" applyFill="1" applyBorder="1" applyAlignment="1">
      <alignment horizontal="center" vertical="center"/>
    </xf>
    <xf numFmtId="0" fontId="0" fillId="0" borderId="134" xfId="0" applyFill="1" applyBorder="1"/>
    <xf numFmtId="0" fontId="0" fillId="0" borderId="135" xfId="0" applyFill="1" applyBorder="1"/>
    <xf numFmtId="14" fontId="0" fillId="0" borderId="172" xfId="0" applyNumberFormat="1" applyFill="1" applyBorder="1" applyAlignment="1">
      <alignment horizontal="center"/>
    </xf>
    <xf numFmtId="14" fontId="0" fillId="0" borderId="142" xfId="0" applyNumberFormat="1" applyFill="1" applyBorder="1" applyAlignment="1">
      <alignment horizontal="center"/>
    </xf>
    <xf numFmtId="14" fontId="0" fillId="0" borderId="143" xfId="0" applyNumberFormat="1" applyFill="1" applyBorder="1" applyAlignment="1">
      <alignment horizontal="center"/>
    </xf>
    <xf numFmtId="14" fontId="0" fillId="0" borderId="146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80" xfId="0" applyFill="1" applyBorder="1" applyAlignment="1">
      <alignment horizontal="center" vertical="center"/>
    </xf>
    <xf numFmtId="0" fontId="0" fillId="0" borderId="181" xfId="0" applyFill="1" applyBorder="1" applyAlignment="1">
      <alignment horizontal="center" vertical="center"/>
    </xf>
    <xf numFmtId="0" fontId="0" fillId="0" borderId="182" xfId="0" applyFill="1" applyBorder="1" applyAlignment="1">
      <alignment horizontal="center" vertical="center"/>
    </xf>
    <xf numFmtId="0" fontId="0" fillId="0" borderId="183" xfId="0" applyFill="1" applyBorder="1" applyAlignment="1">
      <alignment horizontal="center" vertical="center"/>
    </xf>
    <xf numFmtId="0" fontId="0" fillId="0" borderId="184" xfId="0" applyFill="1" applyBorder="1" applyAlignment="1">
      <alignment horizontal="center" vertical="center"/>
    </xf>
    <xf numFmtId="0" fontId="0" fillId="0" borderId="172" xfId="0" applyFill="1" applyBorder="1"/>
    <xf numFmtId="0" fontId="0" fillId="0" borderId="142" xfId="0" applyFill="1" applyBorder="1"/>
    <xf numFmtId="0" fontId="0" fillId="0" borderId="143" xfId="0" applyFill="1" applyBorder="1"/>
    <xf numFmtId="0" fontId="0" fillId="0" borderId="146" xfId="0" applyFill="1" applyBorder="1"/>
    <xf numFmtId="0" fontId="0" fillId="0" borderId="147" xfId="0" applyFill="1" applyBorder="1"/>
    <xf numFmtId="0" fontId="0" fillId="0" borderId="180" xfId="0" applyFill="1" applyBorder="1"/>
    <xf numFmtId="0" fontId="0" fillId="0" borderId="181" xfId="0" applyFill="1" applyBorder="1"/>
    <xf numFmtId="0" fontId="0" fillId="0" borderId="182" xfId="0" applyFill="1" applyBorder="1"/>
    <xf numFmtId="0" fontId="0" fillId="0" borderId="183" xfId="0" applyFill="1" applyBorder="1"/>
    <xf numFmtId="0" fontId="0" fillId="0" borderId="184" xfId="0" applyFill="1" applyBorder="1"/>
    <xf numFmtId="0" fontId="13" fillId="13" borderId="126" xfId="0" applyFont="1" applyFill="1" applyBorder="1" applyAlignment="1">
      <alignment horizontal="right"/>
    </xf>
    <xf numFmtId="20" fontId="0" fillId="0" borderId="190" xfId="0" applyNumberFormat="1" applyFill="1" applyBorder="1" applyAlignment="1">
      <alignment horizontal="center" vertical="center"/>
    </xf>
    <xf numFmtId="20" fontId="0" fillId="0" borderId="170" xfId="0" applyNumberFormat="1" applyFill="1" applyBorder="1" applyAlignment="1">
      <alignment horizontal="center" vertical="center"/>
    </xf>
    <xf numFmtId="20" fontId="0" fillId="0" borderId="190" xfId="0" applyNumberFormat="1" applyFill="1" applyBorder="1"/>
    <xf numFmtId="20" fontId="0" fillId="0" borderId="170" xfId="0" applyNumberFormat="1" applyFill="1" applyBorder="1"/>
    <xf numFmtId="20" fontId="0" fillId="0" borderId="180" xfId="0" applyNumberFormat="1" applyFill="1" applyBorder="1"/>
    <xf numFmtId="20" fontId="0" fillId="0" borderId="180" xfId="0" applyNumberFormat="1" applyFill="1" applyBorder="1" applyAlignment="1">
      <alignment horizontal="center" vertical="center"/>
    </xf>
    <xf numFmtId="20" fontId="0" fillId="0" borderId="125" xfId="0" applyNumberFormat="1" applyFill="1" applyBorder="1" applyAlignment="1">
      <alignment horizontal="center" vertical="center"/>
    </xf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13" fillId="12" borderId="136" xfId="0" applyFont="1" applyFill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25" fillId="0" borderId="91" xfId="0" applyFont="1" applyBorder="1" applyAlignment="1">
      <alignment horizontal="center" vertical="center"/>
    </xf>
    <xf numFmtId="0" fontId="26" fillId="0" borderId="9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66" fontId="8" fillId="13" borderId="150" xfId="0" applyNumberFormat="1" applyFont="1" applyFill="1" applyBorder="1" applyAlignment="1">
      <alignment horizontal="center" vertical="center"/>
    </xf>
    <xf numFmtId="166" fontId="8" fillId="12" borderId="148" xfId="0" applyNumberFormat="1" applyFont="1" applyFill="1" applyBorder="1" applyAlignment="1">
      <alignment horizontal="center" vertical="center"/>
    </xf>
    <xf numFmtId="166" fontId="8" fillId="13" borderId="148" xfId="0" applyNumberFormat="1" applyFont="1" applyFill="1" applyBorder="1" applyAlignment="1">
      <alignment horizontal="center" vertic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2" borderId="152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24" fillId="12" borderId="152" xfId="0" applyNumberFormat="1" applyFont="1" applyFill="1" applyBorder="1" applyAlignment="1">
      <alignment horizontal="center"/>
    </xf>
    <xf numFmtId="166" fontId="24" fillId="13" borderId="148" xfId="0" applyNumberFormat="1" applyFont="1" applyFill="1" applyBorder="1" applyAlignment="1">
      <alignment horizontal="center"/>
    </xf>
    <xf numFmtId="166" fontId="24" fillId="12" borderId="148" xfId="0" applyNumberFormat="1" applyFont="1" applyFill="1" applyBorder="1" applyAlignment="1">
      <alignment horizontal="center"/>
    </xf>
    <xf numFmtId="166" fontId="24" fillId="15" borderId="148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8" fillId="13" borderId="148" xfId="0" applyNumberFormat="1" applyFont="1" applyFill="1" applyBorder="1" applyAlignment="1">
      <alignment horizontal="center"/>
    </xf>
    <xf numFmtId="166" fontId="8" fillId="12" borderId="148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 vertical="center"/>
    </xf>
    <xf numFmtId="166" fontId="8" fillId="15" borderId="148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2" borderId="152" xfId="0" applyNumberFormat="1" applyFont="1" applyFill="1" applyBorder="1" applyAlignment="1">
      <alignment horizontal="center"/>
    </xf>
    <xf numFmtId="166" fontId="8" fillId="15" borderId="148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24" fillId="15" borderId="150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3" borderId="150" xfId="0" applyNumberFormat="1" applyFont="1" applyFill="1" applyBorder="1" applyAlignment="1">
      <alignment horizontal="center"/>
    </xf>
    <xf numFmtId="166" fontId="24" fillId="13" borderId="15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91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1" fillId="0" borderId="0" xfId="0" applyFont="1" applyAlignment="1">
      <alignment horizontal="center"/>
    </xf>
    <xf numFmtId="0" fontId="6" fillId="0" borderId="166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6" fillId="0" borderId="176" xfId="0" applyFont="1" applyBorder="1" applyAlignment="1">
      <alignment horizontal="center"/>
    </xf>
    <xf numFmtId="0" fontId="6" fillId="0" borderId="16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78" xfId="0" applyFont="1" applyBorder="1" applyAlignment="1">
      <alignment horizontal="center"/>
    </xf>
    <xf numFmtId="0" fontId="13" fillId="0" borderId="173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77" xfId="0" applyFont="1" applyBorder="1" applyAlignment="1">
      <alignment horizontal="center"/>
    </xf>
    <xf numFmtId="0" fontId="13" fillId="0" borderId="179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174" xfId="0" applyFont="1" applyBorder="1" applyAlignment="1">
      <alignment horizontal="center"/>
    </xf>
    <xf numFmtId="0" fontId="8" fillId="0" borderId="198" xfId="0" applyFont="1" applyBorder="1" applyAlignment="1">
      <alignment horizontal="center"/>
    </xf>
    <xf numFmtId="0" fontId="8" fillId="0" borderId="199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quotePrefix="1" applyBorder="1" applyAlignment="1">
      <alignment horizontal="left" wrapText="1"/>
    </xf>
    <xf numFmtId="0" fontId="0" fillId="0" borderId="185" xfId="0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187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0" xfId="0" quotePrefix="1" applyFill="1" applyBorder="1" applyAlignment="1">
      <alignment horizontal="left" wrapText="1"/>
    </xf>
    <xf numFmtId="0" fontId="0" fillId="0" borderId="0" xfId="0" quotePrefix="1" applyFill="1" applyBorder="1" applyAlignment="1">
      <alignment horizontal="left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60" xfId="0" applyBorder="1"/>
    <xf numFmtId="0" fontId="0" fillId="0" borderId="159" xfId="0" applyBorder="1"/>
    <xf numFmtId="0" fontId="0" fillId="0" borderId="161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4" xfId="0" applyFont="1" applyBorder="1" applyAlignment="1">
      <alignment horizontal="center"/>
    </xf>
    <xf numFmtId="0" fontId="0" fillId="0" borderId="163" xfId="0" applyBorder="1" applyAlignment="1">
      <alignment horizontal="center"/>
    </xf>
    <xf numFmtId="0" fontId="0" fillId="0" borderId="162" xfId="0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7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63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7" borderId="164" xfId="0" applyFont="1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0" fillId="17" borderId="16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3" xfId="0" applyFont="1" applyFill="1" applyBorder="1" applyAlignment="1">
      <alignment horizontal="center"/>
    </xf>
    <xf numFmtId="0" fontId="13" fillId="17" borderId="16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19" fillId="0" borderId="96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4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7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7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7" xfId="1" applyBorder="1" applyAlignment="1">
      <alignment horizontal="center" vertic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6" fillId="15" borderId="146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2" xfId="0" applyFont="1" applyFill="1" applyBorder="1" applyAlignment="1">
      <alignment horizontal="right"/>
    </xf>
    <xf numFmtId="0" fontId="13" fillId="15" borderId="152" xfId="0" applyFont="1" applyFill="1" applyBorder="1" applyAlignment="1">
      <alignment horizontal="center"/>
    </xf>
    <xf numFmtId="166" fontId="8" fillId="15" borderId="152" xfId="0" applyNumberFormat="1" applyFont="1" applyFill="1" applyBorder="1" applyAlignment="1">
      <alignment horizontal="center"/>
    </xf>
    <xf numFmtId="166" fontId="8" fillId="15" borderId="152" xfId="0" applyNumberFormat="1" applyFont="1" applyFill="1" applyBorder="1" applyAlignment="1">
      <alignment horizontal="center" vertical="center"/>
    </xf>
    <xf numFmtId="166" fontId="24" fillId="15" borderId="152" xfId="0" applyNumberFormat="1" applyFont="1" applyFill="1" applyBorder="1" applyAlignment="1">
      <alignment horizontal="center"/>
    </xf>
    <xf numFmtId="0" fontId="13" fillId="15" borderId="138" xfId="0" applyFont="1" applyFill="1" applyBorder="1" applyAlignment="1">
      <alignment horizontal="right"/>
    </xf>
    <xf numFmtId="14" fontId="13" fillId="15" borderId="136" xfId="0" applyNumberFormat="1" applyFont="1" applyFill="1" applyBorder="1" applyAlignment="1">
      <alignment horizontal="center"/>
    </xf>
    <xf numFmtId="166" fontId="16" fillId="15" borderId="136" xfId="0" applyNumberFormat="1" applyFont="1" applyFill="1" applyBorder="1" applyAlignment="1" applyProtection="1">
      <alignment horizontal="right"/>
      <protection locked="0"/>
    </xf>
    <xf numFmtId="166" fontId="13" fillId="15" borderId="136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0" fontId="13" fillId="15" borderId="136" xfId="0" applyFont="1" applyFill="1" applyBorder="1" applyAlignment="1">
      <alignment horizontal="right"/>
    </xf>
    <xf numFmtId="0" fontId="13" fillId="15" borderId="140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 vertical="center"/>
    </xf>
    <xf numFmtId="166" fontId="24" fillId="15" borderId="149" xfId="0" applyNumberFormat="1" applyFont="1" applyFill="1" applyBorder="1" applyAlignment="1">
      <alignment horizontal="center"/>
    </xf>
    <xf numFmtId="0" fontId="13" fillId="14" borderId="169" xfId="0" applyFont="1" applyFill="1" applyBorder="1" applyAlignment="1">
      <alignment horizontal="right"/>
    </xf>
    <xf numFmtId="14" fontId="13" fillId="14" borderId="170" xfId="0" applyNumberFormat="1" applyFont="1" applyFill="1" applyBorder="1" applyAlignment="1">
      <alignment horizontal="center"/>
    </xf>
    <xf numFmtId="166" fontId="16" fillId="12" borderId="170" xfId="0" applyNumberFormat="1" applyFont="1" applyFill="1" applyBorder="1" applyAlignment="1" applyProtection="1">
      <alignment horizontal="right"/>
      <protection locked="0"/>
    </xf>
    <xf numFmtId="0" fontId="13" fillId="12" borderId="170" xfId="0" applyFont="1" applyFill="1" applyBorder="1" applyAlignment="1">
      <alignment horizontal="right"/>
    </xf>
    <xf numFmtId="166" fontId="16" fillId="12" borderId="172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2" borderId="201" xfId="0" applyFont="1" applyFill="1" applyBorder="1" applyAlignment="1">
      <alignment horizontal="right"/>
    </xf>
    <xf numFmtId="0" fontId="13" fillId="12" borderId="201" xfId="0" applyFont="1" applyFill="1" applyBorder="1" applyAlignment="1">
      <alignment horizontal="center"/>
    </xf>
    <xf numFmtId="166" fontId="8" fillId="12" borderId="201" xfId="0" applyNumberFormat="1" applyFont="1" applyFill="1" applyBorder="1" applyAlignment="1">
      <alignment horizontal="center"/>
    </xf>
    <xf numFmtId="166" fontId="8" fillId="12" borderId="201" xfId="0" applyNumberFormat="1" applyFont="1" applyFill="1" applyBorder="1" applyAlignment="1">
      <alignment horizontal="center" vertical="center"/>
    </xf>
    <xf numFmtId="166" fontId="24" fillId="12" borderId="201" xfId="0" applyNumberFormat="1" applyFont="1" applyFill="1" applyBorder="1" applyAlignment="1">
      <alignment horizontal="center"/>
    </xf>
    <xf numFmtId="0" fontId="0" fillId="0" borderId="202" xfId="0" applyFill="1" applyBorder="1" applyAlignment="1">
      <alignment horizontal="center" vertical="center"/>
    </xf>
    <xf numFmtId="0" fontId="0" fillId="0" borderId="202" xfId="0" applyFill="1" applyBorder="1"/>
    <xf numFmtId="0" fontId="0" fillId="0" borderId="203" xfId="0" applyFill="1" applyBorder="1" applyAlignment="1">
      <alignment horizontal="center" vertical="center"/>
    </xf>
    <xf numFmtId="0" fontId="0" fillId="0" borderId="203" xfId="0" applyFill="1" applyBorder="1"/>
    <xf numFmtId="20" fontId="0" fillId="0" borderId="203" xfId="0" applyNumberFormat="1" applyFill="1" applyBorder="1" applyAlignment="1">
      <alignment horizontal="center" vertical="center"/>
    </xf>
    <xf numFmtId="0" fontId="0" fillId="0" borderId="204" xfId="0" applyFill="1" applyBorder="1" applyAlignment="1">
      <alignment horizontal="right"/>
    </xf>
    <xf numFmtId="0" fontId="0" fillId="0" borderId="205" xfId="0" applyFill="1" applyBorder="1" applyAlignment="1">
      <alignment horizontal="right"/>
    </xf>
    <xf numFmtId="0" fontId="0" fillId="0" borderId="206" xfId="0" applyFill="1" applyBorder="1"/>
    <xf numFmtId="0" fontId="0" fillId="0" borderId="207" xfId="0" applyFill="1" applyBorder="1"/>
    <xf numFmtId="14" fontId="0" fillId="0" borderId="208" xfId="0" applyNumberFormat="1" applyFill="1" applyBorder="1" applyAlignment="1">
      <alignment horizontal="center"/>
    </xf>
    <xf numFmtId="14" fontId="0" fillId="0" borderId="209" xfId="0" applyNumberFormat="1" applyFill="1" applyBorder="1" applyAlignment="1">
      <alignment horizontal="center"/>
    </xf>
    <xf numFmtId="0" fontId="0" fillId="0" borderId="210" xfId="0" applyFill="1" applyBorder="1" applyAlignment="1">
      <alignment horizontal="center" vertical="center"/>
    </xf>
    <xf numFmtId="0" fontId="0" fillId="0" borderId="211" xfId="0" applyFill="1" applyBorder="1" applyAlignment="1">
      <alignment horizontal="center" vertical="center"/>
    </xf>
    <xf numFmtId="20" fontId="0" fillId="0" borderId="211" xfId="0" applyNumberFormat="1" applyFill="1" applyBorder="1" applyAlignment="1">
      <alignment horizontal="center" vertical="center"/>
    </xf>
    <xf numFmtId="0" fontId="0" fillId="0" borderId="208" xfId="0" applyFill="1" applyBorder="1"/>
    <xf numFmtId="0" fontId="0" fillId="0" borderId="209" xfId="0" applyFill="1" applyBorder="1"/>
    <xf numFmtId="0" fontId="0" fillId="0" borderId="210" xfId="0" applyFill="1" applyBorder="1"/>
    <xf numFmtId="0" fontId="0" fillId="0" borderId="211" xfId="0" applyFill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3" fillId="0" borderId="212" xfId="0" applyFont="1" applyFill="1" applyBorder="1"/>
    <xf numFmtId="14" fontId="3" fillId="0" borderId="213" xfId="0" applyNumberFormat="1" applyFont="1" applyFill="1" applyBorder="1"/>
    <xf numFmtId="20" fontId="3" fillId="0" borderId="213" xfId="0" applyNumberFormat="1" applyFont="1" applyFill="1" applyBorder="1"/>
    <xf numFmtId="0" fontId="3" fillId="0" borderId="213" xfId="0" applyFont="1" applyFill="1" applyBorder="1"/>
    <xf numFmtId="0" fontId="3" fillId="0" borderId="214" xfId="0" applyFont="1" applyFill="1" applyBorder="1"/>
    <xf numFmtId="0" fontId="3" fillId="0" borderId="215" xfId="0" applyFont="1" applyFill="1" applyBorder="1"/>
    <xf numFmtId="0" fontId="3" fillId="0" borderId="216" xfId="0" applyFont="1" applyFill="1" applyBorder="1"/>
    <xf numFmtId="20" fontId="3" fillId="0" borderId="216" xfId="0" applyNumberFormat="1" applyFont="1" applyFill="1" applyBorder="1"/>
    <xf numFmtId="0" fontId="3" fillId="0" borderId="217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E73E-4637-8B9A-34BD0B6357B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3E-4637-8B9A-34BD0B6357B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73E-4637-8B9A-34BD0B6357B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E73E-4637-8B9A-34BD0B635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16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30</xdr:row>
          <xdr:rowOff>0</xdr:rowOff>
        </xdr:from>
        <xdr:to>
          <xdr:col>8</xdr:col>
          <xdr:colOff>704850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8</xdr:row>
          <xdr:rowOff>76200</xdr:rowOff>
        </xdr:from>
        <xdr:to>
          <xdr:col>15</xdr:col>
          <xdr:colOff>381000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123825</xdr:rowOff>
        </xdr:from>
        <xdr:to>
          <xdr:col>15</xdr:col>
          <xdr:colOff>704850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6</xdr:row>
          <xdr:rowOff>9525</xdr:rowOff>
        </xdr:from>
        <xdr:to>
          <xdr:col>15</xdr:col>
          <xdr:colOff>428625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171450</xdr:rowOff>
        </xdr:from>
        <xdr:to>
          <xdr:col>9</xdr:col>
          <xdr:colOff>28575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9525</xdr:rowOff>
        </xdr:from>
        <xdr:to>
          <xdr:col>8</xdr:col>
          <xdr:colOff>723900</xdr:colOff>
          <xdr:row>7</xdr:row>
          <xdr:rowOff>171450</xdr:rowOff>
        </xdr:to>
        <xdr:sp macro="" textlink="">
          <xdr:nvSpPr>
            <xdr:cNvPr id="3087" name="UnlinkCmd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47</xdr:row>
          <xdr:rowOff>19050</xdr:rowOff>
        </xdr:from>
        <xdr:to>
          <xdr:col>14</xdr:col>
          <xdr:colOff>38100</xdr:colOff>
          <xdr:row>48</xdr:row>
          <xdr:rowOff>171450</xdr:rowOff>
        </xdr:to>
        <xdr:sp macro="" textlink="">
          <xdr:nvSpPr>
            <xdr:cNvPr id="1337345" name="TranfertCmd" hidden="1">
              <a:extLst>
                <a:ext uri="{63B3BB69-23CF-44E3-9099-C40C66FF867C}">
                  <a14:compatExt spid="_x0000_s13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152400</xdr:rowOff>
        </xdr:from>
        <xdr:to>
          <xdr:col>3</xdr:col>
          <xdr:colOff>38100</xdr:colOff>
          <xdr:row>2</xdr:row>
          <xdr:rowOff>28575</xdr:rowOff>
        </xdr:to>
        <xdr:sp macro="" textlink="">
          <xdr:nvSpPr>
            <xdr:cNvPr id="1337346" name="CopyMode" hidden="1">
              <a:extLst>
                <a:ext uri="{63B3BB69-23CF-44E3-9099-C40C66FF867C}">
                  <a14:compatExt spid="_x0000_s133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sortState ref="A2:D30">
    <sortCondition descending="1" ref="C1:C30"/>
  </sortState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17" Type="http://schemas.openxmlformats.org/officeDocument/2006/relationships/image" Target="../media/image2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/>
    </sheetView>
  </sheetViews>
  <sheetFormatPr baseColWidth="10" defaultRowHeight="15" x14ac:dyDescent="0.25"/>
  <cols>
    <col min="1" max="1" width="4.28515625" style="23" customWidth="1"/>
    <col min="2" max="2" width="9.42578125" style="23" customWidth="1"/>
    <col min="3" max="3" width="11.42578125" style="23"/>
    <col min="4" max="25" width="6" style="23" customWidth="1"/>
    <col min="26" max="26" width="6" style="136" customWidth="1"/>
    <col min="27" max="28" width="6" style="152" customWidth="1"/>
    <col min="29" max="40" width="6" style="23" customWidth="1"/>
    <col min="41" max="52" width="6.140625" style="23" customWidth="1"/>
    <col min="53" max="54" width="11.42578125" style="23"/>
    <col min="55" max="55" width="11.42578125" style="23" customWidth="1"/>
    <col min="56" max="16384" width="11.42578125" style="23"/>
  </cols>
  <sheetData>
    <row r="1" spans="2:41" ht="16.5" thickBot="1" x14ac:dyDescent="0.3">
      <c r="E1" s="465" t="s">
        <v>75</v>
      </c>
      <c r="F1" s="466"/>
      <c r="G1" s="467"/>
      <c r="M1" s="124"/>
      <c r="N1" s="468" t="s">
        <v>390</v>
      </c>
      <c r="O1" s="468"/>
      <c r="P1" s="468"/>
      <c r="Q1" s="124"/>
      <c r="S1" s="468">
        <v>2026</v>
      </c>
      <c r="T1" s="468"/>
      <c r="X1" s="23" t="s">
        <v>74</v>
      </c>
      <c r="AA1" s="481"/>
      <c r="AB1" s="481"/>
      <c r="AC1" s="25"/>
      <c r="AD1" s="25"/>
      <c r="AE1" s="25"/>
    </row>
    <row r="2" spans="2:41" hidden="1" x14ac:dyDescent="0.25"/>
    <row r="4" spans="2:41" s="29" customFormat="1" ht="30" customHeight="1" x14ac:dyDescent="0.25">
      <c r="B4" s="245"/>
      <c r="C4" s="165"/>
      <c r="D4" s="660"/>
      <c r="E4" s="660"/>
      <c r="F4" s="660"/>
      <c r="G4" s="660"/>
      <c r="H4" s="357"/>
      <c r="I4" s="660"/>
      <c r="J4" s="660"/>
      <c r="K4" s="660"/>
      <c r="L4" s="660"/>
      <c r="M4" s="357"/>
      <c r="N4" s="660"/>
      <c r="O4" s="660"/>
      <c r="P4" s="660"/>
      <c r="Q4" s="660"/>
      <c r="R4" s="357"/>
      <c r="S4" s="660"/>
      <c r="T4" s="660"/>
      <c r="U4" s="660"/>
      <c r="V4" s="660"/>
      <c r="W4" s="357"/>
      <c r="X4" s="660"/>
      <c r="Y4" s="660"/>
      <c r="Z4" s="660"/>
      <c r="AA4" s="660"/>
      <c r="AB4" s="357"/>
      <c r="AC4" s="660"/>
      <c r="AD4" s="660"/>
      <c r="AE4" s="660"/>
      <c r="AF4" s="660"/>
      <c r="AG4" s="357"/>
      <c r="AH4" s="660"/>
      <c r="AI4" s="660"/>
      <c r="AJ4" s="660"/>
      <c r="AK4" s="660"/>
      <c r="AL4" s="125"/>
      <c r="AM4" s="125"/>
      <c r="AN4" s="125"/>
      <c r="AO4" s="180"/>
    </row>
    <row r="5" spans="2:41" s="29" customFormat="1" x14ac:dyDescent="0.25">
      <c r="B5" s="245"/>
      <c r="C5" s="169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661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125"/>
      <c r="AM5" s="125"/>
      <c r="AN5" s="125"/>
      <c r="AO5" s="180"/>
    </row>
    <row r="6" spans="2:41" s="29" customFormat="1" x14ac:dyDescent="0.25">
      <c r="B6" s="245"/>
      <c r="C6" s="169"/>
      <c r="D6" s="662"/>
      <c r="E6" s="358"/>
      <c r="F6" s="358"/>
      <c r="G6" s="358"/>
      <c r="H6" s="357"/>
      <c r="I6" s="662"/>
      <c r="J6" s="358"/>
      <c r="K6" s="358"/>
      <c r="L6" s="358"/>
      <c r="M6" s="359"/>
      <c r="N6" s="662"/>
      <c r="O6" s="358"/>
      <c r="P6" s="358"/>
      <c r="Q6" s="358"/>
      <c r="R6" s="359"/>
      <c r="S6" s="662"/>
      <c r="T6" s="358"/>
      <c r="U6" s="358"/>
      <c r="V6" s="358"/>
      <c r="W6" s="357"/>
      <c r="X6" s="662"/>
      <c r="Y6" s="358"/>
      <c r="Z6" s="358"/>
      <c r="AA6" s="358"/>
      <c r="AB6" s="357"/>
      <c r="AC6" s="662"/>
      <c r="AD6" s="358"/>
      <c r="AE6" s="358"/>
      <c r="AF6" s="358"/>
      <c r="AG6" s="359"/>
      <c r="AH6" s="662"/>
      <c r="AI6" s="358"/>
      <c r="AJ6" s="358"/>
      <c r="AK6" s="358"/>
      <c r="AL6" s="125"/>
      <c r="AM6" s="172"/>
      <c r="AN6" s="172"/>
      <c r="AO6" s="180"/>
    </row>
    <row r="7" spans="2:41" s="29" customFormat="1" x14ac:dyDescent="0.25">
      <c r="B7" s="245"/>
      <c r="C7" s="169"/>
      <c r="D7" s="357"/>
      <c r="E7" s="357"/>
      <c r="F7" s="358"/>
      <c r="G7" s="358"/>
      <c r="H7" s="357"/>
      <c r="I7" s="359"/>
      <c r="J7" s="359"/>
      <c r="K7" s="358"/>
      <c r="L7" s="358"/>
      <c r="M7" s="359"/>
      <c r="N7" s="359"/>
      <c r="O7" s="359"/>
      <c r="P7" s="358"/>
      <c r="Q7" s="358"/>
      <c r="R7" s="359"/>
      <c r="S7" s="357"/>
      <c r="T7" s="357"/>
      <c r="U7" s="358"/>
      <c r="V7" s="358"/>
      <c r="W7" s="357"/>
      <c r="X7" s="357"/>
      <c r="Y7" s="357"/>
      <c r="Z7" s="358"/>
      <c r="AA7" s="358"/>
      <c r="AB7" s="357"/>
      <c r="AC7" s="359"/>
      <c r="AD7" s="359"/>
      <c r="AE7" s="358"/>
      <c r="AF7" s="358"/>
      <c r="AG7" s="359"/>
      <c r="AH7" s="359"/>
      <c r="AI7" s="359"/>
      <c r="AJ7" s="358"/>
      <c r="AK7" s="358"/>
      <c r="AL7" s="125"/>
      <c r="AM7" s="126"/>
      <c r="AN7" s="126"/>
      <c r="AO7" s="180"/>
    </row>
    <row r="8" spans="2:41" s="29" customFormat="1" ht="30" customHeight="1" x14ac:dyDescent="0.25">
      <c r="B8" s="245"/>
      <c r="C8" s="169"/>
      <c r="D8" s="660"/>
      <c r="E8" s="660"/>
      <c r="F8" s="660"/>
      <c r="G8" s="660"/>
      <c r="H8" s="357"/>
      <c r="I8" s="660"/>
      <c r="J8" s="660"/>
      <c r="K8" s="660"/>
      <c r="L8" s="660"/>
      <c r="M8" s="359"/>
      <c r="N8" s="663"/>
      <c r="O8" s="663"/>
      <c r="P8" s="663"/>
      <c r="Q8" s="663"/>
      <c r="R8" s="359"/>
      <c r="S8" s="660"/>
      <c r="T8" s="660"/>
      <c r="U8" s="660"/>
      <c r="V8" s="660"/>
      <c r="W8" s="357"/>
      <c r="X8" s="660"/>
      <c r="Y8" s="660"/>
      <c r="Z8" s="660"/>
      <c r="AA8" s="660"/>
      <c r="AB8" s="357"/>
      <c r="AC8" s="663"/>
      <c r="AD8" s="663"/>
      <c r="AE8" s="663"/>
      <c r="AF8" s="663"/>
      <c r="AG8" s="359"/>
      <c r="AH8" s="663"/>
      <c r="AI8" s="663"/>
      <c r="AJ8" s="663"/>
      <c r="AK8" s="663"/>
      <c r="AL8" s="125"/>
      <c r="AM8" s="126"/>
      <c r="AN8" s="126"/>
      <c r="AO8" s="180"/>
    </row>
    <row r="9" spans="2:41" s="29" customFormat="1" ht="15" customHeight="1" x14ac:dyDescent="0.25">
      <c r="B9" s="245"/>
      <c r="C9" s="169"/>
      <c r="D9" s="357"/>
      <c r="E9" s="357"/>
      <c r="F9" s="359"/>
      <c r="G9" s="359"/>
      <c r="H9" s="357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7"/>
      <c r="T9" s="357"/>
      <c r="U9" s="359"/>
      <c r="V9" s="359"/>
      <c r="W9" s="357"/>
      <c r="X9" s="357"/>
      <c r="Y9" s="357"/>
      <c r="Z9" s="359"/>
      <c r="AA9" s="359"/>
      <c r="AB9" s="357"/>
      <c r="AC9" s="359"/>
      <c r="AD9" s="359"/>
      <c r="AE9" s="359"/>
      <c r="AF9" s="359"/>
      <c r="AG9" s="359"/>
      <c r="AH9" s="359"/>
      <c r="AI9" s="359"/>
      <c r="AJ9" s="359"/>
      <c r="AK9" s="359"/>
      <c r="AL9" s="125"/>
      <c r="AM9" s="126"/>
      <c r="AN9" s="126"/>
      <c r="AO9" s="180"/>
    </row>
    <row r="10" spans="2:41" s="29" customFormat="1" ht="15" customHeight="1" x14ac:dyDescent="0.25">
      <c r="B10" s="245"/>
      <c r="C10" s="169"/>
      <c r="D10" s="662"/>
      <c r="E10" s="358"/>
      <c r="F10" s="358"/>
      <c r="G10" s="358"/>
      <c r="H10" s="357"/>
      <c r="I10" s="662"/>
      <c r="J10" s="358"/>
      <c r="K10" s="358"/>
      <c r="L10" s="358"/>
      <c r="M10" s="359"/>
      <c r="N10" s="662"/>
      <c r="O10" s="358"/>
      <c r="P10" s="358"/>
      <c r="Q10" s="358"/>
      <c r="R10" s="359"/>
      <c r="S10" s="662"/>
      <c r="T10" s="358"/>
      <c r="U10" s="358"/>
      <c r="V10" s="358"/>
      <c r="W10" s="357"/>
      <c r="X10" s="662"/>
      <c r="Y10" s="358"/>
      <c r="Z10" s="358"/>
      <c r="AA10" s="358"/>
      <c r="AB10" s="357"/>
      <c r="AC10" s="662"/>
      <c r="AD10" s="358"/>
      <c r="AE10" s="358"/>
      <c r="AF10" s="358"/>
      <c r="AG10" s="359"/>
      <c r="AH10" s="662"/>
      <c r="AI10" s="358"/>
      <c r="AJ10" s="358"/>
      <c r="AK10" s="358"/>
      <c r="AL10" s="125"/>
      <c r="AM10" s="126"/>
      <c r="AN10" s="126"/>
      <c r="AO10" s="180"/>
    </row>
    <row r="11" spans="2:41" s="29" customFormat="1" ht="15" customHeight="1" thickBot="1" x14ac:dyDescent="0.3">
      <c r="B11" s="245"/>
      <c r="C11" s="169"/>
      <c r="D11" s="357"/>
      <c r="E11" s="357"/>
      <c r="F11" s="359"/>
      <c r="G11" s="359"/>
      <c r="H11" s="357"/>
      <c r="I11" s="359"/>
      <c r="J11" s="359"/>
      <c r="K11" s="359"/>
      <c r="L11" s="359"/>
      <c r="M11" s="359"/>
      <c r="N11" s="359"/>
      <c r="O11" s="359"/>
      <c r="P11" s="359"/>
      <c r="Q11" s="359"/>
      <c r="R11" s="359"/>
      <c r="S11" s="357"/>
      <c r="T11" s="357"/>
      <c r="U11" s="359"/>
      <c r="V11" s="359"/>
      <c r="W11" s="357"/>
      <c r="X11" s="357"/>
      <c r="Y11" s="357"/>
      <c r="Z11" s="359"/>
      <c r="AA11" s="359"/>
      <c r="AB11" s="357"/>
      <c r="AC11" s="359"/>
      <c r="AD11" s="359"/>
      <c r="AE11" s="359"/>
      <c r="AF11" s="359"/>
      <c r="AG11" s="359"/>
      <c r="AH11" s="359"/>
      <c r="AI11" s="359"/>
      <c r="AJ11" s="359"/>
      <c r="AK11" s="359"/>
      <c r="AL11" s="125"/>
      <c r="AM11" s="126"/>
      <c r="AN11" s="126"/>
      <c r="AO11" s="180"/>
    </row>
    <row r="12" spans="2:41" s="29" customFormat="1" ht="15" hidden="1" customHeight="1" x14ac:dyDescent="0.3">
      <c r="B12" s="245"/>
      <c r="C12" s="169"/>
      <c r="D12" s="357"/>
      <c r="E12" s="357"/>
      <c r="F12" s="358"/>
      <c r="G12" s="358"/>
      <c r="H12" s="127"/>
      <c r="I12" s="357"/>
      <c r="J12" s="357"/>
      <c r="K12" s="359"/>
      <c r="L12" s="359"/>
      <c r="M12" s="127"/>
      <c r="N12" s="357"/>
      <c r="O12" s="357"/>
      <c r="P12" s="359"/>
      <c r="Q12" s="359"/>
      <c r="R12" s="127"/>
      <c r="S12" s="357"/>
      <c r="T12" s="357"/>
      <c r="U12" s="359"/>
      <c r="V12" s="359"/>
      <c r="W12" s="127"/>
      <c r="X12" s="357"/>
      <c r="Y12" s="357"/>
      <c r="Z12" s="359"/>
      <c r="AA12" s="359"/>
      <c r="AB12" s="127"/>
      <c r="AC12" s="357"/>
      <c r="AD12" s="357"/>
      <c r="AE12" s="359"/>
      <c r="AF12" s="359"/>
      <c r="AG12" s="360"/>
      <c r="AH12" s="357"/>
      <c r="AI12" s="357"/>
      <c r="AJ12" s="359"/>
      <c r="AK12" s="359"/>
      <c r="AL12" s="129"/>
      <c r="AM12" s="129"/>
      <c r="AN12" s="129"/>
      <c r="AO12" s="180"/>
    </row>
    <row r="13" spans="2:41" s="29" customFormat="1" ht="15" hidden="1" customHeight="1" x14ac:dyDescent="0.3">
      <c r="B13" s="245"/>
      <c r="C13" s="169"/>
      <c r="D13" s="357"/>
      <c r="E13" s="357"/>
      <c r="F13" s="358"/>
      <c r="G13" s="358"/>
      <c r="H13" s="127"/>
      <c r="I13" s="357"/>
      <c r="J13" s="357"/>
      <c r="K13" s="359"/>
      <c r="L13" s="359"/>
      <c r="M13" s="127"/>
      <c r="N13" s="357"/>
      <c r="O13" s="357"/>
      <c r="P13" s="359"/>
      <c r="Q13" s="359"/>
      <c r="R13" s="127"/>
      <c r="S13" s="357"/>
      <c r="T13" s="357"/>
      <c r="U13" s="359"/>
      <c r="V13" s="359"/>
      <c r="W13" s="127"/>
      <c r="X13" s="357"/>
      <c r="Y13" s="357"/>
      <c r="Z13" s="359"/>
      <c r="AA13" s="359"/>
      <c r="AB13" s="127"/>
      <c r="AC13" s="357"/>
      <c r="AD13" s="357"/>
      <c r="AE13" s="359"/>
      <c r="AF13" s="359"/>
      <c r="AG13" s="360"/>
      <c r="AH13" s="357"/>
      <c r="AI13" s="357"/>
      <c r="AJ13" s="359"/>
      <c r="AK13" s="359"/>
      <c r="AL13" s="129"/>
      <c r="AM13" s="129"/>
      <c r="AN13" s="129"/>
      <c r="AO13" s="180"/>
    </row>
    <row r="14" spans="2:41" s="164" customFormat="1" ht="15" hidden="1" customHeight="1" x14ac:dyDescent="0.3">
      <c r="C14" s="171"/>
      <c r="D14" s="357"/>
      <c r="E14" s="357"/>
      <c r="F14" s="358"/>
      <c r="G14" s="358"/>
      <c r="H14" s="127"/>
      <c r="I14" s="357"/>
      <c r="J14" s="357"/>
      <c r="K14" s="357"/>
      <c r="L14" s="357"/>
      <c r="M14" s="127"/>
      <c r="N14" s="357"/>
      <c r="O14" s="357"/>
      <c r="P14" s="357"/>
      <c r="Q14" s="357"/>
      <c r="R14" s="127"/>
      <c r="S14" s="357"/>
      <c r="T14" s="357"/>
      <c r="U14" s="357"/>
      <c r="V14" s="357"/>
      <c r="W14" s="127"/>
      <c r="X14" s="357"/>
      <c r="Y14" s="357"/>
      <c r="Z14" s="357"/>
      <c r="AA14" s="357"/>
      <c r="AB14" s="357"/>
      <c r="AC14" s="357"/>
      <c r="AD14" s="357"/>
      <c r="AE14" s="127"/>
      <c r="AF14" s="357"/>
      <c r="AG14" s="357"/>
      <c r="AH14" s="357"/>
      <c r="AI14" s="357"/>
      <c r="AJ14" s="360"/>
      <c r="AK14" s="357"/>
      <c r="AL14" s="125"/>
      <c r="AM14" s="125"/>
      <c r="AN14" s="125"/>
    </row>
    <row r="15" spans="2:41" s="29" customFormat="1" ht="15" hidden="1" customHeight="1" x14ac:dyDescent="0.3">
      <c r="B15" s="245"/>
      <c r="C15" s="169"/>
      <c r="D15" s="357"/>
      <c r="E15" s="357"/>
      <c r="F15" s="359"/>
      <c r="G15" s="359"/>
      <c r="H15" s="128"/>
      <c r="I15" s="357"/>
      <c r="J15" s="357"/>
      <c r="K15" s="357"/>
      <c r="L15" s="357"/>
      <c r="M15" s="127"/>
      <c r="N15" s="357"/>
      <c r="O15" s="357"/>
      <c r="P15" s="357"/>
      <c r="Q15" s="357"/>
      <c r="R15" s="127"/>
      <c r="S15" s="357"/>
      <c r="T15" s="357"/>
      <c r="U15" s="357"/>
      <c r="V15" s="357"/>
      <c r="W15" s="127"/>
      <c r="X15" s="357"/>
      <c r="Y15" s="357"/>
      <c r="Z15" s="357"/>
      <c r="AA15" s="357"/>
      <c r="AB15" s="357"/>
      <c r="AC15" s="357"/>
      <c r="AD15" s="357"/>
      <c r="AE15" s="127"/>
      <c r="AF15" s="357"/>
      <c r="AG15" s="357"/>
      <c r="AH15" s="357"/>
      <c r="AI15" s="357"/>
      <c r="AJ15" s="360"/>
      <c r="AK15" s="357"/>
      <c r="AL15" s="125"/>
      <c r="AM15" s="125"/>
      <c r="AN15" s="125"/>
      <c r="AO15" s="180"/>
    </row>
    <row r="16" spans="2:41" s="29" customFormat="1" ht="15" hidden="1" customHeight="1" x14ac:dyDescent="0.3">
      <c r="B16" s="245"/>
      <c r="C16" s="169"/>
      <c r="D16" s="357"/>
      <c r="E16" s="357"/>
      <c r="F16" s="359"/>
      <c r="G16" s="359"/>
      <c r="H16" s="128"/>
      <c r="I16" s="359"/>
      <c r="J16" s="359"/>
      <c r="K16" s="359"/>
      <c r="L16" s="359"/>
      <c r="M16" s="128"/>
      <c r="N16" s="359"/>
      <c r="O16" s="359"/>
      <c r="P16" s="359"/>
      <c r="Q16" s="359"/>
      <c r="R16" s="127"/>
      <c r="S16" s="357"/>
      <c r="T16" s="357"/>
      <c r="U16" s="359"/>
      <c r="V16" s="359"/>
      <c r="W16" s="128"/>
      <c r="X16" s="357"/>
      <c r="Y16" s="357"/>
      <c r="Z16" s="357"/>
      <c r="AA16" s="357"/>
      <c r="AB16" s="357"/>
      <c r="AC16" s="359"/>
      <c r="AD16" s="359"/>
      <c r="AE16" s="128"/>
      <c r="AF16" s="359"/>
      <c r="AG16" s="359"/>
      <c r="AH16" s="359"/>
      <c r="AI16" s="359"/>
      <c r="AJ16" s="360"/>
      <c r="AK16" s="357"/>
      <c r="AL16" s="125"/>
      <c r="AM16" s="126"/>
      <c r="AN16" s="126"/>
      <c r="AO16" s="180"/>
    </row>
    <row r="17" spans="1:41" s="29" customFormat="1" ht="15" hidden="1" customHeight="1" x14ac:dyDescent="0.3">
      <c r="B17" s="245"/>
      <c r="C17" s="170"/>
      <c r="D17" s="357"/>
      <c r="E17" s="357"/>
      <c r="F17" s="359"/>
      <c r="G17" s="359"/>
      <c r="H17" s="128"/>
      <c r="I17" s="359"/>
      <c r="J17" s="359"/>
      <c r="K17" s="359"/>
      <c r="L17" s="359"/>
      <c r="M17" s="359"/>
      <c r="N17" s="359"/>
      <c r="O17" s="359"/>
      <c r="P17" s="359"/>
      <c r="Q17" s="359"/>
      <c r="R17" s="357"/>
      <c r="S17" s="357"/>
      <c r="T17" s="357"/>
      <c r="U17" s="359"/>
      <c r="V17" s="359"/>
      <c r="W17" s="359"/>
      <c r="X17" s="357"/>
      <c r="Y17" s="357"/>
      <c r="Z17" s="357"/>
      <c r="AA17" s="357"/>
      <c r="AB17" s="357"/>
      <c r="AC17" s="359"/>
      <c r="AD17" s="359"/>
      <c r="AE17" s="359"/>
      <c r="AF17" s="359"/>
      <c r="AG17" s="359"/>
      <c r="AH17" s="359"/>
      <c r="AI17" s="359"/>
      <c r="AJ17" s="360"/>
      <c r="AK17" s="357"/>
      <c r="AL17" s="125"/>
      <c r="AM17" s="126"/>
      <c r="AN17" s="126"/>
      <c r="AO17" s="180"/>
    </row>
    <row r="18" spans="1:41" s="29" customFormat="1" ht="15" hidden="1" customHeight="1" x14ac:dyDescent="0.3">
      <c r="B18" s="245"/>
      <c r="C18" s="170"/>
      <c r="D18" s="357"/>
      <c r="E18" s="357"/>
      <c r="F18" s="359"/>
      <c r="G18" s="359"/>
      <c r="H18" s="128"/>
      <c r="I18" s="359"/>
      <c r="J18" s="359"/>
      <c r="K18" s="359"/>
      <c r="L18" s="359"/>
      <c r="M18" s="359"/>
      <c r="N18" s="359"/>
      <c r="O18" s="359"/>
      <c r="P18" s="359"/>
      <c r="Q18" s="359"/>
      <c r="R18" s="357"/>
      <c r="S18" s="357"/>
      <c r="T18" s="357"/>
      <c r="U18" s="359"/>
      <c r="V18" s="359"/>
      <c r="W18" s="359"/>
      <c r="X18" s="357"/>
      <c r="Y18" s="357"/>
      <c r="Z18" s="357"/>
      <c r="AA18" s="357"/>
      <c r="AB18" s="357"/>
      <c r="AC18" s="359"/>
      <c r="AD18" s="359"/>
      <c r="AE18" s="359"/>
      <c r="AF18" s="359"/>
      <c r="AG18" s="359"/>
      <c r="AH18" s="359"/>
      <c r="AI18" s="359"/>
      <c r="AJ18" s="360"/>
      <c r="AK18" s="357"/>
      <c r="AL18" s="125"/>
      <c r="AM18" s="126"/>
      <c r="AN18" s="126"/>
      <c r="AO18" s="180"/>
    </row>
    <row r="19" spans="1:41" s="29" customFormat="1" ht="15" hidden="1" customHeight="1" x14ac:dyDescent="0.3">
      <c r="B19" s="245"/>
      <c r="C19" s="170"/>
      <c r="D19" s="357"/>
      <c r="E19" s="357"/>
      <c r="F19" s="359"/>
      <c r="G19" s="359"/>
      <c r="H19" s="128"/>
      <c r="I19" s="359"/>
      <c r="J19" s="359"/>
      <c r="K19" s="359"/>
      <c r="L19" s="359"/>
      <c r="M19" s="359"/>
      <c r="N19" s="359"/>
      <c r="O19" s="359"/>
      <c r="P19" s="359"/>
      <c r="Q19" s="359"/>
      <c r="R19" s="357"/>
      <c r="S19" s="357"/>
      <c r="T19" s="357"/>
      <c r="U19" s="359"/>
      <c r="V19" s="359"/>
      <c r="W19" s="359"/>
      <c r="X19" s="357"/>
      <c r="Y19" s="357"/>
      <c r="Z19" s="357"/>
      <c r="AA19" s="357"/>
      <c r="AB19" s="357"/>
      <c r="AC19" s="359"/>
      <c r="AD19" s="359"/>
      <c r="AE19" s="359"/>
      <c r="AF19" s="359"/>
      <c r="AG19" s="359"/>
      <c r="AH19" s="359"/>
      <c r="AI19" s="359"/>
      <c r="AJ19" s="360"/>
      <c r="AK19" s="357"/>
      <c r="AL19" s="125"/>
      <c r="AM19" s="126"/>
      <c r="AN19" s="126"/>
      <c r="AO19" s="180"/>
    </row>
    <row r="20" spans="1:41" s="29" customFormat="1" ht="15" hidden="1" customHeight="1" x14ac:dyDescent="0.3">
      <c r="B20" s="245"/>
      <c r="C20" s="170"/>
      <c r="D20" s="357"/>
      <c r="E20" s="357"/>
      <c r="F20" s="359"/>
      <c r="G20" s="359"/>
      <c r="H20" s="128"/>
      <c r="I20" s="359"/>
      <c r="J20" s="359"/>
      <c r="K20" s="359"/>
      <c r="L20" s="359"/>
      <c r="M20" s="359"/>
      <c r="N20" s="359"/>
      <c r="O20" s="359"/>
      <c r="P20" s="359"/>
      <c r="Q20" s="359"/>
      <c r="R20" s="357"/>
      <c r="S20" s="357"/>
      <c r="T20" s="357"/>
      <c r="U20" s="359"/>
      <c r="V20" s="359"/>
      <c r="W20" s="359"/>
      <c r="X20" s="357"/>
      <c r="Y20" s="357"/>
      <c r="Z20" s="357"/>
      <c r="AA20" s="357"/>
      <c r="AB20" s="357"/>
      <c r="AC20" s="359"/>
      <c r="AD20" s="359"/>
      <c r="AE20" s="359"/>
      <c r="AF20" s="359"/>
      <c r="AG20" s="359"/>
      <c r="AH20" s="359"/>
      <c r="AI20" s="359"/>
      <c r="AJ20" s="360"/>
      <c r="AK20" s="357"/>
      <c r="AL20" s="125"/>
      <c r="AM20" s="126"/>
      <c r="AN20" s="126"/>
      <c r="AO20" s="180"/>
    </row>
    <row r="21" spans="1:41" s="29" customFormat="1" ht="15" hidden="1" customHeight="1" x14ac:dyDescent="0.3">
      <c r="B21" s="245"/>
      <c r="C21" s="170"/>
      <c r="D21" s="357"/>
      <c r="E21" s="357"/>
      <c r="F21" s="359"/>
      <c r="G21" s="359"/>
      <c r="H21" s="127"/>
      <c r="I21" s="359"/>
      <c r="J21" s="359"/>
      <c r="K21" s="359"/>
      <c r="L21" s="359"/>
      <c r="M21" s="359"/>
      <c r="N21" s="359"/>
      <c r="O21" s="359"/>
      <c r="P21" s="359"/>
      <c r="Q21" s="359"/>
      <c r="R21" s="357"/>
      <c r="S21" s="357"/>
      <c r="T21" s="357"/>
      <c r="U21" s="359"/>
      <c r="V21" s="359"/>
      <c r="W21" s="359"/>
      <c r="X21" s="357"/>
      <c r="Y21" s="357"/>
      <c r="Z21" s="357"/>
      <c r="AA21" s="357"/>
      <c r="AB21" s="357"/>
      <c r="AC21" s="359"/>
      <c r="AD21" s="359"/>
      <c r="AE21" s="359"/>
      <c r="AF21" s="359"/>
      <c r="AG21" s="359"/>
      <c r="AH21" s="359"/>
      <c r="AI21" s="359"/>
      <c r="AJ21" s="360"/>
      <c r="AK21" s="357"/>
      <c r="AL21" s="125"/>
      <c r="AM21" s="126"/>
      <c r="AN21" s="126"/>
      <c r="AO21" s="180"/>
    </row>
    <row r="22" spans="1:41" s="29" customFormat="1" ht="15" hidden="1" customHeight="1" x14ac:dyDescent="0.3">
      <c r="B22" s="245"/>
      <c r="C22" s="170"/>
      <c r="D22" s="357"/>
      <c r="E22" s="357"/>
      <c r="F22" s="359"/>
      <c r="G22" s="359"/>
      <c r="H22" s="127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  <c r="AL22" s="180"/>
      <c r="AM22" s="180"/>
      <c r="AN22" s="180"/>
      <c r="AO22" s="180"/>
    </row>
    <row r="23" spans="1:41" s="29" customFormat="1" ht="15.75" hidden="1" thickBot="1" x14ac:dyDescent="0.3">
      <c r="B23" s="245" t="b">
        <v>1</v>
      </c>
      <c r="C23" s="170"/>
      <c r="D23" s="165" t="s">
        <v>337</v>
      </c>
      <c r="E23" s="165"/>
      <c r="F23" s="165"/>
      <c r="G23" s="165"/>
      <c r="H23" s="245"/>
      <c r="I23" s="245"/>
      <c r="J23" s="245"/>
      <c r="K23" s="245"/>
      <c r="L23" s="245"/>
      <c r="M23" s="248"/>
    </row>
    <row r="24" spans="1:41" ht="19.5" thickBot="1" x14ac:dyDescent="0.35">
      <c r="B24" s="246"/>
      <c r="C24" s="249"/>
      <c r="D24" s="245"/>
      <c r="E24" s="245"/>
      <c r="F24" s="245"/>
      <c r="G24" s="245"/>
      <c r="H24" s="245"/>
      <c r="I24" s="469"/>
      <c r="J24" s="470"/>
      <c r="K24" s="470"/>
      <c r="L24" s="470"/>
      <c r="M24" s="471"/>
      <c r="N24" s="472"/>
      <c r="Q24" s="181"/>
      <c r="R24" s="473" t="s">
        <v>76</v>
      </c>
      <c r="S24" s="474"/>
      <c r="T24" s="474"/>
      <c r="U24" s="474"/>
      <c r="V24" s="475"/>
      <c r="W24" s="202"/>
      <c r="X24" s="203"/>
      <c r="Y24" s="463" t="s">
        <v>152</v>
      </c>
      <c r="Z24" s="463"/>
      <c r="AA24" s="463"/>
      <c r="AB24" s="463"/>
      <c r="AC24" s="461" t="s">
        <v>391</v>
      </c>
      <c r="AD24" s="461"/>
      <c r="AE24" s="461"/>
      <c r="AF24" s="461"/>
      <c r="AG24" s="461"/>
      <c r="AH24" s="461"/>
      <c r="AI24" s="461"/>
      <c r="AJ24" s="462"/>
    </row>
    <row r="25" spans="1:41" ht="15.75" thickBot="1" x14ac:dyDescent="0.3">
      <c r="A25" s="168"/>
      <c r="B25" s="476" t="s">
        <v>77</v>
      </c>
      <c r="C25" s="477"/>
      <c r="D25" s="477"/>
      <c r="E25" s="477"/>
      <c r="F25" s="477"/>
      <c r="G25" s="477"/>
      <c r="H25" s="477"/>
      <c r="I25" s="478"/>
      <c r="J25" s="478"/>
      <c r="K25" s="478"/>
      <c r="L25" s="478"/>
      <c r="M25" s="479"/>
      <c r="N25" s="478"/>
      <c r="O25" s="477"/>
      <c r="P25" s="477"/>
      <c r="Q25" s="478"/>
      <c r="R25" s="477"/>
      <c r="S25" s="477"/>
      <c r="T25" s="477"/>
      <c r="U25" s="477"/>
      <c r="V25" s="477"/>
      <c r="W25" s="480"/>
      <c r="X25" s="194"/>
      <c r="Y25" s="194"/>
      <c r="Z25" s="194"/>
      <c r="AA25" s="194"/>
      <c r="AB25" s="194"/>
      <c r="AC25" s="195"/>
      <c r="AD25" s="195"/>
      <c r="AE25" s="195"/>
      <c r="AF25" s="196"/>
      <c r="AG25" s="197"/>
      <c r="AH25" s="197"/>
      <c r="AI25" s="197"/>
      <c r="AJ25" s="198"/>
    </row>
    <row r="26" spans="1:41" ht="15.75" thickBot="1" x14ac:dyDescent="0.3">
      <c r="A26" s="168"/>
      <c r="B26" s="247"/>
      <c r="C26" s="163"/>
      <c r="D26" s="455">
        <v>1</v>
      </c>
      <c r="E26" s="455"/>
      <c r="F26" s="455">
        <v>2</v>
      </c>
      <c r="G26" s="455"/>
      <c r="H26" s="455">
        <v>3</v>
      </c>
      <c r="I26" s="455"/>
      <c r="J26" s="455">
        <v>4</v>
      </c>
      <c r="K26" s="455"/>
      <c r="L26" s="455">
        <v>5</v>
      </c>
      <c r="M26" s="459"/>
      <c r="N26" s="456">
        <v>6</v>
      </c>
      <c r="O26" s="457"/>
      <c r="P26" s="458">
        <v>7</v>
      </c>
      <c r="Q26" s="457"/>
      <c r="R26" s="458">
        <v>8</v>
      </c>
      <c r="S26" s="457"/>
      <c r="T26" s="458">
        <v>9</v>
      </c>
      <c r="U26" s="457"/>
      <c r="V26" s="458">
        <v>10</v>
      </c>
      <c r="W26" s="460"/>
      <c r="X26" s="482" t="s">
        <v>105</v>
      </c>
      <c r="Y26" s="456"/>
      <c r="Z26" s="460"/>
      <c r="AA26" s="256"/>
      <c r="AB26" s="256"/>
      <c r="AC26" s="257"/>
      <c r="AD26" s="257"/>
      <c r="AE26" s="199"/>
      <c r="AF26" s="199"/>
      <c r="AG26" s="200"/>
      <c r="AH26" s="200"/>
      <c r="AI26" s="200"/>
      <c r="AJ26" s="201"/>
    </row>
    <row r="27" spans="1:41" s="168" customFormat="1" ht="15.75" thickBot="1" x14ac:dyDescent="0.3">
      <c r="B27" s="258"/>
      <c r="C27" s="259"/>
      <c r="D27" s="260" t="s">
        <v>57</v>
      </c>
      <c r="E27" s="261" t="s">
        <v>58</v>
      </c>
      <c r="F27" s="258" t="s">
        <v>57</v>
      </c>
      <c r="G27" s="258" t="s">
        <v>58</v>
      </c>
      <c r="H27" s="258" t="s">
        <v>57</v>
      </c>
      <c r="I27" s="258" t="s">
        <v>58</v>
      </c>
      <c r="J27" s="258" t="s">
        <v>57</v>
      </c>
      <c r="K27" s="258" t="s">
        <v>58</v>
      </c>
      <c r="L27" s="258" t="s">
        <v>57</v>
      </c>
      <c r="M27" s="258" t="s">
        <v>58</v>
      </c>
      <c r="N27" s="258" t="s">
        <v>57</v>
      </c>
      <c r="O27" s="258" t="s">
        <v>58</v>
      </c>
      <c r="P27" s="258" t="s">
        <v>57</v>
      </c>
      <c r="Q27" s="258" t="s">
        <v>58</v>
      </c>
      <c r="R27" s="258" t="s">
        <v>57</v>
      </c>
      <c r="S27" s="258" t="s">
        <v>58</v>
      </c>
      <c r="T27" s="258" t="s">
        <v>57</v>
      </c>
      <c r="U27" s="258" t="s">
        <v>58</v>
      </c>
      <c r="V27" s="258" t="s">
        <v>57</v>
      </c>
      <c r="W27" s="262" t="s">
        <v>58</v>
      </c>
      <c r="X27" s="263" t="s">
        <v>78</v>
      </c>
      <c r="Y27" s="264" t="s">
        <v>104</v>
      </c>
      <c r="Z27" s="265" t="s">
        <v>106</v>
      </c>
      <c r="AA27" s="263" t="s">
        <v>138</v>
      </c>
      <c r="AB27" s="264" t="s">
        <v>271</v>
      </c>
      <c r="AC27" s="483" t="s">
        <v>100</v>
      </c>
      <c r="AD27" s="484"/>
      <c r="AE27" s="456" t="s">
        <v>101</v>
      </c>
      <c r="AF27" s="460"/>
      <c r="AG27" s="464" t="s">
        <v>102</v>
      </c>
      <c r="AH27" s="464"/>
      <c r="AI27" s="464" t="s">
        <v>103</v>
      </c>
      <c r="AJ27" s="464"/>
    </row>
    <row r="28" spans="1:41" x14ac:dyDescent="0.25">
      <c r="A28" s="168"/>
      <c r="B28" s="630" t="s">
        <v>79</v>
      </c>
      <c r="C28" s="631">
        <v>46258</v>
      </c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4"/>
      <c r="X28" s="635"/>
      <c r="Y28" s="633"/>
      <c r="Z28" s="636"/>
      <c r="AA28" s="637"/>
      <c r="AB28" s="638"/>
      <c r="AC28" s="639"/>
      <c r="AD28" s="639"/>
      <c r="AE28" s="640" t="str">
        <f>TRUNC(SUM(AC28:AC34)*24,0) &amp; "h" &amp; RIGHT("00"&amp;ROUND(((SUM(AC28:AC34)*24)-TRUNC(SUM(AC28:AC34)*24,0))*60,2),2)</f>
        <v>0h00</v>
      </c>
      <c r="AF28" s="640"/>
      <c r="AG28" s="641"/>
      <c r="AH28" s="641"/>
      <c r="AI28" s="640" t="str">
        <f>TRUNC(SUM(AG28:AG34)*24,0) &amp; "h" &amp; RIGHT("00"&amp;ROUND(((SUM(AG28:AG34)*24)-TRUNC(SUM(AG28:AG34)*24,0))*60,2),2)</f>
        <v>0h00</v>
      </c>
      <c r="AJ28" s="640"/>
    </row>
    <row r="29" spans="1:41" ht="14.1" customHeight="1" x14ac:dyDescent="0.25">
      <c r="A29" s="168"/>
      <c r="B29" s="285" t="s">
        <v>80</v>
      </c>
      <c r="C29" s="282">
        <v>46259</v>
      </c>
      <c r="D29" s="274"/>
      <c r="E29" s="274"/>
      <c r="F29" s="274"/>
      <c r="G29" s="274"/>
      <c r="H29" s="274"/>
      <c r="I29" s="274"/>
      <c r="J29" s="274"/>
      <c r="K29" s="274"/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4"/>
      <c r="W29" s="302"/>
      <c r="X29" s="311"/>
      <c r="Y29" s="275"/>
      <c r="Z29" s="312"/>
      <c r="AA29" s="318"/>
      <c r="AB29" s="319"/>
      <c r="AC29" s="439"/>
      <c r="AD29" s="439"/>
      <c r="AE29" s="430"/>
      <c r="AF29" s="430"/>
      <c r="AG29" s="435"/>
      <c r="AH29" s="435"/>
      <c r="AI29" s="430"/>
      <c r="AJ29" s="430"/>
    </row>
    <row r="30" spans="1:41" ht="14.1" customHeight="1" x14ac:dyDescent="0.25">
      <c r="A30" s="168"/>
      <c r="B30" s="285" t="s">
        <v>81</v>
      </c>
      <c r="C30" s="282">
        <v>46260</v>
      </c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303"/>
      <c r="X30" s="313"/>
      <c r="Y30" s="277"/>
      <c r="Z30" s="314"/>
      <c r="AA30" s="320"/>
      <c r="AB30" s="321"/>
      <c r="AC30" s="440"/>
      <c r="AD30" s="440"/>
      <c r="AE30" s="429"/>
      <c r="AF30" s="429"/>
      <c r="AG30" s="436"/>
      <c r="AH30" s="436"/>
      <c r="AI30" s="429"/>
      <c r="AJ30" s="429"/>
    </row>
    <row r="31" spans="1:41" ht="14.1" customHeight="1" x14ac:dyDescent="0.25">
      <c r="A31" s="168"/>
      <c r="B31" s="285" t="s">
        <v>82</v>
      </c>
      <c r="C31" s="282">
        <v>46261</v>
      </c>
      <c r="D31" s="274"/>
      <c r="E31" s="274"/>
      <c r="F31" s="274"/>
      <c r="G31" s="274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302"/>
      <c r="X31" s="311"/>
      <c r="Y31" s="275"/>
      <c r="Z31" s="312"/>
      <c r="AA31" s="318"/>
      <c r="AB31" s="319"/>
      <c r="AC31" s="439"/>
      <c r="AD31" s="439"/>
      <c r="AE31" s="430"/>
      <c r="AF31" s="430"/>
      <c r="AG31" s="435"/>
      <c r="AH31" s="435"/>
      <c r="AI31" s="430"/>
      <c r="AJ31" s="430"/>
    </row>
    <row r="32" spans="1:41" ht="14.1" customHeight="1" x14ac:dyDescent="0.25">
      <c r="A32" s="168"/>
      <c r="B32" s="285" t="s">
        <v>83</v>
      </c>
      <c r="C32" s="282">
        <v>46262</v>
      </c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  <c r="S32" s="276"/>
      <c r="T32" s="276"/>
      <c r="U32" s="276"/>
      <c r="V32" s="276"/>
      <c r="W32" s="303"/>
      <c r="X32" s="313"/>
      <c r="Y32" s="277"/>
      <c r="Z32" s="314"/>
      <c r="AA32" s="320"/>
      <c r="AB32" s="321"/>
      <c r="AC32" s="440"/>
      <c r="AD32" s="440"/>
      <c r="AE32" s="429"/>
      <c r="AF32" s="429"/>
      <c r="AG32" s="436"/>
      <c r="AH32" s="436"/>
      <c r="AI32" s="429"/>
      <c r="AJ32" s="429"/>
    </row>
    <row r="33" spans="1:42" ht="14.1" customHeight="1" x14ac:dyDescent="0.25">
      <c r="A33" s="168"/>
      <c r="B33" s="285" t="s">
        <v>84</v>
      </c>
      <c r="C33" s="282">
        <v>46263</v>
      </c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302"/>
      <c r="X33" s="311"/>
      <c r="Y33" s="275"/>
      <c r="Z33" s="312"/>
      <c r="AA33" s="318"/>
      <c r="AB33" s="319"/>
      <c r="AC33" s="439"/>
      <c r="AD33" s="439"/>
      <c r="AE33" s="430"/>
      <c r="AF33" s="430"/>
      <c r="AG33" s="435"/>
      <c r="AH33" s="435"/>
      <c r="AI33" s="430"/>
      <c r="AJ33" s="430"/>
    </row>
    <row r="34" spans="1:42" ht="14.1" customHeight="1" x14ac:dyDescent="0.25">
      <c r="A34" s="168"/>
      <c r="B34" s="288" t="s">
        <v>85</v>
      </c>
      <c r="C34" s="289">
        <v>46264</v>
      </c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0"/>
      <c r="S34" s="280"/>
      <c r="T34" s="280"/>
      <c r="U34" s="280"/>
      <c r="V34" s="280"/>
      <c r="W34" s="304"/>
      <c r="X34" s="340"/>
      <c r="Y34" s="421"/>
      <c r="Z34" s="343"/>
      <c r="AA34" s="322"/>
      <c r="AB34" s="323"/>
      <c r="AC34" s="441"/>
      <c r="AD34" s="441"/>
      <c r="AE34" s="433"/>
      <c r="AF34" s="433"/>
      <c r="AG34" s="451"/>
      <c r="AH34" s="451"/>
      <c r="AI34" s="433"/>
      <c r="AJ34" s="433"/>
    </row>
    <row r="35" spans="1:42" ht="14.1" customHeight="1" x14ac:dyDescent="0.25">
      <c r="A35" s="168"/>
      <c r="B35" s="331" t="s">
        <v>79</v>
      </c>
      <c r="C35" s="332">
        <v>46265</v>
      </c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2"/>
      <c r="X35" s="363"/>
      <c r="Y35" s="364"/>
      <c r="Z35" s="365"/>
      <c r="AA35" s="366"/>
      <c r="AB35" s="367"/>
      <c r="AC35" s="453"/>
      <c r="AD35" s="453"/>
      <c r="AE35" s="428" t="str">
        <f>TRUNC(SUM(AC35:AC41)*24,0) &amp; "h" &amp; RIGHT("00"&amp;ROUND(((SUM(AC35:AC41)*24)-TRUNC(SUM(AC35:AC41)*24,0))*60,2),2)</f>
        <v>0h00</v>
      </c>
      <c r="AF35" s="428"/>
      <c r="AG35" s="454"/>
      <c r="AH35" s="454"/>
      <c r="AI35" s="428" t="str">
        <f>TRUNC(SUM(AG35:AG41)*24,0) &amp; "h" &amp; RIGHT("00"&amp;ROUND(((SUM(AG35:AG41)*24)-TRUNC(SUM(AG35:AG41)*24,0))*60,2),2)</f>
        <v>0h00</v>
      </c>
      <c r="AJ35" s="428"/>
      <c r="AK35" s="137"/>
      <c r="AL35" s="137"/>
      <c r="AM35" s="137"/>
      <c r="AN35" s="137"/>
      <c r="AO35" s="137"/>
      <c r="AP35" s="137"/>
    </row>
    <row r="36" spans="1:42" ht="14.1" customHeight="1" x14ac:dyDescent="0.25">
      <c r="A36" s="168"/>
      <c r="B36" s="285" t="s">
        <v>80</v>
      </c>
      <c r="C36" s="282">
        <v>46266</v>
      </c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303"/>
      <c r="X36" s="313"/>
      <c r="Y36" s="277"/>
      <c r="Z36" s="314"/>
      <c r="AA36" s="320"/>
      <c r="AB36" s="321"/>
      <c r="AC36" s="440"/>
      <c r="AD36" s="440"/>
      <c r="AE36" s="429"/>
      <c r="AF36" s="429"/>
      <c r="AG36" s="436"/>
      <c r="AH36" s="436"/>
      <c r="AI36" s="429"/>
      <c r="AJ36" s="429"/>
      <c r="AK36" s="138"/>
      <c r="AL36" s="138"/>
      <c r="AM36" s="138"/>
      <c r="AN36" s="138"/>
      <c r="AO36" s="138"/>
      <c r="AP36" s="137"/>
    </row>
    <row r="37" spans="1:42" ht="14.1" customHeight="1" x14ac:dyDescent="0.25">
      <c r="A37" s="168"/>
      <c r="B37" s="285" t="s">
        <v>81</v>
      </c>
      <c r="C37" s="282">
        <v>46267</v>
      </c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4"/>
      <c r="W37" s="302"/>
      <c r="X37" s="311"/>
      <c r="Y37" s="275"/>
      <c r="Z37" s="312"/>
      <c r="AA37" s="318"/>
      <c r="AB37" s="319"/>
      <c r="AC37" s="439"/>
      <c r="AD37" s="439"/>
      <c r="AE37" s="430"/>
      <c r="AF37" s="430"/>
      <c r="AG37" s="435"/>
      <c r="AH37" s="435"/>
      <c r="AI37" s="430"/>
      <c r="AJ37" s="430"/>
      <c r="AK37" s="137"/>
      <c r="AL37" s="139"/>
      <c r="AM37" s="137"/>
      <c r="AN37" s="137"/>
      <c r="AO37" s="137"/>
      <c r="AP37" s="137"/>
    </row>
    <row r="38" spans="1:42" ht="14.1" customHeight="1" x14ac:dyDescent="0.25">
      <c r="A38" s="168"/>
      <c r="B38" s="285" t="s">
        <v>82</v>
      </c>
      <c r="C38" s="282">
        <v>46268</v>
      </c>
      <c r="D38" s="276"/>
      <c r="E38" s="276"/>
      <c r="F38" s="276"/>
      <c r="G38" s="276"/>
      <c r="H38" s="276"/>
      <c r="I38" s="276"/>
      <c r="J38" s="278"/>
      <c r="K38" s="278"/>
      <c r="L38" s="278"/>
      <c r="M38" s="278"/>
      <c r="N38" s="278"/>
      <c r="O38" s="278"/>
      <c r="P38" s="278"/>
      <c r="Q38" s="278"/>
      <c r="R38" s="278"/>
      <c r="S38" s="278"/>
      <c r="T38" s="278"/>
      <c r="U38" s="278"/>
      <c r="V38" s="278"/>
      <c r="W38" s="305"/>
      <c r="X38" s="313"/>
      <c r="Y38" s="277"/>
      <c r="Z38" s="314"/>
      <c r="AA38" s="320"/>
      <c r="AB38" s="321"/>
      <c r="AC38" s="440"/>
      <c r="AD38" s="440"/>
      <c r="AE38" s="429"/>
      <c r="AF38" s="429"/>
      <c r="AG38" s="436"/>
      <c r="AH38" s="436"/>
      <c r="AI38" s="429"/>
      <c r="AJ38" s="429"/>
      <c r="AK38" s="138"/>
      <c r="AL38" s="138"/>
      <c r="AM38" s="138"/>
      <c r="AN38" s="138"/>
      <c r="AO38" s="138"/>
      <c r="AP38" s="137"/>
    </row>
    <row r="39" spans="1:42" ht="14.1" customHeight="1" x14ac:dyDescent="0.25">
      <c r="A39" s="168"/>
      <c r="B39" s="285" t="s">
        <v>83</v>
      </c>
      <c r="C39" s="282">
        <v>46269</v>
      </c>
      <c r="D39" s="274"/>
      <c r="E39" s="274"/>
      <c r="F39" s="274"/>
      <c r="G39" s="274"/>
      <c r="H39" s="274"/>
      <c r="I39" s="274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V39" s="279"/>
      <c r="W39" s="306"/>
      <c r="X39" s="311"/>
      <c r="Y39" s="275"/>
      <c r="Z39" s="312"/>
      <c r="AA39" s="318"/>
      <c r="AB39" s="319"/>
      <c r="AC39" s="439"/>
      <c r="AD39" s="439"/>
      <c r="AE39" s="430"/>
      <c r="AF39" s="430"/>
      <c r="AG39" s="435"/>
      <c r="AH39" s="435"/>
      <c r="AI39" s="430"/>
      <c r="AJ39" s="430"/>
      <c r="AK39" s="137"/>
      <c r="AL39" s="137"/>
      <c r="AM39" s="137"/>
      <c r="AN39" s="137"/>
      <c r="AO39" s="137"/>
      <c r="AP39" s="137"/>
    </row>
    <row r="40" spans="1:42" ht="14.1" customHeight="1" x14ac:dyDescent="0.25">
      <c r="A40" s="168"/>
      <c r="B40" s="285" t="s">
        <v>84</v>
      </c>
      <c r="C40" s="282">
        <v>46270</v>
      </c>
      <c r="D40" s="276"/>
      <c r="E40" s="276"/>
      <c r="F40" s="276"/>
      <c r="G40" s="276"/>
      <c r="H40" s="276"/>
      <c r="I40" s="276"/>
      <c r="J40" s="278"/>
      <c r="K40" s="278"/>
      <c r="L40" s="278"/>
      <c r="M40" s="278"/>
      <c r="N40" s="278"/>
      <c r="O40" s="278"/>
      <c r="P40" s="278"/>
      <c r="Q40" s="278"/>
      <c r="R40" s="278"/>
      <c r="S40" s="278"/>
      <c r="T40" s="278"/>
      <c r="U40" s="278"/>
      <c r="V40" s="278"/>
      <c r="W40" s="305"/>
      <c r="X40" s="313"/>
      <c r="Y40" s="277"/>
      <c r="Z40" s="314"/>
      <c r="AA40" s="320"/>
      <c r="AB40" s="321"/>
      <c r="AC40" s="440"/>
      <c r="AD40" s="440"/>
      <c r="AE40" s="429"/>
      <c r="AF40" s="429"/>
      <c r="AG40" s="436"/>
      <c r="AH40" s="436"/>
      <c r="AI40" s="429"/>
      <c r="AJ40" s="429"/>
      <c r="AK40" s="137"/>
      <c r="AL40" s="137"/>
      <c r="AM40" s="137"/>
      <c r="AN40" s="137"/>
      <c r="AO40" s="137"/>
      <c r="AP40" s="137"/>
    </row>
    <row r="41" spans="1:42" ht="14.1" customHeight="1" x14ac:dyDescent="0.25">
      <c r="A41" s="168"/>
      <c r="B41" s="286" t="s">
        <v>85</v>
      </c>
      <c r="C41" s="287">
        <v>46271</v>
      </c>
      <c r="D41" s="330"/>
      <c r="E41" s="330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307"/>
      <c r="X41" s="315"/>
      <c r="Y41" s="408"/>
      <c r="Z41" s="333"/>
      <c r="AA41" s="324"/>
      <c r="AB41" s="325"/>
      <c r="AC41" s="452"/>
      <c r="AD41" s="452"/>
      <c r="AE41" s="431"/>
      <c r="AF41" s="431"/>
      <c r="AG41" s="450"/>
      <c r="AH41" s="450"/>
      <c r="AI41" s="431"/>
      <c r="AJ41" s="431"/>
      <c r="AK41" s="137"/>
      <c r="AL41" s="137"/>
      <c r="AM41" s="137"/>
      <c r="AN41" s="137"/>
      <c r="AO41" s="137"/>
      <c r="AP41" s="137"/>
    </row>
    <row r="42" spans="1:42" ht="14.1" customHeight="1" x14ac:dyDescent="0.25">
      <c r="A42" s="168"/>
      <c r="B42" s="283" t="s">
        <v>79</v>
      </c>
      <c r="C42" s="284">
        <v>46272</v>
      </c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4"/>
      <c r="W42" s="335"/>
      <c r="X42" s="336"/>
      <c r="Y42" s="344"/>
      <c r="Z42" s="337"/>
      <c r="AA42" s="338"/>
      <c r="AB42" s="339"/>
      <c r="AC42" s="445"/>
      <c r="AD42" s="445"/>
      <c r="AE42" s="432" t="str">
        <f>TRUNC(SUM(AC42:AC48)*24,0) &amp; "h" &amp; RIGHT("00"&amp;ROUND(((SUM(AC42:AC48)*24)-TRUNC(SUM(AC42:AC48)*24,0))*60,2),2)</f>
        <v>0h00</v>
      </c>
      <c r="AF42" s="432"/>
      <c r="AG42" s="434"/>
      <c r="AH42" s="434"/>
      <c r="AI42" s="432" t="str">
        <f>TRUNC(SUM(AG42:AG48)*24,0) &amp; "h" &amp; RIGHT("00"&amp;ROUND(((SUM(AG42:AG48)*24)-TRUNC(SUM(AG42:AG48)*24,0))*60,2),2)</f>
        <v>0h00</v>
      </c>
      <c r="AJ42" s="432"/>
      <c r="AK42" s="137"/>
      <c r="AL42" s="137"/>
      <c r="AM42" s="137"/>
      <c r="AN42" s="137"/>
      <c r="AO42" s="137"/>
      <c r="AP42" s="137"/>
    </row>
    <row r="43" spans="1:42" ht="14.1" customHeight="1" x14ac:dyDescent="0.25">
      <c r="A43" s="168"/>
      <c r="B43" s="285" t="s">
        <v>80</v>
      </c>
      <c r="C43" s="282">
        <v>46273</v>
      </c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302"/>
      <c r="X43" s="311"/>
      <c r="Y43" s="275"/>
      <c r="Z43" s="312"/>
      <c r="AA43" s="318"/>
      <c r="AB43" s="319"/>
      <c r="AC43" s="439"/>
      <c r="AD43" s="439"/>
      <c r="AE43" s="430"/>
      <c r="AF43" s="430"/>
      <c r="AG43" s="435"/>
      <c r="AH43" s="435"/>
      <c r="AI43" s="430"/>
      <c r="AJ43" s="430"/>
      <c r="AK43" s="137"/>
      <c r="AL43" s="137"/>
      <c r="AM43" s="137"/>
      <c r="AN43" s="137"/>
      <c r="AO43" s="137"/>
      <c r="AP43" s="137"/>
    </row>
    <row r="44" spans="1:42" ht="14.1" customHeight="1" x14ac:dyDescent="0.25">
      <c r="A44" s="168"/>
      <c r="B44" s="285" t="s">
        <v>81</v>
      </c>
      <c r="C44" s="282">
        <v>46274</v>
      </c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303"/>
      <c r="X44" s="313"/>
      <c r="Y44" s="277"/>
      <c r="Z44" s="314"/>
      <c r="AA44" s="320"/>
      <c r="AB44" s="321"/>
      <c r="AC44" s="440"/>
      <c r="AD44" s="440"/>
      <c r="AE44" s="429"/>
      <c r="AF44" s="429"/>
      <c r="AG44" s="436"/>
      <c r="AH44" s="436"/>
      <c r="AI44" s="429"/>
      <c r="AJ44" s="429"/>
      <c r="AK44" s="137"/>
      <c r="AL44" s="137"/>
      <c r="AM44" s="137"/>
      <c r="AN44" s="137"/>
      <c r="AO44" s="137"/>
      <c r="AP44" s="137"/>
    </row>
    <row r="45" spans="1:42" ht="14.1" customHeight="1" x14ac:dyDescent="0.25">
      <c r="A45" s="168"/>
      <c r="B45" s="285" t="s">
        <v>82</v>
      </c>
      <c r="C45" s="282">
        <v>46275</v>
      </c>
      <c r="D45" s="274"/>
      <c r="E45" s="274"/>
      <c r="F45" s="274"/>
      <c r="G45" s="274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302"/>
      <c r="X45" s="311"/>
      <c r="Y45" s="275"/>
      <c r="Z45" s="312"/>
      <c r="AA45" s="318"/>
      <c r="AB45" s="319"/>
      <c r="AC45" s="439"/>
      <c r="AD45" s="439"/>
      <c r="AE45" s="430"/>
      <c r="AF45" s="430"/>
      <c r="AG45" s="435"/>
      <c r="AH45" s="435"/>
      <c r="AI45" s="430"/>
      <c r="AJ45" s="430"/>
      <c r="AK45" s="137"/>
      <c r="AL45" s="137"/>
      <c r="AM45" s="137"/>
      <c r="AN45" s="137"/>
      <c r="AO45" s="137"/>
      <c r="AP45" s="137"/>
    </row>
    <row r="46" spans="1:42" ht="14.1" customHeight="1" x14ac:dyDescent="0.25">
      <c r="A46" s="168"/>
      <c r="B46" s="285" t="s">
        <v>83</v>
      </c>
      <c r="C46" s="282">
        <v>46276</v>
      </c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303"/>
      <c r="X46" s="313"/>
      <c r="Y46" s="277"/>
      <c r="Z46" s="314"/>
      <c r="AA46" s="320"/>
      <c r="AB46" s="321"/>
      <c r="AC46" s="440"/>
      <c r="AD46" s="440"/>
      <c r="AE46" s="429"/>
      <c r="AF46" s="429"/>
      <c r="AG46" s="436"/>
      <c r="AH46" s="436"/>
      <c r="AI46" s="429"/>
      <c r="AJ46" s="429"/>
      <c r="AK46" s="137"/>
      <c r="AL46" s="137"/>
      <c r="AM46" s="137"/>
      <c r="AN46" s="137"/>
      <c r="AO46" s="137"/>
      <c r="AP46" s="137"/>
    </row>
    <row r="47" spans="1:42" ht="14.1" customHeight="1" x14ac:dyDescent="0.25">
      <c r="A47" s="168"/>
      <c r="B47" s="285" t="s">
        <v>84</v>
      </c>
      <c r="C47" s="282">
        <v>46277</v>
      </c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302"/>
      <c r="X47" s="311"/>
      <c r="Y47" s="275"/>
      <c r="Z47" s="312"/>
      <c r="AA47" s="318"/>
      <c r="AB47" s="319"/>
      <c r="AC47" s="439"/>
      <c r="AD47" s="439"/>
      <c r="AE47" s="430"/>
      <c r="AF47" s="430"/>
      <c r="AG47" s="435"/>
      <c r="AH47" s="435"/>
      <c r="AI47" s="430"/>
      <c r="AJ47" s="430"/>
      <c r="AK47" s="137"/>
      <c r="AL47" s="137"/>
      <c r="AM47" s="137"/>
      <c r="AN47" s="137"/>
      <c r="AO47" s="137"/>
      <c r="AP47" s="137"/>
    </row>
    <row r="48" spans="1:42" ht="14.1" customHeight="1" x14ac:dyDescent="0.25">
      <c r="A48" s="168"/>
      <c r="B48" s="288" t="s">
        <v>85</v>
      </c>
      <c r="C48" s="289">
        <v>46278</v>
      </c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304"/>
      <c r="X48" s="340"/>
      <c r="Y48" s="421"/>
      <c r="Z48" s="343"/>
      <c r="AA48" s="322"/>
      <c r="AB48" s="323"/>
      <c r="AC48" s="441"/>
      <c r="AD48" s="441"/>
      <c r="AE48" s="433"/>
      <c r="AF48" s="433"/>
      <c r="AG48" s="451"/>
      <c r="AH48" s="451"/>
      <c r="AI48" s="433"/>
      <c r="AJ48" s="433"/>
    </row>
    <row r="49" spans="1:36" ht="14.1" customHeight="1" x14ac:dyDescent="0.25">
      <c r="A49" s="168"/>
      <c r="B49" s="331" t="s">
        <v>79</v>
      </c>
      <c r="C49" s="332">
        <v>46279</v>
      </c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2"/>
      <c r="X49" s="363"/>
      <c r="Y49" s="364"/>
      <c r="Z49" s="365"/>
      <c r="AA49" s="366"/>
      <c r="AB49" s="367"/>
      <c r="AC49" s="453"/>
      <c r="AD49" s="453"/>
      <c r="AE49" s="428" t="str">
        <f>TRUNC(SUM(AC49:AC55)*24,0) &amp; "h" &amp; RIGHT("00"&amp;ROUND(((SUM(AC49:AC55)*24)-TRUNC(SUM(AC49:AC55)*24,0))*60,2),2)</f>
        <v>0h00</v>
      </c>
      <c r="AF49" s="428"/>
      <c r="AG49" s="454"/>
      <c r="AH49" s="454"/>
      <c r="AI49" s="428" t="str">
        <f>TRUNC(SUM(AG49:AG55)*24,0) &amp; "h" &amp; RIGHT("00"&amp;ROUND(((SUM(AG49:AG55)*24)-TRUNC(SUM(AG49:AG55)*24,0))*60,2),2)</f>
        <v>0h00</v>
      </c>
      <c r="AJ49" s="428"/>
    </row>
    <row r="50" spans="1:36" ht="14.1" customHeight="1" x14ac:dyDescent="0.25">
      <c r="A50" s="168"/>
      <c r="B50" s="285" t="s">
        <v>80</v>
      </c>
      <c r="C50" s="282">
        <v>46280</v>
      </c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303"/>
      <c r="X50" s="313"/>
      <c r="Y50" s="277"/>
      <c r="Z50" s="314"/>
      <c r="AA50" s="320"/>
      <c r="AB50" s="321"/>
      <c r="AC50" s="440"/>
      <c r="AD50" s="440"/>
      <c r="AE50" s="429"/>
      <c r="AF50" s="429"/>
      <c r="AG50" s="436"/>
      <c r="AH50" s="436"/>
      <c r="AI50" s="429"/>
      <c r="AJ50" s="429"/>
    </row>
    <row r="51" spans="1:36" ht="14.1" customHeight="1" x14ac:dyDescent="0.25">
      <c r="A51" s="168"/>
      <c r="B51" s="285" t="s">
        <v>81</v>
      </c>
      <c r="C51" s="282">
        <v>46281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302"/>
      <c r="X51" s="311"/>
      <c r="Y51" s="275"/>
      <c r="Z51" s="312"/>
      <c r="AA51" s="318"/>
      <c r="AB51" s="319"/>
      <c r="AC51" s="439"/>
      <c r="AD51" s="439"/>
      <c r="AE51" s="430"/>
      <c r="AF51" s="430"/>
      <c r="AG51" s="435"/>
      <c r="AH51" s="435"/>
      <c r="AI51" s="430"/>
      <c r="AJ51" s="430"/>
    </row>
    <row r="52" spans="1:36" ht="14.1" customHeight="1" x14ac:dyDescent="0.25">
      <c r="A52" s="168"/>
      <c r="B52" s="285" t="s">
        <v>82</v>
      </c>
      <c r="C52" s="282">
        <v>46282</v>
      </c>
      <c r="D52" s="276"/>
      <c r="E52" s="276"/>
      <c r="F52" s="276"/>
      <c r="G52" s="276"/>
      <c r="H52" s="276"/>
      <c r="I52" s="276"/>
      <c r="J52" s="278"/>
      <c r="K52" s="278"/>
      <c r="L52" s="278"/>
      <c r="M52" s="278"/>
      <c r="N52" s="278"/>
      <c r="O52" s="278"/>
      <c r="P52" s="278"/>
      <c r="Q52" s="278"/>
      <c r="R52" s="278"/>
      <c r="S52" s="278"/>
      <c r="T52" s="278"/>
      <c r="U52" s="278"/>
      <c r="V52" s="278"/>
      <c r="W52" s="305"/>
      <c r="X52" s="313"/>
      <c r="Y52" s="277"/>
      <c r="Z52" s="314"/>
      <c r="AA52" s="320"/>
      <c r="AB52" s="321"/>
      <c r="AC52" s="440"/>
      <c r="AD52" s="440"/>
      <c r="AE52" s="429"/>
      <c r="AF52" s="429"/>
      <c r="AG52" s="436"/>
      <c r="AH52" s="436"/>
      <c r="AI52" s="429"/>
      <c r="AJ52" s="429"/>
    </row>
    <row r="53" spans="1:36" ht="14.1" customHeight="1" x14ac:dyDescent="0.25">
      <c r="A53" s="168"/>
      <c r="B53" s="285" t="s">
        <v>83</v>
      </c>
      <c r="C53" s="282">
        <v>46283</v>
      </c>
      <c r="D53" s="274"/>
      <c r="E53" s="274"/>
      <c r="F53" s="274"/>
      <c r="G53" s="274"/>
      <c r="H53" s="274"/>
      <c r="I53" s="274"/>
      <c r="J53" s="279"/>
      <c r="K53" s="279"/>
      <c r="L53" s="279"/>
      <c r="M53" s="279"/>
      <c r="N53" s="279"/>
      <c r="O53" s="279"/>
      <c r="P53" s="279"/>
      <c r="Q53" s="279"/>
      <c r="R53" s="279"/>
      <c r="S53" s="279"/>
      <c r="T53" s="279"/>
      <c r="U53" s="279"/>
      <c r="V53" s="279"/>
      <c r="W53" s="306"/>
      <c r="X53" s="311"/>
      <c r="Y53" s="275"/>
      <c r="Z53" s="312"/>
      <c r="AA53" s="318"/>
      <c r="AB53" s="319"/>
      <c r="AC53" s="439"/>
      <c r="AD53" s="439"/>
      <c r="AE53" s="430"/>
      <c r="AF53" s="430"/>
      <c r="AG53" s="435"/>
      <c r="AH53" s="435"/>
      <c r="AI53" s="430"/>
      <c r="AJ53" s="430"/>
    </row>
    <row r="54" spans="1:36" ht="14.1" customHeight="1" x14ac:dyDescent="0.25">
      <c r="A54" s="168"/>
      <c r="B54" s="285" t="s">
        <v>84</v>
      </c>
      <c r="C54" s="282">
        <v>46284</v>
      </c>
      <c r="D54" s="276"/>
      <c r="E54" s="276"/>
      <c r="F54" s="276"/>
      <c r="G54" s="276"/>
      <c r="H54" s="276"/>
      <c r="I54" s="276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305"/>
      <c r="X54" s="313"/>
      <c r="Y54" s="277"/>
      <c r="Z54" s="314"/>
      <c r="AA54" s="320"/>
      <c r="AB54" s="321"/>
      <c r="AC54" s="440"/>
      <c r="AD54" s="440"/>
      <c r="AE54" s="429"/>
      <c r="AF54" s="429"/>
      <c r="AG54" s="436"/>
      <c r="AH54" s="436"/>
      <c r="AI54" s="429"/>
      <c r="AJ54" s="429"/>
    </row>
    <row r="55" spans="1:36" ht="14.1" customHeight="1" x14ac:dyDescent="0.25">
      <c r="A55" s="168"/>
      <c r="B55" s="286" t="s">
        <v>85</v>
      </c>
      <c r="C55" s="287">
        <v>46285</v>
      </c>
      <c r="D55" s="330"/>
      <c r="E55" s="330"/>
      <c r="F55" s="330"/>
      <c r="G55" s="330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307"/>
      <c r="X55" s="315"/>
      <c r="Y55" s="408"/>
      <c r="Z55" s="333"/>
      <c r="AA55" s="324"/>
      <c r="AB55" s="325"/>
      <c r="AC55" s="452"/>
      <c r="AD55" s="452"/>
      <c r="AE55" s="431"/>
      <c r="AF55" s="431"/>
      <c r="AG55" s="450"/>
      <c r="AH55" s="450"/>
      <c r="AI55" s="431"/>
      <c r="AJ55" s="431"/>
    </row>
    <row r="56" spans="1:36" ht="14.1" customHeight="1" x14ac:dyDescent="0.25">
      <c r="A56" s="168"/>
      <c r="B56" s="607"/>
      <c r="C56" s="608"/>
      <c r="D56" s="609"/>
      <c r="E56" s="609"/>
      <c r="F56" s="609"/>
      <c r="G56" s="609"/>
      <c r="H56" s="609"/>
      <c r="I56" s="609"/>
      <c r="J56" s="609"/>
      <c r="K56" s="609"/>
      <c r="L56" s="609"/>
      <c r="M56" s="609"/>
      <c r="N56" s="609"/>
      <c r="O56" s="609"/>
      <c r="P56" s="609"/>
      <c r="Q56" s="609"/>
      <c r="R56" s="609"/>
      <c r="S56" s="609"/>
      <c r="T56" s="609"/>
      <c r="U56" s="609"/>
      <c r="V56" s="609"/>
      <c r="W56" s="610"/>
      <c r="X56" s="607"/>
      <c r="Y56" s="611"/>
      <c r="Z56" s="612"/>
      <c r="AA56" s="613"/>
      <c r="AB56" s="614"/>
      <c r="AC56" s="615"/>
      <c r="AD56" s="615"/>
      <c r="AE56" s="616" t="str">
        <f>TRUNC(SUM(AC56:AC62)*24,0) &amp; "h" &amp; RIGHT("00"&amp;ROUND(((SUM(AC56:AC62)*24)-TRUNC(SUM(AC56:AC62)*24,0))*60,2),2)</f>
        <v>0h00</v>
      </c>
      <c r="AF56" s="616"/>
      <c r="AG56" s="617"/>
      <c r="AH56" s="617"/>
      <c r="AI56" s="616" t="str">
        <f>TRUNC(SUM(AG56:AG62)*24,0) &amp; "h" &amp; RIGHT("00"&amp;ROUND(((SUM(AG56:AG62)*24)-TRUNC(SUM(AG56:AG62)*24,0))*60,2),2)</f>
        <v>0h00</v>
      </c>
      <c r="AJ56" s="616"/>
    </row>
    <row r="57" spans="1:36" ht="14.1" customHeight="1" x14ac:dyDescent="0.25">
      <c r="A57" s="168"/>
      <c r="B57" s="295"/>
      <c r="C57" s="296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290"/>
      <c r="R57" s="290"/>
      <c r="S57" s="290"/>
      <c r="T57" s="290"/>
      <c r="U57" s="290"/>
      <c r="V57" s="290"/>
      <c r="W57" s="308"/>
      <c r="X57" s="295"/>
      <c r="Y57" s="291"/>
      <c r="Z57" s="316"/>
      <c r="AA57" s="326"/>
      <c r="AB57" s="327"/>
      <c r="AC57" s="446"/>
      <c r="AD57" s="446"/>
      <c r="AE57" s="443"/>
      <c r="AF57" s="443"/>
      <c r="AG57" s="437"/>
      <c r="AH57" s="437"/>
      <c r="AI57" s="443"/>
      <c r="AJ57" s="443"/>
    </row>
    <row r="58" spans="1:36" ht="14.1" customHeight="1" x14ac:dyDescent="0.25">
      <c r="A58" s="168"/>
      <c r="B58" s="295"/>
      <c r="C58" s="296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290"/>
      <c r="R58" s="290"/>
      <c r="S58" s="290"/>
      <c r="T58" s="290"/>
      <c r="U58" s="290"/>
      <c r="V58" s="290"/>
      <c r="W58" s="308"/>
      <c r="X58" s="295"/>
      <c r="Y58" s="291"/>
      <c r="Z58" s="316"/>
      <c r="AA58" s="326"/>
      <c r="AB58" s="327"/>
      <c r="AC58" s="446"/>
      <c r="AD58" s="446"/>
      <c r="AE58" s="443"/>
      <c r="AF58" s="443"/>
      <c r="AG58" s="437"/>
      <c r="AH58" s="437"/>
      <c r="AI58" s="443"/>
      <c r="AJ58" s="443"/>
    </row>
    <row r="59" spans="1:36" ht="14.1" customHeight="1" x14ac:dyDescent="0.25">
      <c r="A59" s="168"/>
      <c r="B59" s="295"/>
      <c r="C59" s="296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T59" s="290"/>
      <c r="U59" s="290"/>
      <c r="V59" s="290"/>
      <c r="W59" s="308"/>
      <c r="X59" s="295"/>
      <c r="Y59" s="291"/>
      <c r="Z59" s="316"/>
      <c r="AA59" s="326"/>
      <c r="AB59" s="327"/>
      <c r="AC59" s="446"/>
      <c r="AD59" s="446"/>
      <c r="AE59" s="443"/>
      <c r="AF59" s="443"/>
      <c r="AG59" s="437"/>
      <c r="AH59" s="437"/>
      <c r="AI59" s="443"/>
      <c r="AJ59" s="443"/>
    </row>
    <row r="60" spans="1:36" ht="14.1" customHeight="1" x14ac:dyDescent="0.25">
      <c r="A60" s="168"/>
      <c r="B60" s="295"/>
      <c r="C60" s="296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308"/>
      <c r="X60" s="295"/>
      <c r="Y60" s="291"/>
      <c r="Z60" s="316"/>
      <c r="AA60" s="326"/>
      <c r="AB60" s="327"/>
      <c r="AC60" s="446"/>
      <c r="AD60" s="446"/>
      <c r="AE60" s="443"/>
      <c r="AF60" s="443"/>
      <c r="AG60" s="437"/>
      <c r="AH60" s="437"/>
      <c r="AI60" s="443"/>
      <c r="AJ60" s="443"/>
    </row>
    <row r="61" spans="1:36" ht="14.1" customHeight="1" x14ac:dyDescent="0.25">
      <c r="A61" s="168"/>
      <c r="B61" s="295"/>
      <c r="C61" s="296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308"/>
      <c r="X61" s="295"/>
      <c r="Y61" s="291"/>
      <c r="Z61" s="316"/>
      <c r="AA61" s="326"/>
      <c r="AB61" s="327"/>
      <c r="AC61" s="446"/>
      <c r="AD61" s="446"/>
      <c r="AE61" s="443"/>
      <c r="AF61" s="443"/>
      <c r="AG61" s="437"/>
      <c r="AH61" s="437"/>
      <c r="AI61" s="443"/>
      <c r="AJ61" s="443"/>
    </row>
    <row r="62" spans="1:36" ht="14.1" customHeight="1" x14ac:dyDescent="0.25">
      <c r="A62" s="168"/>
      <c r="B62" s="618"/>
      <c r="C62" s="619"/>
      <c r="D62" s="620"/>
      <c r="E62" s="620"/>
      <c r="F62" s="620"/>
      <c r="G62" s="620"/>
      <c r="H62" s="621"/>
      <c r="I62" s="621"/>
      <c r="J62" s="621"/>
      <c r="K62" s="621"/>
      <c r="L62" s="621"/>
      <c r="M62" s="621"/>
      <c r="N62" s="621"/>
      <c r="O62" s="621"/>
      <c r="P62" s="621"/>
      <c r="Q62" s="621"/>
      <c r="R62" s="621"/>
      <c r="S62" s="621"/>
      <c r="T62" s="621"/>
      <c r="U62" s="621"/>
      <c r="V62" s="621"/>
      <c r="W62" s="622"/>
      <c r="X62" s="618"/>
      <c r="Y62" s="623"/>
      <c r="Z62" s="624"/>
      <c r="AA62" s="625"/>
      <c r="AB62" s="626"/>
      <c r="AC62" s="627"/>
      <c r="AD62" s="627"/>
      <c r="AE62" s="628"/>
      <c r="AF62" s="628"/>
      <c r="AG62" s="629"/>
      <c r="AH62" s="629"/>
      <c r="AI62" s="628"/>
      <c r="AJ62" s="628"/>
    </row>
    <row r="63" spans="1:36" ht="14.1" customHeight="1" x14ac:dyDescent="0.25">
      <c r="A63" s="168"/>
      <c r="B63" s="348"/>
      <c r="C63" s="346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9"/>
      <c r="X63" s="348"/>
      <c r="Y63" s="345"/>
      <c r="Z63" s="350"/>
      <c r="AA63" s="351"/>
      <c r="AB63" s="352"/>
      <c r="AC63" s="449"/>
      <c r="AD63" s="449"/>
      <c r="AE63" s="442" t="str">
        <f>TRUNC(SUM(AC63:AC69)*24,0) &amp; "h" &amp; RIGHT("00"&amp;ROUND(((SUM(AC63:AC69)*24)-TRUNC(SUM(AC63:AC69)*24,0))*60,2),2)</f>
        <v>0h00</v>
      </c>
      <c r="AF63" s="442"/>
      <c r="AG63" s="448"/>
      <c r="AH63" s="448"/>
      <c r="AI63" s="442" t="str">
        <f>TRUNC(SUM(AG63:AG69)*24,0) &amp; "h" &amp; RIGHT("00"&amp;ROUND(((SUM(AG63:AG69)*24)-TRUNC(SUM(AG63:AG69)*24,0))*60,2),2)</f>
        <v>0h00</v>
      </c>
      <c r="AJ63" s="442"/>
    </row>
    <row r="64" spans="1:36" s="166" customFormat="1" ht="14.1" customHeight="1" x14ac:dyDescent="0.25">
      <c r="A64" s="168"/>
      <c r="B64" s="295"/>
      <c r="C64" s="296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0"/>
      <c r="W64" s="308"/>
      <c r="X64" s="295"/>
      <c r="Y64" s="291"/>
      <c r="Z64" s="316"/>
      <c r="AA64" s="326"/>
      <c r="AB64" s="327"/>
      <c r="AC64" s="446"/>
      <c r="AD64" s="446"/>
      <c r="AE64" s="443"/>
      <c r="AF64" s="443"/>
      <c r="AG64" s="437"/>
      <c r="AH64" s="437"/>
      <c r="AI64" s="443"/>
      <c r="AJ64" s="443"/>
    </row>
    <row r="65" spans="1:36" s="166" customFormat="1" ht="14.1" customHeight="1" x14ac:dyDescent="0.25">
      <c r="A65" s="168"/>
      <c r="B65" s="295"/>
      <c r="C65" s="296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290"/>
      <c r="R65" s="290"/>
      <c r="S65" s="290"/>
      <c r="T65" s="290"/>
      <c r="U65" s="290"/>
      <c r="V65" s="290"/>
      <c r="W65" s="308"/>
      <c r="X65" s="295"/>
      <c r="Y65" s="291"/>
      <c r="Z65" s="316"/>
      <c r="AA65" s="326"/>
      <c r="AB65" s="327"/>
      <c r="AC65" s="446"/>
      <c r="AD65" s="446"/>
      <c r="AE65" s="443"/>
      <c r="AF65" s="443"/>
      <c r="AG65" s="437"/>
      <c r="AH65" s="437"/>
      <c r="AI65" s="443"/>
      <c r="AJ65" s="443"/>
    </row>
    <row r="66" spans="1:36" s="166" customFormat="1" ht="14.1" customHeight="1" x14ac:dyDescent="0.25">
      <c r="A66" s="168"/>
      <c r="B66" s="295"/>
      <c r="C66" s="296"/>
      <c r="D66" s="290"/>
      <c r="E66" s="290"/>
      <c r="F66" s="290"/>
      <c r="G66" s="290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309"/>
      <c r="X66" s="295"/>
      <c r="Y66" s="291"/>
      <c r="Z66" s="316"/>
      <c r="AA66" s="326"/>
      <c r="AB66" s="327"/>
      <c r="AC66" s="446"/>
      <c r="AD66" s="446"/>
      <c r="AE66" s="443"/>
      <c r="AF66" s="443"/>
      <c r="AG66" s="437"/>
      <c r="AH66" s="437"/>
      <c r="AI66" s="443"/>
      <c r="AJ66" s="443"/>
    </row>
    <row r="67" spans="1:36" s="166" customFormat="1" ht="14.1" customHeight="1" x14ac:dyDescent="0.25">
      <c r="A67" s="168"/>
      <c r="B67" s="295"/>
      <c r="C67" s="296"/>
      <c r="D67" s="290"/>
      <c r="E67" s="290"/>
      <c r="F67" s="290"/>
      <c r="G67" s="290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309"/>
      <c r="X67" s="295"/>
      <c r="Y67" s="291"/>
      <c r="Z67" s="316"/>
      <c r="AA67" s="326"/>
      <c r="AB67" s="327"/>
      <c r="AC67" s="446"/>
      <c r="AD67" s="446"/>
      <c r="AE67" s="443"/>
      <c r="AF67" s="443"/>
      <c r="AG67" s="437"/>
      <c r="AH67" s="437"/>
      <c r="AI67" s="443"/>
      <c r="AJ67" s="443"/>
    </row>
    <row r="68" spans="1:36" s="166" customFormat="1" ht="14.1" customHeight="1" x14ac:dyDescent="0.25">
      <c r="A68" s="168"/>
      <c r="B68" s="295"/>
      <c r="C68" s="296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309"/>
      <c r="X68" s="295"/>
      <c r="Y68" s="291"/>
      <c r="Z68" s="316"/>
      <c r="AA68" s="326"/>
      <c r="AB68" s="327"/>
      <c r="AC68" s="446"/>
      <c r="AD68" s="446"/>
      <c r="AE68" s="443"/>
      <c r="AF68" s="443"/>
      <c r="AG68" s="437"/>
      <c r="AH68" s="437"/>
      <c r="AI68" s="443"/>
      <c r="AJ68" s="443"/>
    </row>
    <row r="69" spans="1:36" s="166" customFormat="1" ht="14.1" customHeight="1" thickBot="1" x14ac:dyDescent="0.3">
      <c r="A69" s="168"/>
      <c r="B69" s="297"/>
      <c r="C69" s="298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293"/>
      <c r="W69" s="310"/>
      <c r="X69" s="297"/>
      <c r="Y69" s="294"/>
      <c r="Z69" s="317"/>
      <c r="AA69" s="328"/>
      <c r="AB69" s="329"/>
      <c r="AC69" s="447"/>
      <c r="AD69" s="447"/>
      <c r="AE69" s="444"/>
      <c r="AF69" s="444"/>
      <c r="AG69" s="438"/>
      <c r="AH69" s="438"/>
      <c r="AI69" s="444"/>
      <c r="AJ69" s="444"/>
    </row>
    <row r="70" spans="1:36" ht="24" customHeight="1" thickBot="1" x14ac:dyDescent="0.3">
      <c r="B70" s="342"/>
      <c r="C70" s="342"/>
      <c r="D70" s="342"/>
      <c r="E70" s="342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299"/>
      <c r="Q70" s="300"/>
      <c r="R70" s="300"/>
      <c r="S70" s="300"/>
      <c r="T70" s="300"/>
      <c r="U70" s="300"/>
      <c r="V70" s="424" t="s">
        <v>121</v>
      </c>
      <c r="W70" s="424"/>
      <c r="X70" s="424"/>
      <c r="Y70" s="424"/>
      <c r="Z70" s="424"/>
      <c r="AA70" s="301"/>
      <c r="AB70" s="301">
        <v>0</v>
      </c>
      <c r="AC70" s="425"/>
      <c r="AD70" s="425"/>
      <c r="AE70" s="427" t="str">
        <f>TRUNC(SUM(AC28:AC69)*24,0) &amp; "h" &amp; RIGHT("00"&amp;ROUND(((SUM(AC28:AC69)*24)-TRUNC(SUM(AC28:AC69)*24,0))*60,2),2)</f>
        <v>0h00</v>
      </c>
      <c r="AF70" s="427"/>
      <c r="AG70" s="426"/>
      <c r="AH70" s="426"/>
      <c r="AI70" s="426" t="str">
        <f>TRUNC(SUM(AG29:AG69)*24,0) &amp; "h" &amp; RIGHT("00"&amp;ROUND(((SUM(AG29:AG69)*24)-TRUNC(SUM(AG29:AG69)*24,0))*60,2),2)</f>
        <v>0h00</v>
      </c>
      <c r="AJ70" s="426"/>
    </row>
    <row r="71" spans="1:36" x14ac:dyDescent="0.25">
      <c r="B71" s="270"/>
      <c r="C71" s="271"/>
      <c r="D71" s="271"/>
      <c r="E71" s="271"/>
      <c r="F71" s="271"/>
      <c r="G71" s="271"/>
      <c r="H71" s="271"/>
      <c r="I71" s="271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  <c r="Y71" s="271"/>
      <c r="Z71" s="271"/>
      <c r="AA71" s="271"/>
      <c r="AB71" s="271"/>
      <c r="AC71" s="271"/>
      <c r="AD71" s="271"/>
      <c r="AE71" s="164"/>
      <c r="AF71" s="42"/>
    </row>
    <row r="72" spans="1:36" x14ac:dyDescent="0.25">
      <c r="B72" s="269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42"/>
    </row>
    <row r="73" spans="1:36" x14ac:dyDescent="0.25">
      <c r="B73" s="269"/>
      <c r="C73" s="164"/>
      <c r="D73" s="269"/>
      <c r="E73" s="269"/>
      <c r="F73" s="269"/>
      <c r="G73" s="269"/>
      <c r="H73" s="269"/>
      <c r="I73" s="269"/>
      <c r="J73" s="269"/>
      <c r="K73" s="269"/>
      <c r="L73" s="269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42"/>
    </row>
    <row r="74" spans="1:36" x14ac:dyDescent="0.25">
      <c r="B74" s="269"/>
      <c r="C74" s="164"/>
      <c r="D74" s="269"/>
      <c r="E74" s="165"/>
      <c r="F74" s="165"/>
      <c r="G74" s="165"/>
      <c r="H74" s="165"/>
      <c r="I74" s="165"/>
      <c r="J74" s="165"/>
      <c r="K74" s="165"/>
      <c r="L74" s="269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42"/>
    </row>
    <row r="75" spans="1:36" x14ac:dyDescent="0.25">
      <c r="B75" s="269"/>
      <c r="C75" s="164"/>
      <c r="D75" s="269"/>
      <c r="E75" s="269"/>
      <c r="F75" s="269"/>
      <c r="G75" s="269"/>
      <c r="H75" s="272"/>
      <c r="I75" s="269"/>
      <c r="J75" s="269"/>
      <c r="K75" s="269"/>
      <c r="L75" s="269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42"/>
    </row>
    <row r="76" spans="1:36" x14ac:dyDescent="0.25">
      <c r="B76" s="269"/>
      <c r="C76" s="164"/>
      <c r="D76" s="269"/>
      <c r="E76" s="165"/>
      <c r="F76" s="165"/>
      <c r="G76" s="165"/>
      <c r="H76" s="165"/>
      <c r="I76" s="165"/>
      <c r="J76" s="165"/>
      <c r="K76" s="165"/>
      <c r="L76" s="269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42"/>
    </row>
    <row r="77" spans="1:36" x14ac:dyDescent="0.25">
      <c r="B77" s="269"/>
      <c r="C77" s="164"/>
      <c r="D77" s="269"/>
      <c r="E77" s="269"/>
      <c r="F77" s="269"/>
      <c r="G77" s="269"/>
      <c r="H77" s="269"/>
      <c r="I77" s="269"/>
      <c r="J77" s="269"/>
      <c r="K77" s="269"/>
      <c r="L77" s="269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42"/>
    </row>
    <row r="78" spans="1:36" x14ac:dyDescent="0.25">
      <c r="B78" s="269"/>
      <c r="C78" s="164"/>
      <c r="D78" s="269"/>
      <c r="E78" s="269"/>
      <c r="F78" s="269"/>
      <c r="G78" s="269"/>
      <c r="H78" s="269"/>
      <c r="I78" s="269"/>
      <c r="J78" s="269"/>
      <c r="K78" s="269"/>
      <c r="L78" s="269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42"/>
    </row>
    <row r="79" spans="1:36" x14ac:dyDescent="0.25">
      <c r="B79" s="269"/>
      <c r="C79" s="164"/>
      <c r="D79" s="269"/>
      <c r="E79" s="269"/>
      <c r="F79" s="269"/>
      <c r="G79" s="269"/>
      <c r="H79" s="269"/>
      <c r="I79" s="269"/>
      <c r="J79" s="269"/>
      <c r="K79" s="269"/>
      <c r="L79" s="269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42"/>
    </row>
    <row r="80" spans="1:36" x14ac:dyDescent="0.25">
      <c r="B80" s="269"/>
      <c r="C80" s="164"/>
      <c r="D80" s="269"/>
      <c r="E80" s="269"/>
      <c r="F80" s="269"/>
      <c r="G80" s="269"/>
      <c r="H80" s="269"/>
      <c r="I80" s="269"/>
      <c r="J80" s="269"/>
      <c r="K80" s="269"/>
      <c r="L80" s="269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64"/>
      <c r="AF80" s="42"/>
    </row>
    <row r="81" spans="2:32" x14ac:dyDescent="0.25">
      <c r="B81" s="269"/>
      <c r="C81" s="164"/>
      <c r="D81" s="269"/>
      <c r="E81" s="269"/>
      <c r="F81" s="269"/>
      <c r="G81" s="269"/>
      <c r="H81" s="269"/>
      <c r="I81" s="269"/>
      <c r="J81" s="269"/>
      <c r="K81" s="269"/>
      <c r="L81" s="269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4"/>
      <c r="AF81" s="42"/>
    </row>
    <row r="82" spans="2:32" x14ac:dyDescent="0.25">
      <c r="B82" s="269"/>
      <c r="C82" s="164"/>
      <c r="D82" s="269"/>
      <c r="E82" s="269"/>
      <c r="F82" s="269"/>
      <c r="G82" s="269"/>
      <c r="H82" s="269"/>
      <c r="I82" s="269"/>
      <c r="J82" s="269"/>
      <c r="K82" s="269"/>
      <c r="L82" s="269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4"/>
      <c r="AE82" s="164"/>
      <c r="AF82" s="42"/>
    </row>
    <row r="83" spans="2:32" x14ac:dyDescent="0.25">
      <c r="B83" s="269"/>
      <c r="C83" s="164"/>
      <c r="D83" s="269"/>
      <c r="E83" s="269"/>
      <c r="F83" s="269"/>
      <c r="G83" s="269"/>
      <c r="H83" s="269"/>
      <c r="I83" s="269"/>
      <c r="J83" s="269"/>
      <c r="K83" s="269"/>
      <c r="L83" s="269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42"/>
    </row>
    <row r="84" spans="2:32" x14ac:dyDescent="0.25">
      <c r="B84" s="269"/>
      <c r="C84" s="164"/>
      <c r="D84" s="269"/>
      <c r="E84" s="269"/>
      <c r="F84" s="269"/>
      <c r="G84" s="269"/>
      <c r="H84" s="269"/>
      <c r="I84" s="269"/>
      <c r="J84" s="269"/>
      <c r="K84" s="269"/>
      <c r="L84" s="269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42"/>
    </row>
    <row r="85" spans="2:32" x14ac:dyDescent="0.25">
      <c r="B85" s="269"/>
      <c r="C85" s="164"/>
      <c r="D85" s="137"/>
      <c r="E85" s="273"/>
      <c r="F85" s="269"/>
      <c r="G85" s="269"/>
      <c r="H85" s="269"/>
      <c r="I85" s="269"/>
      <c r="J85" s="269"/>
      <c r="K85" s="269"/>
      <c r="L85" s="269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42"/>
    </row>
    <row r="86" spans="2:32" x14ac:dyDescent="0.25">
      <c r="B86" s="269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4"/>
      <c r="AF86" s="42"/>
    </row>
    <row r="87" spans="2:32" x14ac:dyDescent="0.25">
      <c r="B87" s="269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42"/>
    </row>
    <row r="88" spans="2:32" x14ac:dyDescent="0.25">
      <c r="B88" s="269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42"/>
    </row>
    <row r="89" spans="2:32" x14ac:dyDescent="0.25">
      <c r="B89" s="269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4"/>
      <c r="AE89" s="164"/>
      <c r="AF89" s="42"/>
    </row>
    <row r="90" spans="2:32" x14ac:dyDescent="0.25">
      <c r="B90" s="269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4"/>
      <c r="AB90" s="164"/>
      <c r="AC90" s="164"/>
      <c r="AD90" s="164"/>
      <c r="AE90" s="164"/>
      <c r="AF90" s="42"/>
    </row>
    <row r="91" spans="2:32" x14ac:dyDescent="0.25">
      <c r="B91" s="269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42"/>
    </row>
    <row r="92" spans="2:32" x14ac:dyDescent="0.25">
      <c r="B92" s="269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4"/>
      <c r="AE92" s="164"/>
      <c r="AF92" s="42"/>
    </row>
    <row r="93" spans="2:32" x14ac:dyDescent="0.25">
      <c r="B93" s="269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  <c r="AA93" s="164"/>
      <c r="AB93" s="164"/>
      <c r="AC93" s="164"/>
      <c r="AD93" s="164"/>
      <c r="AE93" s="164"/>
      <c r="AF93" s="42"/>
    </row>
    <row r="94" spans="2:32" x14ac:dyDescent="0.25">
      <c r="B94" s="269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  <c r="AA94" s="164"/>
      <c r="AB94" s="164"/>
      <c r="AC94" s="164"/>
      <c r="AD94" s="164"/>
      <c r="AE94" s="164"/>
      <c r="AF94" s="42"/>
    </row>
    <row r="95" spans="2:32" x14ac:dyDescent="0.25">
      <c r="B95" s="269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  <c r="AA95" s="164"/>
      <c r="AB95" s="164"/>
      <c r="AC95" s="164"/>
      <c r="AD95" s="164"/>
      <c r="AE95" s="164"/>
      <c r="AF95" s="42"/>
    </row>
    <row r="96" spans="2:32" x14ac:dyDescent="0.25">
      <c r="B96" s="269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4"/>
      <c r="AE96" s="164"/>
      <c r="AF96" s="42"/>
    </row>
    <row r="97" spans="2:31" x14ac:dyDescent="0.25">
      <c r="B97" s="269"/>
      <c r="C97" s="269"/>
      <c r="D97" s="269"/>
      <c r="E97" s="269"/>
      <c r="F97" s="269"/>
      <c r="G97" s="269"/>
      <c r="H97" s="269"/>
      <c r="I97" s="269"/>
      <c r="J97" s="269"/>
      <c r="K97" s="269"/>
      <c r="L97" s="269"/>
      <c r="M97" s="269"/>
      <c r="N97" s="269"/>
      <c r="O97" s="269"/>
      <c r="P97" s="269"/>
      <c r="Q97" s="269"/>
      <c r="R97" s="269"/>
      <c r="S97" s="269"/>
      <c r="T97" s="269"/>
      <c r="U97" s="269"/>
      <c r="V97" s="269"/>
      <c r="W97" s="269"/>
      <c r="X97" s="164"/>
      <c r="Y97" s="164"/>
      <c r="Z97" s="164"/>
      <c r="AA97" s="164"/>
      <c r="AB97" s="164"/>
      <c r="AC97" s="164"/>
      <c r="AD97" s="269"/>
      <c r="AE97" s="269"/>
    </row>
    <row r="98" spans="2:31" x14ac:dyDescent="0.25">
      <c r="X98" s="42"/>
      <c r="Y98" s="42"/>
      <c r="Z98" s="42"/>
      <c r="AA98" s="42"/>
      <c r="AB98" s="42"/>
      <c r="AC98" s="42"/>
    </row>
    <row r="99" spans="2:31" x14ac:dyDescent="0.25">
      <c r="X99" s="42"/>
      <c r="Y99" s="42"/>
      <c r="Z99" s="42"/>
      <c r="AA99" s="42"/>
      <c r="AB99" s="42"/>
      <c r="AC99" s="42"/>
    </row>
    <row r="100" spans="2:31" x14ac:dyDescent="0.25">
      <c r="X100" s="42"/>
      <c r="Y100" s="42"/>
      <c r="Z100" s="42"/>
      <c r="AA100" s="42"/>
      <c r="AB100" s="42"/>
      <c r="AC100" s="42"/>
    </row>
    <row r="101" spans="2:31" x14ac:dyDescent="0.25">
      <c r="X101" s="42"/>
      <c r="Y101" s="42"/>
      <c r="Z101" s="42"/>
      <c r="AA101" s="42"/>
      <c r="AB101" s="42"/>
      <c r="AC101" s="42"/>
    </row>
    <row r="102" spans="2:31" x14ac:dyDescent="0.25">
      <c r="X102" s="42"/>
      <c r="Y102" s="42"/>
      <c r="Z102" s="42"/>
      <c r="AA102" s="42"/>
      <c r="AB102" s="42"/>
      <c r="AC102" s="42"/>
    </row>
    <row r="103" spans="2:31" x14ac:dyDescent="0.25">
      <c r="X103" s="42"/>
      <c r="Y103" s="42"/>
      <c r="Z103" s="42"/>
      <c r="AA103" s="42"/>
      <c r="AB103" s="42"/>
      <c r="AC103" s="42"/>
    </row>
    <row r="104" spans="2:31" x14ac:dyDescent="0.25">
      <c r="X104" s="42"/>
      <c r="Y104" s="42"/>
      <c r="Z104" s="42"/>
      <c r="AA104" s="42"/>
      <c r="AB104" s="42"/>
      <c r="AC104" s="42"/>
    </row>
  </sheetData>
  <mergeCells count="125">
    <mergeCell ref="E1:G1"/>
    <mergeCell ref="AE27:AF27"/>
    <mergeCell ref="AG27:AH27"/>
    <mergeCell ref="AE56:AF62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AG37:AH37"/>
    <mergeCell ref="AG38:AH38"/>
    <mergeCell ref="AG39:AH39"/>
    <mergeCell ref="AG40:AH40"/>
    <mergeCell ref="AG41:AH41"/>
    <mergeCell ref="AC33:AD33"/>
    <mergeCell ref="AC34:AD34"/>
    <mergeCell ref="AC35:AD35"/>
    <mergeCell ref="AC36:AD36"/>
    <mergeCell ref="AE35:AF41"/>
    <mergeCell ref="AC40:AD40"/>
    <mergeCell ref="AC51:AD51"/>
    <mergeCell ref="AC52:AD52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AC54:AD54"/>
    <mergeCell ref="AC62:AD62"/>
    <mergeCell ref="AC55:AD55"/>
    <mergeCell ref="AC61:AD61"/>
    <mergeCell ref="AC49:AD49"/>
    <mergeCell ref="AE42:AF48"/>
    <mergeCell ref="AE49:AF55"/>
    <mergeCell ref="AG47:AH47"/>
    <mergeCell ref="AG48:AH48"/>
    <mergeCell ref="AG49:AH49"/>
    <mergeCell ref="AG57:AH57"/>
    <mergeCell ref="AC44:AD44"/>
    <mergeCell ref="AC42:AD42"/>
    <mergeCell ref="AC67:AD67"/>
    <mergeCell ref="AC57:AD57"/>
    <mergeCell ref="AC66:AD66"/>
    <mergeCell ref="AG61:AH61"/>
    <mergeCell ref="AG64:AH64"/>
    <mergeCell ref="AG65:AH65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V70:Z70"/>
    <mergeCell ref="AC70:AD70"/>
    <mergeCell ref="AI70:AJ70"/>
    <mergeCell ref="AE70:AF70"/>
    <mergeCell ref="AG70:AH70"/>
    <mergeCell ref="AI49:AJ55"/>
    <mergeCell ref="AI56:AJ62"/>
    <mergeCell ref="AG42:AH42"/>
    <mergeCell ref="AG43:AH43"/>
    <mergeCell ref="AG44:AH44"/>
    <mergeCell ref="AG68:AH68"/>
    <mergeCell ref="AG69:AH69"/>
    <mergeCell ref="AC59:AD59"/>
    <mergeCell ref="AC60:AD6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493"/>
      <c r="F2" s="493"/>
      <c r="G2" s="493"/>
      <c r="H2" s="49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85"/>
      <c r="F4" s="485"/>
      <c r="G4" s="485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2"/>
      <c r="G6" s="42"/>
      <c r="H6" s="42"/>
      <c r="I6" s="42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1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89" t="s">
        <v>12</v>
      </c>
      <c r="I9" s="490"/>
      <c r="O9" s="416"/>
      <c r="P9" s="417"/>
      <c r="Q9" s="418"/>
      <c r="R9" s="419"/>
      <c r="S9" s="420"/>
    </row>
    <row r="10" spans="4:28" ht="15.75" thickBot="1" x14ac:dyDescent="0.3">
      <c r="D10" s="353"/>
      <c r="E10" s="354"/>
      <c r="F10" s="355"/>
      <c r="G10" s="356"/>
      <c r="H10" s="491"/>
      <c r="I10" s="492"/>
      <c r="O10" s="666"/>
      <c r="P10" s="667"/>
      <c r="Q10" s="668"/>
      <c r="R10" s="669"/>
      <c r="S10" s="670"/>
    </row>
    <row r="11" spans="4:28" x14ac:dyDescent="0.25">
      <c r="O11" s="666"/>
      <c r="P11" s="667"/>
      <c r="Q11" s="668"/>
      <c r="R11" s="669"/>
      <c r="S11" s="670"/>
    </row>
    <row r="12" spans="4:28" x14ac:dyDescent="0.25">
      <c r="O12" s="666"/>
      <c r="P12" s="667"/>
      <c r="Q12" s="668"/>
      <c r="R12" s="669"/>
      <c r="S12" s="670"/>
    </row>
    <row r="13" spans="4:28" x14ac:dyDescent="0.25">
      <c r="O13" s="666"/>
      <c r="P13" s="667"/>
      <c r="Q13" s="668"/>
      <c r="R13" s="669"/>
      <c r="S13" s="670"/>
    </row>
    <row r="14" spans="4:28" x14ac:dyDescent="0.25">
      <c r="O14" s="666"/>
      <c r="P14" s="667"/>
      <c r="Q14" s="668"/>
      <c r="R14" s="669"/>
      <c r="S14" s="670"/>
    </row>
    <row r="15" spans="4:28" x14ac:dyDescent="0.25">
      <c r="O15" s="666"/>
      <c r="P15" s="667"/>
      <c r="Q15" s="668"/>
      <c r="R15" s="669"/>
      <c r="S15" s="670"/>
    </row>
    <row r="16" spans="4:28" ht="15.75" thickBot="1" x14ac:dyDescent="0.3">
      <c r="O16" s="666"/>
      <c r="P16" s="667"/>
      <c r="Q16" s="668"/>
      <c r="R16" s="669"/>
      <c r="S16" s="670"/>
    </row>
    <row r="17" spans="4:19" ht="15.75" thickBot="1" x14ac:dyDescent="0.3">
      <c r="D17" s="486" t="s">
        <v>17</v>
      </c>
      <c r="E17" s="487"/>
      <c r="F17" s="487"/>
      <c r="G17" s="488"/>
      <c r="O17" s="666"/>
      <c r="P17" s="667"/>
      <c r="Q17" s="668"/>
      <c r="R17" s="669"/>
      <c r="S17" s="670"/>
    </row>
    <row r="18" spans="4:19" x14ac:dyDescent="0.25">
      <c r="D18" s="5"/>
      <c r="G18" s="6"/>
      <c r="O18" s="666"/>
      <c r="P18" s="667"/>
      <c r="Q18" s="668"/>
      <c r="R18" s="669"/>
      <c r="S18" s="670"/>
    </row>
    <row r="19" spans="4:19" x14ac:dyDescent="0.25">
      <c r="D19" s="5" t="s">
        <v>18</v>
      </c>
      <c r="E19" s="1"/>
      <c r="G19" s="6"/>
      <c r="O19" s="666"/>
      <c r="P19" s="667"/>
      <c r="Q19" s="668"/>
      <c r="R19" s="669"/>
      <c r="S19" s="670"/>
    </row>
    <row r="20" spans="4:19" ht="15.75" thickBot="1" x14ac:dyDescent="0.3">
      <c r="D20" s="16" t="s">
        <v>19</v>
      </c>
      <c r="E20" s="17"/>
      <c r="F20" s="7"/>
      <c r="G20" s="8"/>
      <c r="O20" s="666"/>
      <c r="P20" s="667"/>
      <c r="Q20" s="668"/>
      <c r="R20" s="669"/>
      <c r="S20" s="670"/>
    </row>
    <row r="21" spans="4:19" x14ac:dyDescent="0.25">
      <c r="O21" s="666"/>
      <c r="P21" s="667"/>
      <c r="Q21" s="668"/>
      <c r="R21" s="669"/>
      <c r="S21" s="670"/>
    </row>
    <row r="22" spans="4:19" x14ac:dyDescent="0.25">
      <c r="E22" s="39"/>
      <c r="O22" s="666"/>
      <c r="P22" s="667"/>
      <c r="Q22" s="668"/>
      <c r="R22" s="669"/>
      <c r="S22" s="670"/>
    </row>
    <row r="23" spans="4:19" x14ac:dyDescent="0.25">
      <c r="O23" s="666"/>
      <c r="P23" s="667"/>
      <c r="Q23" s="668"/>
      <c r="R23" s="669"/>
      <c r="S23" s="670"/>
    </row>
    <row r="24" spans="4:19" x14ac:dyDescent="0.25">
      <c r="O24" s="666"/>
      <c r="P24" s="667"/>
      <c r="Q24" s="668"/>
      <c r="R24" s="669"/>
      <c r="S24" s="670"/>
    </row>
    <row r="25" spans="4:19" x14ac:dyDescent="0.25">
      <c r="O25" s="666"/>
      <c r="P25" s="667"/>
      <c r="Q25" s="668"/>
      <c r="R25" s="669"/>
      <c r="S25" s="670"/>
    </row>
    <row r="26" spans="4:19" x14ac:dyDescent="0.25">
      <c r="O26" s="666"/>
      <c r="P26" s="667"/>
      <c r="Q26" s="668"/>
      <c r="R26" s="669"/>
      <c r="S26" s="670"/>
    </row>
    <row r="27" spans="4:19" x14ac:dyDescent="0.25">
      <c r="O27" s="666"/>
      <c r="P27" s="667"/>
      <c r="Q27" s="668"/>
      <c r="R27" s="669"/>
      <c r="S27" s="670"/>
    </row>
    <row r="28" spans="4:19" x14ac:dyDescent="0.25">
      <c r="O28" s="666"/>
      <c r="P28" s="667"/>
      <c r="Q28" s="668"/>
      <c r="R28" s="669"/>
      <c r="S28" s="670"/>
    </row>
    <row r="29" spans="4:19" x14ac:dyDescent="0.25">
      <c r="O29" s="666"/>
      <c r="P29" s="667"/>
      <c r="Q29" s="668"/>
      <c r="R29" s="669"/>
      <c r="S29" s="670"/>
    </row>
    <row r="30" spans="4:19" x14ac:dyDescent="0.25">
      <c r="O30" s="666"/>
      <c r="P30" s="667"/>
      <c r="Q30" s="668"/>
      <c r="R30" s="669"/>
      <c r="S30" s="670"/>
    </row>
    <row r="31" spans="4:19" x14ac:dyDescent="0.25">
      <c r="O31" s="666"/>
      <c r="P31" s="667"/>
      <c r="Q31" s="668"/>
      <c r="R31" s="669"/>
      <c r="S31" s="670"/>
    </row>
    <row r="32" spans="4:19" x14ac:dyDescent="0.25">
      <c r="O32" s="666"/>
      <c r="P32" s="667"/>
      <c r="Q32" s="668"/>
      <c r="R32" s="669"/>
      <c r="S32" s="670"/>
    </row>
    <row r="33" spans="15:19" x14ac:dyDescent="0.25">
      <c r="O33" s="666"/>
      <c r="P33" s="669"/>
      <c r="Q33" s="668"/>
      <c r="R33" s="669"/>
      <c r="S33" s="670"/>
    </row>
    <row r="34" spans="15:19" x14ac:dyDescent="0.25">
      <c r="O34" s="666"/>
      <c r="P34" s="669"/>
      <c r="Q34" s="668"/>
      <c r="R34" s="669"/>
      <c r="S34" s="670"/>
    </row>
    <row r="35" spans="15:19" x14ac:dyDescent="0.25">
      <c r="O35" s="666"/>
      <c r="P35" s="669"/>
      <c r="Q35" s="668"/>
      <c r="R35" s="669"/>
      <c r="S35" s="670"/>
    </row>
    <row r="36" spans="15:19" x14ac:dyDescent="0.25">
      <c r="O36" s="666"/>
      <c r="P36" s="669"/>
      <c r="Q36" s="668"/>
      <c r="R36" s="669"/>
      <c r="S36" s="670"/>
    </row>
    <row r="37" spans="15:19" x14ac:dyDescent="0.25">
      <c r="O37" s="666"/>
      <c r="P37" s="669"/>
      <c r="Q37" s="668"/>
      <c r="R37" s="669"/>
      <c r="S37" s="670"/>
    </row>
    <row r="38" spans="15:19" x14ac:dyDescent="0.25">
      <c r="O38" s="666"/>
      <c r="P38" s="669"/>
      <c r="Q38" s="668"/>
      <c r="R38" s="669"/>
      <c r="S38" s="670"/>
    </row>
    <row r="39" spans="15:19" x14ac:dyDescent="0.25">
      <c r="O39" s="666"/>
      <c r="P39" s="669"/>
      <c r="Q39" s="668"/>
      <c r="R39" s="669"/>
      <c r="S39" s="670"/>
    </row>
    <row r="40" spans="15:19" x14ac:dyDescent="0.25">
      <c r="O40" s="666"/>
      <c r="P40" s="669"/>
      <c r="Q40" s="668"/>
      <c r="R40" s="669"/>
      <c r="S40" s="670"/>
    </row>
    <row r="41" spans="15:19" x14ac:dyDescent="0.25">
      <c r="O41" s="666"/>
      <c r="P41" s="669"/>
      <c r="Q41" s="668"/>
      <c r="R41" s="669"/>
      <c r="S41" s="670"/>
    </row>
    <row r="42" spans="15:19" x14ac:dyDescent="0.25">
      <c r="O42" s="666"/>
      <c r="P42" s="669"/>
      <c r="Q42" s="668"/>
      <c r="R42" s="669"/>
      <c r="S42" s="670"/>
    </row>
    <row r="43" spans="15:19" x14ac:dyDescent="0.25">
      <c r="O43" s="666"/>
      <c r="P43" s="669"/>
      <c r="Q43" s="668"/>
      <c r="R43" s="669"/>
      <c r="S43" s="670"/>
    </row>
    <row r="44" spans="15:19" x14ac:dyDescent="0.25">
      <c r="O44" s="666"/>
      <c r="P44" s="669"/>
      <c r="Q44" s="668"/>
      <c r="R44" s="669"/>
      <c r="S44" s="670"/>
    </row>
    <row r="45" spans="15:19" x14ac:dyDescent="0.25">
      <c r="O45" s="666"/>
      <c r="P45" s="669"/>
      <c r="Q45" s="668"/>
      <c r="R45" s="669"/>
      <c r="S45" s="670"/>
    </row>
    <row r="46" spans="15:19" x14ac:dyDescent="0.25">
      <c r="O46" s="666"/>
      <c r="P46" s="669"/>
      <c r="Q46" s="668"/>
      <c r="R46" s="669"/>
      <c r="S46" s="670"/>
    </row>
    <row r="47" spans="15:19" x14ac:dyDescent="0.25">
      <c r="O47" s="666"/>
      <c r="P47" s="669"/>
      <c r="Q47" s="668"/>
      <c r="R47" s="669"/>
      <c r="S47" s="670"/>
    </row>
    <row r="48" spans="15:19" x14ac:dyDescent="0.25">
      <c r="O48" s="666"/>
      <c r="P48" s="669"/>
      <c r="Q48" s="668"/>
      <c r="R48" s="669"/>
      <c r="S48" s="670"/>
    </row>
    <row r="49" spans="15:19" ht="15.75" thickBot="1" x14ac:dyDescent="0.3">
      <c r="O49" s="671"/>
      <c r="P49" s="672"/>
      <c r="Q49" s="673"/>
      <c r="R49" s="672"/>
      <c r="S49" s="67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Gestion!$A$2:$A$15</xm:f>
          </x14:formula1>
          <xm:sqref>E2:G2</xm:sqref>
        </x14:dataValidation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40" sqref="L4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4" t="s">
        <v>0</v>
      </c>
      <c r="B1" s="142" t="s">
        <v>1</v>
      </c>
      <c r="C1" s="145" t="s">
        <v>47</v>
      </c>
      <c r="D1" s="146" t="s">
        <v>29</v>
      </c>
      <c r="G1" t="s">
        <v>30</v>
      </c>
      <c r="J1" t="s">
        <v>342</v>
      </c>
    </row>
    <row r="2" spans="1:20" ht="19.5" customHeight="1" thickTop="1" thickBot="1" x14ac:dyDescent="0.3">
      <c r="A2" s="130"/>
      <c r="B2" s="140"/>
      <c r="C2" s="147"/>
      <c r="D2" s="132"/>
      <c r="L2" s="494" t="s">
        <v>45</v>
      </c>
      <c r="M2" s="495"/>
      <c r="N2" s="495"/>
      <c r="O2" s="495"/>
      <c r="P2" s="495"/>
      <c r="Q2" s="496"/>
      <c r="S2" s="501" t="s">
        <v>258</v>
      </c>
      <c r="T2" s="502"/>
    </row>
    <row r="3" spans="1:20" ht="15.75" thickBot="1" x14ac:dyDescent="0.3">
      <c r="A3" s="131"/>
      <c r="B3" s="141"/>
      <c r="C3" s="148"/>
      <c r="D3" s="133"/>
      <c r="L3" s="497"/>
      <c r="M3" s="498"/>
      <c r="N3" s="498"/>
      <c r="O3" s="498"/>
      <c r="P3" s="498"/>
      <c r="Q3" s="499"/>
      <c r="S3" s="5" t="s">
        <v>259</v>
      </c>
      <c r="T3" s="183"/>
    </row>
    <row r="4" spans="1:20" x14ac:dyDescent="0.25">
      <c r="A4" s="131"/>
      <c r="B4" s="141"/>
      <c r="C4" s="149"/>
      <c r="D4" s="133"/>
      <c r="L4" s="5"/>
      <c r="M4" s="29"/>
      <c r="N4" s="29"/>
      <c r="O4" s="29"/>
      <c r="P4" s="29"/>
      <c r="Q4" s="6"/>
      <c r="S4" s="5" t="s">
        <v>260</v>
      </c>
      <c r="T4" s="183"/>
    </row>
    <row r="5" spans="1:20" x14ac:dyDescent="0.25">
      <c r="A5" s="131"/>
      <c r="B5" s="141"/>
      <c r="C5" s="148"/>
      <c r="D5" s="133"/>
      <c r="L5" s="5"/>
      <c r="M5" s="29"/>
      <c r="N5" s="29"/>
      <c r="O5" s="29"/>
      <c r="P5" s="29"/>
      <c r="Q5" s="6"/>
      <c r="S5" s="5" t="s">
        <v>261</v>
      </c>
      <c r="T5" s="183"/>
    </row>
    <row r="6" spans="1:20" x14ac:dyDescent="0.25">
      <c r="A6" s="254"/>
      <c r="B6" s="266"/>
      <c r="C6" s="267"/>
      <c r="D6" s="255"/>
      <c r="L6" s="5"/>
      <c r="M6" s="29"/>
      <c r="N6" s="29"/>
      <c r="O6" s="29"/>
      <c r="P6" s="29"/>
      <c r="Q6" s="6"/>
      <c r="S6" s="5" t="s">
        <v>262</v>
      </c>
      <c r="T6" s="183"/>
    </row>
    <row r="7" spans="1:20" x14ac:dyDescent="0.25">
      <c r="A7" s="131"/>
      <c r="B7" s="141"/>
      <c r="C7" s="148"/>
      <c r="D7" s="133"/>
      <c r="L7" s="5"/>
      <c r="M7" s="29"/>
      <c r="N7" s="29"/>
      <c r="O7" s="29"/>
      <c r="P7" s="29"/>
      <c r="Q7" s="6"/>
      <c r="S7" s="5" t="s">
        <v>298</v>
      </c>
      <c r="T7" s="183"/>
    </row>
    <row r="8" spans="1:20" x14ac:dyDescent="0.25">
      <c r="A8" s="131"/>
      <c r="B8" s="141"/>
      <c r="C8" s="149"/>
      <c r="D8" s="133"/>
      <c r="L8" s="5"/>
      <c r="M8" s="29"/>
      <c r="N8" s="29"/>
      <c r="O8" s="29"/>
      <c r="P8" s="29"/>
      <c r="Q8" s="6"/>
      <c r="S8" s="5"/>
      <c r="T8" s="183"/>
    </row>
    <row r="9" spans="1:20" x14ac:dyDescent="0.25">
      <c r="A9" s="131"/>
      <c r="B9" s="141"/>
      <c r="C9" s="148"/>
      <c r="D9" s="133"/>
      <c r="L9" s="5"/>
      <c r="M9" s="29"/>
      <c r="N9" s="29"/>
      <c r="O9" s="29"/>
      <c r="P9" s="29"/>
      <c r="Q9" s="6"/>
      <c r="S9" s="5"/>
      <c r="T9" s="183"/>
    </row>
    <row r="10" spans="1:20" x14ac:dyDescent="0.25">
      <c r="A10" s="131"/>
      <c r="B10" s="141"/>
      <c r="C10" s="148"/>
      <c r="D10" s="133"/>
      <c r="L10" s="5"/>
      <c r="M10" s="29"/>
      <c r="N10" s="29"/>
      <c r="O10" s="29"/>
      <c r="P10" s="29"/>
      <c r="Q10" s="6"/>
      <c r="S10" s="5"/>
      <c r="T10" s="183"/>
    </row>
    <row r="11" spans="1:20" ht="15.75" thickBot="1" x14ac:dyDescent="0.3">
      <c r="A11" s="131"/>
      <c r="B11" s="141"/>
      <c r="C11" s="148"/>
      <c r="D11" s="133"/>
      <c r="L11" s="5"/>
      <c r="M11" s="29"/>
      <c r="N11" s="29"/>
      <c r="O11" s="29"/>
      <c r="P11" s="29"/>
      <c r="Q11" s="6"/>
      <c r="S11" s="5"/>
      <c r="T11" s="183"/>
    </row>
    <row r="12" spans="1:20" x14ac:dyDescent="0.25">
      <c r="A12" s="131"/>
      <c r="B12" s="141"/>
      <c r="C12" s="148"/>
      <c r="D12" s="133"/>
      <c r="L12" s="26"/>
      <c r="M12" s="27"/>
      <c r="N12" s="27"/>
      <c r="O12" s="27"/>
      <c r="P12" s="27"/>
      <c r="Q12" s="28"/>
      <c r="S12" s="5"/>
      <c r="T12" s="183"/>
    </row>
    <row r="13" spans="1:20" x14ac:dyDescent="0.25">
      <c r="A13" s="253"/>
      <c r="B13" s="141"/>
      <c r="C13" s="149"/>
      <c r="D13" s="133"/>
      <c r="L13" s="5"/>
      <c r="M13" s="29"/>
      <c r="N13" s="500" t="s">
        <v>46</v>
      </c>
      <c r="O13" s="500"/>
      <c r="P13" s="29"/>
      <c r="Q13" s="6"/>
      <c r="S13" s="5"/>
      <c r="T13" s="183"/>
    </row>
    <row r="14" spans="1:20" x14ac:dyDescent="0.25">
      <c r="A14" s="131"/>
      <c r="B14" s="141"/>
      <c r="C14" s="149"/>
      <c r="D14" s="133"/>
      <c r="L14" s="30"/>
      <c r="M14" s="29"/>
      <c r="N14" s="29"/>
      <c r="O14" s="29"/>
      <c r="P14" s="29"/>
      <c r="Q14" s="6"/>
      <c r="S14" s="5"/>
      <c r="T14" s="183"/>
    </row>
    <row r="15" spans="1:20" x14ac:dyDescent="0.25">
      <c r="A15" s="253"/>
      <c r="B15" s="236"/>
      <c r="C15" s="268"/>
      <c r="D15" s="237"/>
      <c r="L15" s="30"/>
      <c r="M15" s="29"/>
      <c r="N15" s="29"/>
      <c r="O15" s="29"/>
      <c r="P15" s="29"/>
      <c r="Q15" s="6"/>
      <c r="S15" s="5"/>
      <c r="T15" s="183"/>
    </row>
    <row r="16" spans="1:20" x14ac:dyDescent="0.25">
      <c r="A16" s="131"/>
      <c r="B16" s="141"/>
      <c r="C16" s="149"/>
      <c r="D16" s="133"/>
      <c r="L16" s="30" t="s">
        <v>107</v>
      </c>
      <c r="M16" s="31"/>
      <c r="N16" s="29"/>
      <c r="O16" s="29"/>
      <c r="P16" s="29"/>
      <c r="Q16" s="6"/>
      <c r="S16" s="5"/>
      <c r="T16" s="183"/>
    </row>
    <row r="17" spans="1:21" x14ac:dyDescent="0.25">
      <c r="A17" s="131"/>
      <c r="B17" s="141"/>
      <c r="C17" s="149"/>
      <c r="D17" s="133"/>
      <c r="L17" s="30"/>
      <c r="M17" s="29"/>
      <c r="N17" s="29"/>
      <c r="O17" s="29"/>
      <c r="P17" s="29"/>
      <c r="Q17" s="6"/>
      <c r="S17" s="5"/>
      <c r="T17" s="183"/>
    </row>
    <row r="18" spans="1:21" x14ac:dyDescent="0.25">
      <c r="A18" s="131"/>
      <c r="B18" s="141"/>
      <c r="C18" s="149"/>
      <c r="D18" s="133"/>
      <c r="L18" s="30" t="s">
        <v>137</v>
      </c>
      <c r="M18" s="29"/>
      <c r="N18" s="29"/>
      <c r="O18" s="29"/>
      <c r="P18" s="29"/>
      <c r="Q18" s="6"/>
      <c r="S18" s="5"/>
      <c r="T18" s="183"/>
    </row>
    <row r="19" spans="1:21" x14ac:dyDescent="0.25">
      <c r="A19" s="131"/>
      <c r="B19" s="141"/>
      <c r="C19" s="149"/>
      <c r="D19" s="133"/>
      <c r="L19" s="30"/>
      <c r="M19" s="29"/>
      <c r="N19" s="29"/>
      <c r="O19" s="29"/>
      <c r="P19" s="29"/>
      <c r="Q19" s="6"/>
      <c r="S19" s="5"/>
      <c r="T19" s="183"/>
    </row>
    <row r="20" spans="1:21" x14ac:dyDescent="0.25">
      <c r="A20" s="131"/>
      <c r="B20" s="141"/>
      <c r="C20" s="149"/>
      <c r="D20" s="133"/>
      <c r="L20" s="30"/>
      <c r="M20" s="29"/>
      <c r="N20" s="29"/>
      <c r="O20" s="29"/>
      <c r="P20" s="29"/>
      <c r="Q20" s="6"/>
      <c r="S20" s="5"/>
      <c r="T20" s="183"/>
    </row>
    <row r="21" spans="1:21" x14ac:dyDescent="0.25">
      <c r="A21" s="131"/>
      <c r="B21" s="141"/>
      <c r="C21" s="149"/>
      <c r="D21" s="133"/>
      <c r="L21" s="30"/>
      <c r="M21" s="29"/>
      <c r="N21" s="29"/>
      <c r="O21" s="29"/>
      <c r="P21" s="29"/>
      <c r="Q21" s="6"/>
      <c r="S21" s="5"/>
      <c r="T21" s="183"/>
    </row>
    <row r="22" spans="1:21" x14ac:dyDescent="0.25">
      <c r="A22" s="131"/>
      <c r="B22" s="141"/>
      <c r="C22" s="149"/>
      <c r="D22" s="133"/>
      <c r="L22" s="30"/>
      <c r="M22" s="29"/>
      <c r="N22" s="29"/>
      <c r="O22" s="29"/>
      <c r="P22" s="29"/>
      <c r="Q22" s="6"/>
      <c r="S22" s="5"/>
      <c r="T22" s="183"/>
    </row>
    <row r="23" spans="1:21" x14ac:dyDescent="0.25">
      <c r="A23" s="131"/>
      <c r="B23" s="141"/>
      <c r="C23" s="149"/>
      <c r="D23" s="133"/>
      <c r="L23" s="5"/>
      <c r="M23" s="29"/>
      <c r="N23" s="29"/>
      <c r="O23" s="29"/>
      <c r="P23" s="29"/>
      <c r="Q23" s="6"/>
      <c r="S23" s="5"/>
      <c r="T23" s="183"/>
    </row>
    <row r="24" spans="1:21" x14ac:dyDescent="0.25">
      <c r="A24" s="131"/>
      <c r="B24" s="141"/>
      <c r="C24" s="149"/>
      <c r="D24" s="133"/>
      <c r="L24" s="5"/>
      <c r="M24" s="29"/>
      <c r="N24" s="29"/>
      <c r="O24" s="29"/>
      <c r="P24" s="29"/>
      <c r="Q24" s="6"/>
      <c r="S24" s="5"/>
      <c r="T24" s="183"/>
      <c r="U24" s="40"/>
    </row>
    <row r="25" spans="1:21" x14ac:dyDescent="0.25">
      <c r="A25" s="131"/>
      <c r="B25" s="141"/>
      <c r="C25" s="149"/>
      <c r="D25" s="133"/>
      <c r="L25" s="30"/>
      <c r="M25" s="29"/>
      <c r="N25" s="29"/>
      <c r="O25" s="29"/>
      <c r="P25" s="29"/>
      <c r="Q25" s="6"/>
      <c r="S25" s="5"/>
      <c r="T25" s="183"/>
    </row>
    <row r="26" spans="1:21" x14ac:dyDescent="0.25">
      <c r="A26" s="131"/>
      <c r="B26" s="141"/>
      <c r="C26" s="149"/>
      <c r="D26" s="133"/>
      <c r="L26" s="5"/>
      <c r="M26" s="29"/>
      <c r="N26" s="29"/>
      <c r="O26" s="29"/>
      <c r="P26" s="29"/>
      <c r="Q26" s="6"/>
      <c r="S26" s="5"/>
      <c r="T26" s="183"/>
    </row>
    <row r="27" spans="1:21" x14ac:dyDescent="0.25">
      <c r="A27" s="131"/>
      <c r="B27" s="141"/>
      <c r="C27" s="149"/>
      <c r="D27" s="133"/>
      <c r="L27" s="5"/>
      <c r="M27" s="29"/>
      <c r="N27" s="29"/>
      <c r="O27" s="29"/>
      <c r="P27" s="29"/>
      <c r="Q27" s="6"/>
      <c r="S27" s="5"/>
      <c r="T27" s="183"/>
    </row>
    <row r="28" spans="1:21" x14ac:dyDescent="0.25">
      <c r="A28" s="131"/>
      <c r="B28" s="141"/>
      <c r="C28" s="149"/>
      <c r="D28" s="133"/>
      <c r="L28" s="5"/>
      <c r="M28" s="29"/>
      <c r="N28" s="29"/>
      <c r="O28" s="29"/>
      <c r="P28" s="29"/>
      <c r="Q28" s="6"/>
      <c r="S28" s="5"/>
      <c r="T28" s="183"/>
    </row>
    <row r="29" spans="1:21" x14ac:dyDescent="0.25">
      <c r="A29" s="131"/>
      <c r="B29" s="141"/>
      <c r="C29" s="149"/>
      <c r="D29" s="133"/>
      <c r="L29" s="5"/>
      <c r="M29" s="29"/>
      <c r="N29" s="29"/>
      <c r="O29" s="29"/>
      <c r="P29" s="29"/>
      <c r="Q29" s="6"/>
      <c r="S29" s="5"/>
      <c r="T29" s="183"/>
    </row>
    <row r="30" spans="1:21" x14ac:dyDescent="0.25">
      <c r="A30" s="134"/>
      <c r="B30" s="143"/>
      <c r="C30" s="150"/>
      <c r="D30" s="135"/>
      <c r="L30" s="5"/>
      <c r="M30" s="29"/>
      <c r="N30" s="29"/>
      <c r="O30" s="29"/>
      <c r="P30" s="29"/>
      <c r="Q30" s="6"/>
      <c r="S30" s="5"/>
      <c r="T30" s="183"/>
    </row>
    <row r="31" spans="1:21" x14ac:dyDescent="0.25">
      <c r="L31" s="5"/>
      <c r="M31" s="29"/>
      <c r="N31" s="29"/>
      <c r="O31" s="29"/>
      <c r="P31" s="29"/>
      <c r="Q31" s="6"/>
      <c r="S31" s="5"/>
      <c r="T31" s="183"/>
    </row>
    <row r="32" spans="1:21" x14ac:dyDescent="0.25">
      <c r="L32" s="5"/>
      <c r="M32" s="29"/>
      <c r="N32" s="29"/>
      <c r="O32" s="29"/>
      <c r="P32" s="29"/>
      <c r="Q32" s="6"/>
      <c r="S32" s="5"/>
      <c r="T32" s="183"/>
    </row>
    <row r="33" spans="1:20" x14ac:dyDescent="0.25">
      <c r="L33" s="5"/>
      <c r="M33" s="29"/>
      <c r="N33" s="29"/>
      <c r="O33" s="29"/>
      <c r="P33" s="29"/>
      <c r="Q33" s="6"/>
      <c r="S33" s="5"/>
      <c r="T33" s="183"/>
    </row>
    <row r="34" spans="1:20" x14ac:dyDescent="0.25">
      <c r="L34" s="5"/>
      <c r="M34" s="29"/>
      <c r="N34" s="29"/>
      <c r="O34" s="29"/>
      <c r="P34" s="29"/>
      <c r="Q34" s="6"/>
      <c r="S34" s="5"/>
      <c r="T34" s="183"/>
    </row>
    <row r="35" spans="1:20" x14ac:dyDescent="0.25">
      <c r="L35" s="5"/>
      <c r="M35" s="29"/>
      <c r="N35" s="29"/>
      <c r="O35" s="29"/>
      <c r="P35" s="29"/>
      <c r="Q35" s="6"/>
      <c r="S35" s="5"/>
      <c r="T35" s="1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184"/>
    </row>
    <row r="37" spans="1:20" x14ac:dyDescent="0.25">
      <c r="A37" t="s">
        <v>44</v>
      </c>
    </row>
    <row r="39" spans="1:20" ht="15.75" x14ac:dyDescent="0.25">
      <c r="B39" t="s">
        <v>28</v>
      </c>
      <c r="C39" s="481"/>
      <c r="D39" s="481"/>
      <c r="E39" s="3" t="s">
        <v>27</v>
      </c>
    </row>
    <row r="41" spans="1:20" s="23" customFormat="1" ht="15.75" x14ac:dyDescent="0.25">
      <c r="B41" s="23" t="s">
        <v>36</v>
      </c>
      <c r="C41" s="664"/>
      <c r="E41" s="24" t="s">
        <v>37</v>
      </c>
    </row>
    <row r="42" spans="1:20" s="23" customFormat="1" ht="15.75" x14ac:dyDescent="0.25">
      <c r="B42" s="23" t="s">
        <v>38</v>
      </c>
      <c r="C42" s="665"/>
      <c r="D42" s="25"/>
      <c r="E42" s="24" t="s">
        <v>39</v>
      </c>
    </row>
    <row r="43" spans="1:20" s="23" customFormat="1" x14ac:dyDescent="0.25"/>
    <row r="44" spans="1:20" ht="15" customHeight="1" x14ac:dyDescent="0.25">
      <c r="B44" s="2" t="s">
        <v>5</v>
      </c>
      <c r="C44" s="664"/>
      <c r="E44" s="4" t="s">
        <v>9</v>
      </c>
    </row>
    <row r="45" spans="1:20" x14ac:dyDescent="0.25">
      <c r="B45" s="2" t="s">
        <v>6</v>
      </c>
      <c r="C45" s="665"/>
      <c r="E45" s="4" t="s">
        <v>10</v>
      </c>
    </row>
    <row r="46" spans="1:20" x14ac:dyDescent="0.25">
      <c r="B46" s="2" t="s">
        <v>7</v>
      </c>
      <c r="C46" s="665"/>
    </row>
    <row r="47" spans="1:20" x14ac:dyDescent="0.25">
      <c r="B47" s="2" t="s">
        <v>8</v>
      </c>
      <c r="C47" s="665"/>
    </row>
    <row r="49" spans="2:4" x14ac:dyDescent="0.25">
      <c r="B49" s="2" t="s">
        <v>41</v>
      </c>
      <c r="C49" t="s">
        <v>42</v>
      </c>
      <c r="D49" s="23"/>
    </row>
    <row r="50" spans="2:4" x14ac:dyDescent="0.25">
      <c r="C50" t="s">
        <v>43</v>
      </c>
      <c r="D50" s="23"/>
    </row>
    <row r="55" spans="2:4" x14ac:dyDescent="0.25">
      <c r="C55" s="23"/>
      <c r="D55" s="23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UnlinkCmd">
          <controlPr defaultSize="0" autoLine="0" r:id="rId5">
            <anchor moveWithCells="1">
              <from>
                <xdr:col>6</xdr:col>
                <xdr:colOff>47625</xdr:colOff>
                <xdr:row>6</xdr:row>
                <xdr:rowOff>9525</xdr:rowOff>
              </from>
              <to>
                <xdr:col>8</xdr:col>
                <xdr:colOff>723900</xdr:colOff>
                <xdr:row>7</xdr:row>
                <xdr:rowOff>171450</xdr:rowOff>
              </to>
            </anchor>
          </controlPr>
        </control>
      </mc:Choice>
      <mc:Fallback>
        <control shapeId="3087" r:id="rId4" name="UnlinkCmd"/>
      </mc:Fallback>
    </mc:AlternateContent>
    <mc:AlternateContent xmlns:mc="http://schemas.openxmlformats.org/markup-compatibility/2006">
      <mc:Choice Requires="x14">
        <control shapeId="3081" r:id="rId6" name="Upt_list">
          <controlPr defaultSize="0" autoLine="0" r:id="rId7">
            <anchor moveWithCells="1">
              <from>
                <xdr:col>6</xdr:col>
                <xdr:colOff>76200</xdr:colOff>
                <xdr:row>30</xdr:row>
                <xdr:rowOff>0</xdr:rowOff>
              </from>
              <to>
                <xdr:col>8</xdr:col>
                <xdr:colOff>704850</xdr:colOff>
                <xdr:row>31</xdr:row>
                <xdr:rowOff>161925</xdr:rowOff>
              </to>
            </anchor>
          </controlPr>
        </control>
      </mc:Choice>
      <mc:Fallback>
        <control shapeId="3081" r:id="rId6" name="Upt_list"/>
      </mc:Fallback>
    </mc:AlternateContent>
    <mc:AlternateContent xmlns:mc="http://schemas.openxmlformats.org/markup-compatibility/2006">
      <mc:Choice Requires="x14">
        <control shapeId="3082" r:id="rId8" name="ReadCfg">
          <controlPr defaultSize="0" autoLine="0" r:id="rId9">
            <anchor moveWithCells="1">
              <from>
                <xdr:col>12</xdr:col>
                <xdr:colOff>409575</xdr:colOff>
                <xdr:row>8</xdr:row>
                <xdr:rowOff>76200</xdr:rowOff>
              </from>
              <to>
                <xdr:col>15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3082" r:id="rId8" name="ReadCfg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123825</xdr:rowOff>
              </from>
              <to>
                <xdr:col>15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4" r:id="rId12" name="Get_list">
          <controlPr defaultSize="0" autoLine="0" r:id="rId13">
            <anchor moveWithCells="1">
              <from>
                <xdr:col>12</xdr:col>
                <xdr:colOff>361950</xdr:colOff>
                <xdr:row>6</xdr:row>
                <xdr:rowOff>9525</xdr:rowOff>
              </from>
              <to>
                <xdr:col>15</xdr:col>
                <xdr:colOff>428625</xdr:colOff>
                <xdr:row>7</xdr:row>
                <xdr:rowOff>171450</xdr:rowOff>
              </to>
            </anchor>
          </controlPr>
        </control>
      </mc:Choice>
      <mc:Fallback>
        <control shapeId="3084" r:id="rId12" name="Get_list"/>
      </mc:Fallback>
    </mc:AlternateContent>
    <mc:AlternateContent xmlns:mc="http://schemas.openxmlformats.org/markup-compatibility/2006">
      <mc:Choice Requires="x14">
        <control shapeId="3085" r:id="rId14" name="ExportBtn">
          <controlPr defaultSize="0" autoLine="0" r:id="rId15">
            <anchor moveWithCells="1">
              <from>
                <xdr:col>6</xdr:col>
                <xdr:colOff>19050</xdr:colOff>
                <xdr:row>23</xdr:row>
                <xdr:rowOff>171450</xdr:rowOff>
              </from>
              <to>
                <xdr:col>9</xdr:col>
                <xdr:colOff>28575</xdr:colOff>
                <xdr:row>25</xdr:row>
                <xdr:rowOff>152400</xdr:rowOff>
              </to>
            </anchor>
          </controlPr>
        </control>
      </mc:Choice>
      <mc:Fallback>
        <control shapeId="3085" r:id="rId14" name="ExportBtn"/>
      </mc:Fallback>
    </mc:AlternateContent>
    <mc:AlternateContent xmlns:mc="http://schemas.openxmlformats.org/markup-compatibility/2006">
      <mc:Choice Requires="x14">
        <control shapeId="3086" r:id="rId16" name="UpdtCfg">
          <controlPr defaultSize="0" autoLine="0" r:id="rId17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6" name="UpdtCfg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B1:AD46"/>
  <sheetViews>
    <sheetView workbookViewId="0">
      <selection activeCell="E4" sqref="E4"/>
    </sheetView>
  </sheetViews>
  <sheetFormatPr baseColWidth="10" defaultRowHeight="15" x14ac:dyDescent="0.25"/>
  <cols>
    <col min="1" max="1" width="11.42578125" style="245"/>
    <col min="2" max="2" width="11.42578125" style="251"/>
    <col min="3" max="3" width="11.42578125" style="252"/>
    <col min="4" max="13" width="6.7109375" style="250" customWidth="1"/>
    <col min="14" max="25" width="6.7109375" style="245" customWidth="1"/>
    <col min="26" max="16384" width="11.42578125" style="245"/>
  </cols>
  <sheetData>
    <row r="1" spans="2:30" ht="15.75" thickBot="1" x14ac:dyDescent="0.3"/>
    <row r="2" spans="2:30" x14ac:dyDescent="0.25">
      <c r="E2" s="504" t="s">
        <v>335</v>
      </c>
      <c r="F2" s="505"/>
      <c r="G2" s="505"/>
      <c r="H2" s="505"/>
      <c r="I2" s="505"/>
      <c r="J2" s="505"/>
      <c r="K2" s="505"/>
      <c r="L2" s="505"/>
      <c r="M2" s="505"/>
      <c r="N2" s="506"/>
      <c r="P2" s="504" t="s">
        <v>336</v>
      </c>
      <c r="Q2" s="505"/>
      <c r="R2" s="505"/>
      <c r="S2" s="505"/>
      <c r="T2" s="505"/>
      <c r="U2" s="505"/>
      <c r="V2" s="505"/>
      <c r="W2" s="505"/>
      <c r="X2" s="505"/>
      <c r="Y2" s="506"/>
      <c r="AA2" s="510" t="s">
        <v>388</v>
      </c>
      <c r="AB2" s="511"/>
      <c r="AC2" s="511"/>
      <c r="AD2" s="511"/>
    </row>
    <row r="3" spans="2:30" ht="15.75" thickBot="1" x14ac:dyDescent="0.3">
      <c r="D3" s="422"/>
      <c r="E3" s="507"/>
      <c r="F3" s="508"/>
      <c r="G3" s="508"/>
      <c r="H3" s="508"/>
      <c r="I3" s="508"/>
      <c r="J3" s="508"/>
      <c r="K3" s="508"/>
      <c r="L3" s="508"/>
      <c r="M3" s="508"/>
      <c r="N3" s="509"/>
      <c r="O3" s="423"/>
      <c r="P3" s="507"/>
      <c r="Q3" s="508"/>
      <c r="R3" s="508"/>
      <c r="S3" s="508"/>
      <c r="T3" s="508"/>
      <c r="U3" s="508"/>
      <c r="V3" s="508"/>
      <c r="W3" s="508"/>
      <c r="X3" s="508"/>
      <c r="Y3" s="509"/>
      <c r="AA3" s="511"/>
      <c r="AB3" s="511"/>
      <c r="AC3" s="511"/>
      <c r="AD3" s="511"/>
    </row>
    <row r="4" spans="2:30" ht="15" customHeight="1" x14ac:dyDescent="0.25">
      <c r="B4" s="380" t="s">
        <v>79</v>
      </c>
      <c r="C4" s="388">
        <v>46258</v>
      </c>
      <c r="D4" s="397"/>
      <c r="E4" s="409"/>
      <c r="F4" s="410"/>
      <c r="G4" s="410"/>
      <c r="H4" s="410"/>
      <c r="I4" s="410"/>
      <c r="J4" s="410"/>
      <c r="K4" s="410"/>
      <c r="L4" s="381"/>
      <c r="M4" s="381"/>
      <c r="N4" s="398"/>
      <c r="O4" s="407"/>
      <c r="P4" s="411"/>
      <c r="Q4" s="412"/>
      <c r="R4" s="412"/>
      <c r="S4" s="412"/>
      <c r="T4" s="382"/>
      <c r="U4" s="382"/>
      <c r="V4" s="382"/>
      <c r="W4" s="382"/>
      <c r="X4" s="382"/>
      <c r="Y4" s="383"/>
      <c r="AA4" s="503" t="s">
        <v>387</v>
      </c>
      <c r="AB4" s="503"/>
      <c r="AC4" s="503"/>
      <c r="AD4" s="503"/>
    </row>
    <row r="5" spans="2:30" x14ac:dyDescent="0.25">
      <c r="B5" s="374" t="s">
        <v>80</v>
      </c>
      <c r="C5" s="389">
        <v>46259</v>
      </c>
      <c r="D5" s="397"/>
      <c r="E5" s="414"/>
      <c r="F5" s="415"/>
      <c r="G5" s="415"/>
      <c r="H5" s="415"/>
      <c r="I5" s="415"/>
      <c r="J5" s="368"/>
      <c r="K5" s="368"/>
      <c r="L5" s="368"/>
      <c r="M5" s="368"/>
      <c r="N5" s="399"/>
      <c r="O5" s="407"/>
      <c r="P5" s="413"/>
      <c r="Q5" s="369"/>
      <c r="R5" s="369"/>
      <c r="S5" s="369"/>
      <c r="T5" s="369"/>
      <c r="U5" s="369"/>
      <c r="V5" s="369"/>
      <c r="W5" s="369"/>
      <c r="X5" s="369"/>
      <c r="Y5" s="377"/>
      <c r="AA5" s="503"/>
      <c r="AB5" s="503"/>
      <c r="AC5" s="503"/>
      <c r="AD5" s="503"/>
    </row>
    <row r="6" spans="2:30" x14ac:dyDescent="0.25">
      <c r="B6" s="374" t="s">
        <v>81</v>
      </c>
      <c r="C6" s="389">
        <v>46260</v>
      </c>
      <c r="D6" s="397"/>
      <c r="E6" s="414"/>
      <c r="F6" s="415"/>
      <c r="G6" s="415"/>
      <c r="H6" s="415"/>
      <c r="I6" s="415"/>
      <c r="J6" s="415"/>
      <c r="K6" s="368"/>
      <c r="L6" s="368"/>
      <c r="M6" s="368"/>
      <c r="N6" s="399"/>
      <c r="O6" s="407"/>
      <c r="P6" s="403"/>
      <c r="Q6" s="369"/>
      <c r="R6" s="369"/>
      <c r="S6" s="369"/>
      <c r="T6" s="369"/>
      <c r="U6" s="369"/>
      <c r="V6" s="369"/>
      <c r="W6" s="369"/>
      <c r="X6" s="369"/>
      <c r="Y6" s="377"/>
      <c r="AA6" s="503"/>
      <c r="AB6" s="503"/>
      <c r="AC6" s="503"/>
      <c r="AD6" s="503"/>
    </row>
    <row r="7" spans="2:30" ht="15" customHeight="1" x14ac:dyDescent="0.25">
      <c r="B7" s="374" t="s">
        <v>82</v>
      </c>
      <c r="C7" s="389">
        <v>46261</v>
      </c>
      <c r="D7" s="397"/>
      <c r="E7" s="414"/>
      <c r="F7" s="368"/>
      <c r="G7" s="368"/>
      <c r="H7" s="368"/>
      <c r="I7" s="368"/>
      <c r="J7" s="368"/>
      <c r="K7" s="368"/>
      <c r="L7" s="368"/>
      <c r="M7" s="368"/>
      <c r="N7" s="399"/>
      <c r="O7" s="407"/>
      <c r="P7" s="403"/>
      <c r="Q7" s="369"/>
      <c r="R7" s="369"/>
      <c r="S7" s="369"/>
      <c r="T7" s="369"/>
      <c r="U7" s="369"/>
      <c r="V7" s="369"/>
      <c r="W7" s="369"/>
      <c r="X7" s="369"/>
      <c r="Y7" s="377"/>
      <c r="AA7" s="503" t="s">
        <v>386</v>
      </c>
      <c r="AB7" s="503"/>
      <c r="AC7" s="503"/>
      <c r="AD7" s="503"/>
    </row>
    <row r="8" spans="2:30" x14ac:dyDescent="0.25">
      <c r="B8" s="374" t="s">
        <v>83</v>
      </c>
      <c r="C8" s="389">
        <v>46262</v>
      </c>
      <c r="D8" s="397"/>
      <c r="E8" s="414"/>
      <c r="F8" s="368"/>
      <c r="G8" s="368"/>
      <c r="H8" s="368"/>
      <c r="I8" s="415"/>
      <c r="J8" s="368"/>
      <c r="K8" s="368"/>
      <c r="L8" s="368"/>
      <c r="M8" s="368"/>
      <c r="N8" s="399"/>
      <c r="O8" s="407"/>
      <c r="P8" s="403"/>
      <c r="Q8" s="369"/>
      <c r="R8" s="369"/>
      <c r="S8" s="369"/>
      <c r="T8" s="369"/>
      <c r="U8" s="369"/>
      <c r="V8" s="369"/>
      <c r="W8" s="369"/>
      <c r="X8" s="369"/>
      <c r="Y8" s="377"/>
      <c r="AA8" s="503"/>
      <c r="AB8" s="503"/>
      <c r="AC8" s="503"/>
      <c r="AD8" s="503"/>
    </row>
    <row r="9" spans="2:30" x14ac:dyDescent="0.25">
      <c r="B9" s="374" t="s">
        <v>84</v>
      </c>
      <c r="C9" s="389">
        <v>46263</v>
      </c>
      <c r="D9" s="397"/>
      <c r="E9" s="393"/>
      <c r="F9" s="368"/>
      <c r="G9" s="368"/>
      <c r="H9" s="368"/>
      <c r="I9" s="368"/>
      <c r="J9" s="368"/>
      <c r="K9" s="368"/>
      <c r="L9" s="368"/>
      <c r="M9" s="368"/>
      <c r="N9" s="399"/>
      <c r="O9" s="407"/>
      <c r="P9" s="403"/>
      <c r="Q9" s="369"/>
      <c r="R9" s="369"/>
      <c r="S9" s="369"/>
      <c r="T9" s="369"/>
      <c r="U9" s="369"/>
      <c r="V9" s="369"/>
      <c r="W9" s="369"/>
      <c r="X9" s="369"/>
      <c r="Y9" s="377"/>
      <c r="AA9" s="503"/>
      <c r="AB9" s="503"/>
      <c r="AC9" s="503"/>
      <c r="AD9" s="503"/>
    </row>
    <row r="10" spans="2:30" ht="15" customHeight="1" x14ac:dyDescent="0.25">
      <c r="B10" s="375" t="s">
        <v>85</v>
      </c>
      <c r="C10" s="390">
        <v>46264</v>
      </c>
      <c r="D10" s="397"/>
      <c r="E10" s="394"/>
      <c r="F10" s="370"/>
      <c r="G10" s="370"/>
      <c r="H10" s="370"/>
      <c r="I10" s="370"/>
      <c r="J10" s="370"/>
      <c r="K10" s="370"/>
      <c r="L10" s="370"/>
      <c r="M10" s="370"/>
      <c r="N10" s="400"/>
      <c r="O10" s="407"/>
      <c r="P10" s="404"/>
      <c r="Q10" s="371"/>
      <c r="R10" s="371"/>
      <c r="S10" s="371"/>
      <c r="T10" s="371"/>
      <c r="U10" s="371"/>
      <c r="V10" s="371"/>
      <c r="W10" s="371"/>
      <c r="X10" s="371"/>
      <c r="Y10" s="378"/>
      <c r="AA10" s="503" t="s">
        <v>389</v>
      </c>
      <c r="AB10" s="503"/>
      <c r="AC10" s="503"/>
      <c r="AD10" s="503"/>
    </row>
    <row r="11" spans="2:30" x14ac:dyDescent="0.25">
      <c r="B11" s="647" t="s">
        <v>79</v>
      </c>
      <c r="C11" s="651">
        <v>46265</v>
      </c>
      <c r="D11" s="397"/>
      <c r="E11" s="653"/>
      <c r="F11" s="642"/>
      <c r="G11" s="642"/>
      <c r="H11" s="642"/>
      <c r="I11" s="642"/>
      <c r="J11" s="642"/>
      <c r="K11" s="642"/>
      <c r="L11" s="642"/>
      <c r="M11" s="642"/>
      <c r="N11" s="656"/>
      <c r="O11" s="407"/>
      <c r="P11" s="658"/>
      <c r="Q11" s="643"/>
      <c r="R11" s="643"/>
      <c r="S11" s="643"/>
      <c r="T11" s="643"/>
      <c r="U11" s="643"/>
      <c r="V11" s="643"/>
      <c r="W11" s="643"/>
      <c r="X11" s="643"/>
      <c r="Y11" s="649"/>
      <c r="AA11" s="503"/>
      <c r="AB11" s="503"/>
      <c r="AC11" s="503"/>
      <c r="AD11" s="503"/>
    </row>
    <row r="12" spans="2:30" x14ac:dyDescent="0.25">
      <c r="B12" s="374" t="s">
        <v>80</v>
      </c>
      <c r="C12" s="389">
        <v>46266</v>
      </c>
      <c r="D12" s="397"/>
      <c r="E12" s="393"/>
      <c r="F12" s="368"/>
      <c r="G12" s="368"/>
      <c r="H12" s="368"/>
      <c r="I12" s="368"/>
      <c r="J12" s="368"/>
      <c r="K12" s="368"/>
      <c r="L12" s="368"/>
      <c r="M12" s="368"/>
      <c r="N12" s="399"/>
      <c r="O12" s="407"/>
      <c r="P12" s="403"/>
      <c r="Q12" s="369"/>
      <c r="R12" s="369"/>
      <c r="S12" s="369"/>
      <c r="T12" s="369"/>
      <c r="U12" s="369"/>
      <c r="V12" s="369"/>
      <c r="W12" s="369"/>
      <c r="X12" s="369"/>
      <c r="Y12" s="377"/>
      <c r="AA12" s="503"/>
      <c r="AB12" s="503"/>
      <c r="AC12" s="503"/>
      <c r="AD12" s="503"/>
    </row>
    <row r="13" spans="2:30" x14ac:dyDescent="0.25">
      <c r="B13" s="374" t="s">
        <v>81</v>
      </c>
      <c r="C13" s="389">
        <v>46267</v>
      </c>
      <c r="D13" s="397"/>
      <c r="E13" s="393"/>
      <c r="F13" s="368"/>
      <c r="G13" s="368"/>
      <c r="H13" s="368"/>
      <c r="I13" s="368"/>
      <c r="J13" s="368"/>
      <c r="K13" s="368"/>
      <c r="L13" s="368"/>
      <c r="M13" s="368"/>
      <c r="N13" s="399"/>
      <c r="O13" s="407"/>
      <c r="P13" s="403"/>
      <c r="Q13" s="369"/>
      <c r="R13" s="369"/>
      <c r="S13" s="369"/>
      <c r="T13" s="369"/>
      <c r="U13" s="369"/>
      <c r="V13" s="369"/>
      <c r="W13" s="369"/>
      <c r="X13" s="369"/>
      <c r="Y13" s="377"/>
    </row>
    <row r="14" spans="2:30" x14ac:dyDescent="0.25">
      <c r="B14" s="374" t="s">
        <v>82</v>
      </c>
      <c r="C14" s="389">
        <v>46268</v>
      </c>
      <c r="D14" s="397"/>
      <c r="E14" s="393"/>
      <c r="F14" s="368"/>
      <c r="G14" s="368"/>
      <c r="H14" s="368"/>
      <c r="I14" s="368"/>
      <c r="J14" s="368"/>
      <c r="K14" s="368"/>
      <c r="L14" s="368"/>
      <c r="M14" s="368"/>
      <c r="N14" s="399"/>
      <c r="O14" s="407"/>
      <c r="P14" s="403"/>
      <c r="Q14" s="369"/>
      <c r="R14" s="369"/>
      <c r="S14" s="369"/>
      <c r="T14" s="369"/>
      <c r="U14" s="369"/>
      <c r="V14" s="369"/>
      <c r="W14" s="369"/>
      <c r="X14" s="369"/>
      <c r="Y14" s="377"/>
    </row>
    <row r="15" spans="2:30" x14ac:dyDescent="0.25">
      <c r="B15" s="374" t="s">
        <v>83</v>
      </c>
      <c r="C15" s="389">
        <v>46269</v>
      </c>
      <c r="D15" s="397"/>
      <c r="E15" s="393"/>
      <c r="F15" s="368"/>
      <c r="G15" s="368"/>
      <c r="H15" s="368"/>
      <c r="I15" s="368"/>
      <c r="J15" s="368"/>
      <c r="K15" s="368"/>
      <c r="L15" s="368"/>
      <c r="M15" s="368"/>
      <c r="N15" s="399"/>
      <c r="O15" s="407"/>
      <c r="P15" s="403"/>
      <c r="Q15" s="369"/>
      <c r="R15" s="369"/>
      <c r="S15" s="369"/>
      <c r="T15" s="369"/>
      <c r="U15" s="369"/>
      <c r="V15" s="369"/>
      <c r="W15" s="369"/>
      <c r="X15" s="369"/>
      <c r="Y15" s="377"/>
    </row>
    <row r="16" spans="2:30" x14ac:dyDescent="0.25">
      <c r="B16" s="374" t="s">
        <v>84</v>
      </c>
      <c r="C16" s="389">
        <v>46270</v>
      </c>
      <c r="D16" s="397"/>
      <c r="E16" s="393"/>
      <c r="F16" s="368"/>
      <c r="G16" s="368"/>
      <c r="H16" s="368"/>
      <c r="I16" s="368"/>
      <c r="J16" s="368"/>
      <c r="K16" s="368"/>
      <c r="L16" s="368"/>
      <c r="M16" s="368"/>
      <c r="N16" s="399"/>
      <c r="O16" s="407"/>
      <c r="P16" s="403"/>
      <c r="Q16" s="369"/>
      <c r="R16" s="369"/>
      <c r="S16" s="369"/>
      <c r="T16" s="369"/>
      <c r="U16" s="369"/>
      <c r="V16" s="369"/>
      <c r="W16" s="369"/>
      <c r="X16" s="369"/>
      <c r="Y16" s="377"/>
    </row>
    <row r="17" spans="2:25" x14ac:dyDescent="0.25">
      <c r="B17" s="648" t="s">
        <v>85</v>
      </c>
      <c r="C17" s="652">
        <v>46271</v>
      </c>
      <c r="D17" s="397"/>
      <c r="E17" s="654"/>
      <c r="F17" s="644"/>
      <c r="G17" s="644"/>
      <c r="H17" s="644"/>
      <c r="I17" s="644"/>
      <c r="J17" s="644"/>
      <c r="K17" s="644"/>
      <c r="L17" s="644"/>
      <c r="M17" s="644"/>
      <c r="N17" s="657"/>
      <c r="O17" s="407"/>
      <c r="P17" s="659"/>
      <c r="Q17" s="645"/>
      <c r="R17" s="645"/>
      <c r="S17" s="645"/>
      <c r="T17" s="645"/>
      <c r="U17" s="645"/>
      <c r="V17" s="645"/>
      <c r="W17" s="645"/>
      <c r="X17" s="645"/>
      <c r="Y17" s="650"/>
    </row>
    <row r="18" spans="2:25" x14ac:dyDescent="0.25">
      <c r="B18" s="376" t="s">
        <v>79</v>
      </c>
      <c r="C18" s="391">
        <v>46272</v>
      </c>
      <c r="D18" s="397"/>
      <c r="E18" s="395"/>
      <c r="F18" s="372"/>
      <c r="G18" s="372"/>
      <c r="H18" s="372"/>
      <c r="I18" s="372"/>
      <c r="J18" s="372"/>
      <c r="K18" s="372"/>
      <c r="L18" s="372"/>
      <c r="M18" s="372"/>
      <c r="N18" s="401"/>
      <c r="O18" s="407"/>
      <c r="P18" s="405"/>
      <c r="Q18" s="373"/>
      <c r="R18" s="373"/>
      <c r="S18" s="373"/>
      <c r="T18" s="373"/>
      <c r="U18" s="373"/>
      <c r="V18" s="373"/>
      <c r="W18" s="373"/>
      <c r="X18" s="373"/>
      <c r="Y18" s="379"/>
    </row>
    <row r="19" spans="2:25" x14ac:dyDescent="0.25">
      <c r="B19" s="374" t="s">
        <v>80</v>
      </c>
      <c r="C19" s="389">
        <v>46273</v>
      </c>
      <c r="D19" s="397"/>
      <c r="E19" s="393"/>
      <c r="F19" s="368"/>
      <c r="G19" s="368"/>
      <c r="H19" s="368"/>
      <c r="I19" s="368"/>
      <c r="J19" s="368"/>
      <c r="K19" s="368"/>
      <c r="L19" s="368"/>
      <c r="M19" s="368"/>
      <c r="N19" s="399"/>
      <c r="O19" s="407"/>
      <c r="P19" s="403"/>
      <c r="Q19" s="369"/>
      <c r="R19" s="369"/>
      <c r="S19" s="369"/>
      <c r="T19" s="369"/>
      <c r="U19" s="369"/>
      <c r="V19" s="369"/>
      <c r="W19" s="369"/>
      <c r="X19" s="369"/>
      <c r="Y19" s="377"/>
    </row>
    <row r="20" spans="2:25" x14ac:dyDescent="0.25">
      <c r="B20" s="374" t="s">
        <v>81</v>
      </c>
      <c r="C20" s="389">
        <v>46274</v>
      </c>
      <c r="D20" s="397"/>
      <c r="E20" s="393"/>
      <c r="F20" s="368"/>
      <c r="G20" s="368"/>
      <c r="H20" s="368"/>
      <c r="I20" s="368"/>
      <c r="J20" s="368"/>
      <c r="K20" s="368"/>
      <c r="L20" s="368"/>
      <c r="M20" s="368"/>
      <c r="N20" s="399"/>
      <c r="O20" s="407"/>
      <c r="P20" s="403"/>
      <c r="Q20" s="369"/>
      <c r="R20" s="369"/>
      <c r="S20" s="369"/>
      <c r="T20" s="369"/>
      <c r="U20" s="369"/>
      <c r="V20" s="369"/>
      <c r="W20" s="369"/>
      <c r="X20" s="369"/>
      <c r="Y20" s="377"/>
    </row>
    <row r="21" spans="2:25" x14ac:dyDescent="0.25">
      <c r="B21" s="374" t="s">
        <v>82</v>
      </c>
      <c r="C21" s="389">
        <v>46275</v>
      </c>
      <c r="D21" s="397"/>
      <c r="E21" s="393"/>
      <c r="F21" s="368"/>
      <c r="G21" s="368"/>
      <c r="H21" s="368"/>
      <c r="I21" s="368"/>
      <c r="J21" s="368"/>
      <c r="K21" s="368"/>
      <c r="L21" s="368"/>
      <c r="M21" s="368"/>
      <c r="N21" s="399"/>
      <c r="O21" s="407"/>
      <c r="P21" s="403"/>
      <c r="Q21" s="369"/>
      <c r="R21" s="369"/>
      <c r="S21" s="369"/>
      <c r="T21" s="369"/>
      <c r="U21" s="369"/>
      <c r="V21" s="369"/>
      <c r="W21" s="369"/>
      <c r="X21" s="369"/>
      <c r="Y21" s="377"/>
    </row>
    <row r="22" spans="2:25" x14ac:dyDescent="0.25">
      <c r="B22" s="374" t="s">
        <v>83</v>
      </c>
      <c r="C22" s="389">
        <v>46276</v>
      </c>
      <c r="D22" s="397"/>
      <c r="E22" s="393"/>
      <c r="F22" s="368"/>
      <c r="G22" s="368"/>
      <c r="H22" s="368"/>
      <c r="I22" s="368"/>
      <c r="J22" s="368"/>
      <c r="K22" s="368"/>
      <c r="L22" s="368"/>
      <c r="M22" s="368"/>
      <c r="N22" s="399"/>
      <c r="O22" s="407"/>
      <c r="P22" s="403"/>
      <c r="Q22" s="369"/>
      <c r="R22" s="369"/>
      <c r="S22" s="369"/>
      <c r="T22" s="369"/>
      <c r="U22" s="369"/>
      <c r="V22" s="369"/>
      <c r="W22" s="369"/>
      <c r="X22" s="369"/>
      <c r="Y22" s="377"/>
    </row>
    <row r="23" spans="2:25" x14ac:dyDescent="0.25">
      <c r="B23" s="374" t="s">
        <v>84</v>
      </c>
      <c r="C23" s="389">
        <v>46277</v>
      </c>
      <c r="D23" s="397"/>
      <c r="E23" s="393"/>
      <c r="F23" s="368"/>
      <c r="G23" s="368"/>
      <c r="H23" s="368"/>
      <c r="I23" s="368"/>
      <c r="J23" s="368"/>
      <c r="K23" s="368"/>
      <c r="L23" s="368"/>
      <c r="M23" s="368"/>
      <c r="N23" s="399"/>
      <c r="O23" s="407"/>
      <c r="P23" s="403"/>
      <c r="Q23" s="369"/>
      <c r="R23" s="369"/>
      <c r="S23" s="369"/>
      <c r="T23" s="369"/>
      <c r="U23" s="369"/>
      <c r="V23" s="369"/>
      <c r="W23" s="369"/>
      <c r="X23" s="369"/>
      <c r="Y23" s="377"/>
    </row>
    <row r="24" spans="2:25" x14ac:dyDescent="0.25">
      <c r="B24" s="375" t="s">
        <v>85</v>
      </c>
      <c r="C24" s="390">
        <v>46278</v>
      </c>
      <c r="D24" s="397"/>
      <c r="E24" s="394"/>
      <c r="F24" s="370"/>
      <c r="G24" s="370"/>
      <c r="H24" s="370"/>
      <c r="I24" s="370"/>
      <c r="J24" s="370"/>
      <c r="K24" s="370"/>
      <c r="L24" s="370"/>
      <c r="M24" s="370"/>
      <c r="N24" s="400"/>
      <c r="O24" s="407"/>
      <c r="P24" s="404"/>
      <c r="Q24" s="371"/>
      <c r="R24" s="371"/>
      <c r="S24" s="371"/>
      <c r="T24" s="371"/>
      <c r="U24" s="371"/>
      <c r="V24" s="371"/>
      <c r="W24" s="371"/>
      <c r="X24" s="371"/>
      <c r="Y24" s="378"/>
    </row>
    <row r="25" spans="2:25" x14ac:dyDescent="0.25">
      <c r="B25" s="647" t="s">
        <v>79</v>
      </c>
      <c r="C25" s="651">
        <v>46279</v>
      </c>
      <c r="D25" s="397"/>
      <c r="E25" s="653"/>
      <c r="F25" s="642"/>
      <c r="G25" s="642"/>
      <c r="H25" s="642"/>
      <c r="I25" s="642"/>
      <c r="J25" s="642"/>
      <c r="K25" s="642"/>
      <c r="L25" s="642"/>
      <c r="M25" s="642"/>
      <c r="N25" s="656"/>
      <c r="O25" s="407"/>
      <c r="P25" s="658"/>
      <c r="Q25" s="643"/>
      <c r="R25" s="643"/>
      <c r="S25" s="643"/>
      <c r="T25" s="643"/>
      <c r="U25" s="643"/>
      <c r="V25" s="643"/>
      <c r="W25" s="643"/>
      <c r="X25" s="643"/>
      <c r="Y25" s="649"/>
    </row>
    <row r="26" spans="2:25" x14ac:dyDescent="0.25">
      <c r="B26" s="374" t="s">
        <v>80</v>
      </c>
      <c r="C26" s="389">
        <v>46280</v>
      </c>
      <c r="D26" s="397"/>
      <c r="E26" s="393"/>
      <c r="F26" s="368"/>
      <c r="G26" s="368"/>
      <c r="H26" s="368"/>
      <c r="I26" s="368"/>
      <c r="J26" s="368"/>
      <c r="K26" s="368"/>
      <c r="L26" s="368"/>
      <c r="M26" s="368"/>
      <c r="N26" s="399"/>
      <c r="O26" s="407"/>
      <c r="P26" s="403"/>
      <c r="Q26" s="369"/>
      <c r="R26" s="369"/>
      <c r="S26" s="369"/>
      <c r="T26" s="369"/>
      <c r="U26" s="369"/>
      <c r="V26" s="369"/>
      <c r="W26" s="369"/>
      <c r="X26" s="369"/>
      <c r="Y26" s="377"/>
    </row>
    <row r="27" spans="2:25" x14ac:dyDescent="0.25">
      <c r="B27" s="374" t="s">
        <v>81</v>
      </c>
      <c r="C27" s="389">
        <v>46281</v>
      </c>
      <c r="D27" s="397"/>
      <c r="E27" s="393"/>
      <c r="F27" s="368"/>
      <c r="G27" s="368"/>
      <c r="H27" s="368"/>
      <c r="I27" s="368"/>
      <c r="J27" s="368"/>
      <c r="K27" s="368"/>
      <c r="L27" s="368"/>
      <c r="M27" s="368"/>
      <c r="N27" s="399"/>
      <c r="O27" s="407"/>
      <c r="P27" s="403"/>
      <c r="Q27" s="369"/>
      <c r="R27" s="369"/>
      <c r="S27" s="369"/>
      <c r="T27" s="369"/>
      <c r="U27" s="369"/>
      <c r="V27" s="369"/>
      <c r="W27" s="369"/>
      <c r="X27" s="369"/>
      <c r="Y27" s="377"/>
    </row>
    <row r="28" spans="2:25" x14ac:dyDescent="0.25">
      <c r="B28" s="374" t="s">
        <v>82</v>
      </c>
      <c r="C28" s="389">
        <v>46282</v>
      </c>
      <c r="D28" s="397"/>
      <c r="E28" s="393"/>
      <c r="F28" s="368"/>
      <c r="G28" s="368"/>
      <c r="H28" s="368"/>
      <c r="I28" s="368"/>
      <c r="J28" s="368"/>
      <c r="K28" s="368"/>
      <c r="L28" s="368"/>
      <c r="M28" s="368"/>
      <c r="N28" s="399"/>
      <c r="O28" s="407"/>
      <c r="P28" s="403"/>
      <c r="Q28" s="369"/>
      <c r="R28" s="369"/>
      <c r="S28" s="369"/>
      <c r="T28" s="369"/>
      <c r="U28" s="369"/>
      <c r="V28" s="369"/>
      <c r="W28" s="369"/>
      <c r="X28" s="369"/>
      <c r="Y28" s="377"/>
    </row>
    <row r="29" spans="2:25" x14ac:dyDescent="0.25">
      <c r="B29" s="374" t="s">
        <v>83</v>
      </c>
      <c r="C29" s="389">
        <v>46283</v>
      </c>
      <c r="D29" s="397"/>
      <c r="E29" s="393"/>
      <c r="F29" s="368"/>
      <c r="G29" s="368"/>
      <c r="H29" s="368"/>
      <c r="I29" s="368"/>
      <c r="J29" s="368"/>
      <c r="K29" s="368"/>
      <c r="L29" s="368"/>
      <c r="M29" s="368"/>
      <c r="N29" s="399"/>
      <c r="O29" s="407"/>
      <c r="P29" s="403"/>
      <c r="Q29" s="369"/>
      <c r="R29" s="369"/>
      <c r="S29" s="369"/>
      <c r="T29" s="369"/>
      <c r="U29" s="369"/>
      <c r="V29" s="369"/>
      <c r="W29" s="369"/>
      <c r="X29" s="369"/>
      <c r="Y29" s="377"/>
    </row>
    <row r="30" spans="2:25" x14ac:dyDescent="0.25">
      <c r="B30" s="374" t="s">
        <v>84</v>
      </c>
      <c r="C30" s="389">
        <v>46284</v>
      </c>
      <c r="D30" s="397"/>
      <c r="E30" s="393"/>
      <c r="F30" s="368"/>
      <c r="G30" s="368"/>
      <c r="H30" s="368"/>
      <c r="I30" s="368"/>
      <c r="J30" s="368"/>
      <c r="K30" s="368"/>
      <c r="L30" s="368"/>
      <c r="M30" s="368"/>
      <c r="N30" s="399"/>
      <c r="O30" s="407"/>
      <c r="P30" s="403"/>
      <c r="Q30" s="369"/>
      <c r="R30" s="369"/>
      <c r="S30" s="369"/>
      <c r="T30" s="369"/>
      <c r="U30" s="369"/>
      <c r="V30" s="369"/>
      <c r="W30" s="369"/>
      <c r="X30" s="369"/>
      <c r="Y30" s="377"/>
    </row>
    <row r="31" spans="2:25" x14ac:dyDescent="0.25">
      <c r="B31" s="648" t="s">
        <v>85</v>
      </c>
      <c r="C31" s="652">
        <v>46285</v>
      </c>
      <c r="D31" s="397"/>
      <c r="E31" s="655"/>
      <c r="F31" s="646"/>
      <c r="G31" s="646"/>
      <c r="H31" s="646"/>
      <c r="I31" s="646"/>
      <c r="J31" s="646"/>
      <c r="K31" s="644"/>
      <c r="L31" s="644"/>
      <c r="M31" s="644"/>
      <c r="N31" s="657"/>
      <c r="O31" s="407"/>
      <c r="P31" s="659"/>
      <c r="Q31" s="645"/>
      <c r="R31" s="645"/>
      <c r="S31" s="645"/>
      <c r="T31" s="645"/>
      <c r="U31" s="645"/>
      <c r="V31" s="645"/>
      <c r="W31" s="645"/>
      <c r="X31" s="645"/>
      <c r="Y31" s="650"/>
    </row>
    <row r="32" spans="2:25" x14ac:dyDescent="0.25">
      <c r="B32" s="376"/>
      <c r="C32" s="391"/>
      <c r="D32" s="397"/>
      <c r="E32" s="395"/>
      <c r="F32" s="372"/>
      <c r="G32" s="372"/>
      <c r="H32" s="372"/>
      <c r="I32" s="372"/>
      <c r="J32" s="372"/>
      <c r="K32" s="372"/>
      <c r="L32" s="372"/>
      <c r="M32" s="372"/>
      <c r="N32" s="401"/>
      <c r="O32" s="407"/>
      <c r="P32" s="405"/>
      <c r="Q32" s="373"/>
      <c r="R32" s="373"/>
      <c r="S32" s="373"/>
      <c r="T32" s="373"/>
      <c r="U32" s="373"/>
      <c r="V32" s="373"/>
      <c r="W32" s="373"/>
      <c r="X32" s="373"/>
      <c r="Y32" s="379"/>
    </row>
    <row r="33" spans="2:25" x14ac:dyDescent="0.25">
      <c r="B33" s="374"/>
      <c r="C33" s="389"/>
      <c r="D33" s="397"/>
      <c r="E33" s="393"/>
      <c r="F33" s="368"/>
      <c r="G33" s="368"/>
      <c r="H33" s="368"/>
      <c r="I33" s="368"/>
      <c r="J33" s="368"/>
      <c r="K33" s="368"/>
      <c r="L33" s="368"/>
      <c r="M33" s="368"/>
      <c r="N33" s="399"/>
      <c r="O33" s="407"/>
      <c r="P33" s="403"/>
      <c r="Q33" s="369"/>
      <c r="R33" s="369"/>
      <c r="S33" s="369"/>
      <c r="T33" s="369"/>
      <c r="U33" s="369"/>
      <c r="V33" s="369"/>
      <c r="W33" s="369"/>
      <c r="X33" s="369"/>
      <c r="Y33" s="377"/>
    </row>
    <row r="34" spans="2:25" x14ac:dyDescent="0.25">
      <c r="B34" s="374"/>
      <c r="C34" s="389"/>
      <c r="D34" s="397"/>
      <c r="E34" s="393"/>
      <c r="F34" s="368"/>
      <c r="G34" s="368"/>
      <c r="H34" s="368"/>
      <c r="I34" s="368"/>
      <c r="J34" s="368"/>
      <c r="K34" s="368"/>
      <c r="L34" s="368"/>
      <c r="M34" s="368"/>
      <c r="N34" s="399"/>
      <c r="O34" s="407"/>
      <c r="P34" s="403"/>
      <c r="Q34" s="369"/>
      <c r="R34" s="369"/>
      <c r="S34" s="369"/>
      <c r="T34" s="369"/>
      <c r="U34" s="369"/>
      <c r="V34" s="369"/>
      <c r="W34" s="369"/>
      <c r="X34" s="369"/>
      <c r="Y34" s="377"/>
    </row>
    <row r="35" spans="2:25" x14ac:dyDescent="0.25">
      <c r="B35" s="374"/>
      <c r="C35" s="389"/>
      <c r="D35" s="397"/>
      <c r="E35" s="393"/>
      <c r="F35" s="368"/>
      <c r="G35" s="368"/>
      <c r="H35" s="368"/>
      <c r="I35" s="368"/>
      <c r="J35" s="368"/>
      <c r="K35" s="368"/>
      <c r="L35" s="368"/>
      <c r="M35" s="368"/>
      <c r="N35" s="399"/>
      <c r="O35" s="407"/>
      <c r="P35" s="403"/>
      <c r="Q35" s="369"/>
      <c r="R35" s="369"/>
      <c r="S35" s="369"/>
      <c r="T35" s="369"/>
      <c r="U35" s="369"/>
      <c r="V35" s="369"/>
      <c r="W35" s="369"/>
      <c r="X35" s="369"/>
      <c r="Y35" s="377"/>
    </row>
    <row r="36" spans="2:25" x14ac:dyDescent="0.25">
      <c r="B36" s="374"/>
      <c r="C36" s="389"/>
      <c r="D36" s="397"/>
      <c r="E36" s="393"/>
      <c r="F36" s="368"/>
      <c r="G36" s="368"/>
      <c r="H36" s="368"/>
      <c r="I36" s="368"/>
      <c r="J36" s="368"/>
      <c r="K36" s="368"/>
      <c r="L36" s="368"/>
      <c r="M36" s="368"/>
      <c r="N36" s="399"/>
      <c r="O36" s="407"/>
      <c r="P36" s="403"/>
      <c r="Q36" s="369"/>
      <c r="R36" s="369"/>
      <c r="S36" s="369"/>
      <c r="T36" s="369"/>
      <c r="U36" s="369"/>
      <c r="V36" s="369"/>
      <c r="W36" s="369"/>
      <c r="X36" s="369"/>
      <c r="Y36" s="377"/>
    </row>
    <row r="37" spans="2:25" x14ac:dyDescent="0.25">
      <c r="B37" s="374"/>
      <c r="C37" s="389"/>
      <c r="D37" s="397"/>
      <c r="E37" s="393"/>
      <c r="F37" s="368"/>
      <c r="G37" s="368"/>
      <c r="H37" s="368"/>
      <c r="I37" s="368"/>
      <c r="J37" s="368"/>
      <c r="K37" s="368"/>
      <c r="L37" s="368"/>
      <c r="M37" s="368"/>
      <c r="N37" s="399"/>
      <c r="O37" s="407"/>
      <c r="P37" s="403"/>
      <c r="Q37" s="369"/>
      <c r="R37" s="369"/>
      <c r="S37" s="369"/>
      <c r="T37" s="369"/>
      <c r="U37" s="369"/>
      <c r="V37" s="369"/>
      <c r="W37" s="369"/>
      <c r="X37" s="369"/>
      <c r="Y37" s="377"/>
    </row>
    <row r="38" spans="2:25" x14ac:dyDescent="0.25">
      <c r="B38" s="375"/>
      <c r="C38" s="390"/>
      <c r="D38" s="397"/>
      <c r="E38" s="394"/>
      <c r="F38" s="370"/>
      <c r="G38" s="370"/>
      <c r="H38" s="370"/>
      <c r="I38" s="370"/>
      <c r="J38" s="370"/>
      <c r="K38" s="370"/>
      <c r="L38" s="370"/>
      <c r="M38" s="370"/>
      <c r="N38" s="400"/>
      <c r="O38" s="407"/>
      <c r="P38" s="404"/>
      <c r="Q38" s="371"/>
      <c r="R38" s="371"/>
      <c r="S38" s="371"/>
      <c r="T38" s="371"/>
      <c r="U38" s="371"/>
      <c r="V38" s="371"/>
      <c r="W38" s="371"/>
      <c r="X38" s="371"/>
      <c r="Y38" s="378"/>
    </row>
    <row r="39" spans="2:25" x14ac:dyDescent="0.25">
      <c r="B39" s="647"/>
      <c r="C39" s="651"/>
      <c r="D39" s="397"/>
      <c r="E39" s="653"/>
      <c r="F39" s="642"/>
      <c r="G39" s="642"/>
      <c r="H39" s="642"/>
      <c r="I39" s="642"/>
      <c r="J39" s="642"/>
      <c r="K39" s="642"/>
      <c r="L39" s="642"/>
      <c r="M39" s="642"/>
      <c r="N39" s="656"/>
      <c r="O39" s="407"/>
      <c r="P39" s="658"/>
      <c r="Q39" s="643"/>
      <c r="R39" s="643"/>
      <c r="S39" s="643"/>
      <c r="T39" s="643"/>
      <c r="U39" s="643"/>
      <c r="V39" s="643"/>
      <c r="W39" s="643"/>
      <c r="X39" s="643"/>
      <c r="Y39" s="649"/>
    </row>
    <row r="40" spans="2:25" x14ac:dyDescent="0.25">
      <c r="B40" s="374"/>
      <c r="C40" s="389"/>
      <c r="D40" s="397"/>
      <c r="E40" s="393"/>
      <c r="F40" s="368"/>
      <c r="G40" s="368"/>
      <c r="H40" s="368"/>
      <c r="I40" s="368"/>
      <c r="J40" s="368"/>
      <c r="K40" s="368"/>
      <c r="L40" s="368"/>
      <c r="M40" s="368"/>
      <c r="N40" s="399"/>
      <c r="O40" s="407"/>
      <c r="P40" s="403"/>
      <c r="Q40" s="369"/>
      <c r="R40" s="369"/>
      <c r="S40" s="369"/>
      <c r="T40" s="369"/>
      <c r="U40" s="369"/>
      <c r="V40" s="369"/>
      <c r="W40" s="369"/>
      <c r="X40" s="369"/>
      <c r="Y40" s="377"/>
    </row>
    <row r="41" spans="2:25" x14ac:dyDescent="0.25">
      <c r="B41" s="374"/>
      <c r="C41" s="389"/>
      <c r="D41" s="397"/>
      <c r="E41" s="393"/>
      <c r="F41" s="368"/>
      <c r="G41" s="368"/>
      <c r="H41" s="368"/>
      <c r="I41" s="368"/>
      <c r="J41" s="368"/>
      <c r="K41" s="368"/>
      <c r="L41" s="368"/>
      <c r="M41" s="368"/>
      <c r="N41" s="399"/>
      <c r="O41" s="407"/>
      <c r="P41" s="403"/>
      <c r="Q41" s="369"/>
      <c r="R41" s="369"/>
      <c r="S41" s="369"/>
      <c r="T41" s="369"/>
      <c r="U41" s="369"/>
      <c r="V41" s="369"/>
      <c r="W41" s="369"/>
      <c r="X41" s="369"/>
      <c r="Y41" s="377"/>
    </row>
    <row r="42" spans="2:25" x14ac:dyDescent="0.25">
      <c r="B42" s="374"/>
      <c r="C42" s="389"/>
      <c r="D42" s="397"/>
      <c r="E42" s="393"/>
      <c r="F42" s="368"/>
      <c r="G42" s="368"/>
      <c r="H42" s="368"/>
      <c r="I42" s="368"/>
      <c r="J42" s="368"/>
      <c r="K42" s="368"/>
      <c r="L42" s="368"/>
      <c r="M42" s="368"/>
      <c r="N42" s="399"/>
      <c r="O42" s="407"/>
      <c r="P42" s="403"/>
      <c r="Q42" s="369"/>
      <c r="R42" s="369"/>
      <c r="S42" s="369"/>
      <c r="T42" s="369"/>
      <c r="U42" s="369"/>
      <c r="V42" s="369"/>
      <c r="W42" s="369"/>
      <c r="X42" s="369"/>
      <c r="Y42" s="377"/>
    </row>
    <row r="43" spans="2:25" x14ac:dyDescent="0.25">
      <c r="B43" s="374"/>
      <c r="C43" s="389"/>
      <c r="D43" s="397"/>
      <c r="E43" s="393"/>
      <c r="F43" s="368"/>
      <c r="G43" s="368"/>
      <c r="H43" s="368"/>
      <c r="I43" s="368"/>
      <c r="J43" s="368"/>
      <c r="K43" s="368"/>
      <c r="L43" s="368"/>
      <c r="M43" s="368"/>
      <c r="N43" s="399"/>
      <c r="O43" s="407"/>
      <c r="P43" s="403"/>
      <c r="Q43" s="369"/>
      <c r="R43" s="369"/>
      <c r="S43" s="369"/>
      <c r="T43" s="369"/>
      <c r="U43" s="369"/>
      <c r="V43" s="369"/>
      <c r="W43" s="369"/>
      <c r="X43" s="369"/>
      <c r="Y43" s="377"/>
    </row>
    <row r="44" spans="2:25" x14ac:dyDescent="0.25">
      <c r="B44" s="374"/>
      <c r="C44" s="389"/>
      <c r="D44" s="397"/>
      <c r="E44" s="393"/>
      <c r="F44" s="368"/>
      <c r="G44" s="368"/>
      <c r="H44" s="368"/>
      <c r="I44" s="368"/>
      <c r="J44" s="368"/>
      <c r="K44" s="368"/>
      <c r="L44" s="368"/>
      <c r="M44" s="368"/>
      <c r="N44" s="399"/>
      <c r="O44" s="407"/>
      <c r="P44" s="403"/>
      <c r="Q44" s="369"/>
      <c r="R44" s="369"/>
      <c r="S44" s="369"/>
      <c r="T44" s="369"/>
      <c r="U44" s="369"/>
      <c r="V44" s="369"/>
      <c r="W44" s="369"/>
      <c r="X44" s="369"/>
      <c r="Y44" s="377"/>
    </row>
    <row r="45" spans="2:25" ht="15.75" thickBot="1" x14ac:dyDescent="0.3">
      <c r="B45" s="384"/>
      <c r="C45" s="392"/>
      <c r="D45" s="397"/>
      <c r="E45" s="396"/>
      <c r="F45" s="385"/>
      <c r="G45" s="385"/>
      <c r="H45" s="385"/>
      <c r="I45" s="385"/>
      <c r="J45" s="385"/>
      <c r="K45" s="385"/>
      <c r="L45" s="385"/>
      <c r="M45" s="385"/>
      <c r="N45" s="402"/>
      <c r="O45" s="407"/>
      <c r="P45" s="406"/>
      <c r="Q45" s="386"/>
      <c r="R45" s="386"/>
      <c r="S45" s="386"/>
      <c r="T45" s="386"/>
      <c r="U45" s="386"/>
      <c r="V45" s="386"/>
      <c r="W45" s="386"/>
      <c r="X45" s="386"/>
      <c r="Y45" s="387"/>
    </row>
    <row r="46" spans="2:25" x14ac:dyDescent="0.25">
      <c r="D46" s="422"/>
      <c r="O46" s="423"/>
    </row>
  </sheetData>
  <mergeCells count="6">
    <mergeCell ref="AA7:AD9"/>
    <mergeCell ref="AA10:AD12"/>
    <mergeCell ref="E2:N3"/>
    <mergeCell ref="P2:Y3"/>
    <mergeCell ref="AA2:AD3"/>
    <mergeCell ref="AA4:A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7346" r:id="rId3" name="CopyMode">
          <controlPr defaultSize="0" autoLine="0" r:id="rId4">
            <anchor moveWithCells="1">
              <from>
                <xdr:col>0</xdr:col>
                <xdr:colOff>733425</xdr:colOff>
                <xdr:row>0</xdr:row>
                <xdr:rowOff>152400</xdr:rowOff>
              </from>
              <to>
                <xdr:col>3</xdr:col>
                <xdr:colOff>38100</xdr:colOff>
                <xdr:row>2</xdr:row>
                <xdr:rowOff>28575</xdr:rowOff>
              </to>
            </anchor>
          </controlPr>
        </control>
      </mc:Choice>
      <mc:Fallback>
        <control shapeId="1337346" r:id="rId3" name="CopyMode"/>
      </mc:Fallback>
    </mc:AlternateContent>
    <mc:AlternateContent xmlns:mc="http://schemas.openxmlformats.org/markup-compatibility/2006">
      <mc:Choice Requires="x14">
        <control shapeId="1337345" r:id="rId5" name="TranfertCmd">
          <controlPr defaultSize="0" autoLine="0" r:id="rId6">
            <anchor moveWithCells="1">
              <from>
                <xdr:col>10</xdr:col>
                <xdr:colOff>28575</xdr:colOff>
                <xdr:row>47</xdr:row>
                <xdr:rowOff>19050</xdr:rowOff>
              </from>
              <to>
                <xdr:col>14</xdr:col>
                <xdr:colOff>38100</xdr:colOff>
                <xdr:row>48</xdr:row>
                <xdr:rowOff>171450</xdr:rowOff>
              </to>
            </anchor>
          </controlPr>
        </control>
      </mc:Choice>
      <mc:Fallback>
        <control shapeId="1337345" r:id="rId5" name="TranfertCm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3" customWidth="1"/>
    <col min="65" max="16384" width="11.42578125" style="23"/>
  </cols>
  <sheetData>
    <row r="1" spans="1:65" ht="15.75" thickBo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>
        <v>0</v>
      </c>
      <c r="V1" s="44">
        <v>0</v>
      </c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</row>
    <row r="2" spans="1:65" ht="15.75" thickBot="1" x14ac:dyDescent="0.3">
      <c r="A2" s="527"/>
      <c r="B2" s="528"/>
      <c r="C2" s="528"/>
      <c r="D2" s="528"/>
      <c r="E2" s="528"/>
      <c r="F2" s="528"/>
      <c r="G2" s="528"/>
      <c r="H2" s="529" t="s">
        <v>52</v>
      </c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T2" s="530"/>
      <c r="U2" s="531">
        <v>0</v>
      </c>
      <c r="V2" s="532"/>
      <c r="W2" s="532"/>
      <c r="X2" s="532"/>
      <c r="Y2" s="532"/>
      <c r="Z2" s="532"/>
      <c r="AA2" s="532"/>
      <c r="AB2" s="532"/>
      <c r="AC2" s="532"/>
      <c r="AD2" s="532"/>
      <c r="AE2" s="532"/>
      <c r="AF2" s="532"/>
      <c r="AG2" s="532"/>
      <c r="AH2" s="532"/>
      <c r="AI2" s="532"/>
      <c r="AJ2" s="532"/>
      <c r="AK2" s="532"/>
      <c r="AL2" s="532"/>
      <c r="AM2" s="532"/>
      <c r="AN2" s="532"/>
      <c r="AO2" s="520" t="s">
        <v>53</v>
      </c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2"/>
      <c r="BB2" s="523"/>
      <c r="BC2" s="524"/>
      <c r="BD2" s="524"/>
      <c r="BE2" s="524"/>
      <c r="BF2" s="524"/>
      <c r="BG2" s="524"/>
      <c r="BH2" s="524"/>
      <c r="BI2" s="524"/>
      <c r="BJ2" s="524"/>
      <c r="BK2" s="524"/>
      <c r="BL2" s="525"/>
    </row>
    <row r="3" spans="1:65" ht="15.75" thickBot="1" x14ac:dyDescent="0.3">
      <c r="A3" s="526">
        <v>1</v>
      </c>
      <c r="B3" s="526"/>
      <c r="C3" s="526">
        <v>2</v>
      </c>
      <c r="D3" s="526"/>
      <c r="E3" s="526">
        <v>3</v>
      </c>
      <c r="F3" s="526"/>
      <c r="G3" s="526">
        <v>4</v>
      </c>
      <c r="H3" s="526"/>
      <c r="I3" s="515">
        <v>5</v>
      </c>
      <c r="J3" s="516"/>
      <c r="K3" s="515">
        <v>6</v>
      </c>
      <c r="L3" s="516"/>
      <c r="M3" s="515">
        <v>7</v>
      </c>
      <c r="N3" s="516"/>
      <c r="O3" s="515">
        <v>8</v>
      </c>
      <c r="P3" s="516"/>
      <c r="Q3" s="515">
        <v>9</v>
      </c>
      <c r="R3" s="516"/>
      <c r="S3" s="515">
        <v>10</v>
      </c>
      <c r="T3" s="514"/>
      <c r="U3" s="512">
        <v>1</v>
      </c>
      <c r="V3" s="516"/>
      <c r="W3" s="515">
        <v>2</v>
      </c>
      <c r="X3" s="516"/>
      <c r="Y3" s="515">
        <v>3</v>
      </c>
      <c r="Z3" s="516"/>
      <c r="AA3" s="515">
        <v>4</v>
      </c>
      <c r="AB3" s="516"/>
      <c r="AC3" s="515">
        <v>5</v>
      </c>
      <c r="AD3" s="516"/>
      <c r="AE3" s="515">
        <v>6</v>
      </c>
      <c r="AF3" s="516"/>
      <c r="AG3" s="515">
        <v>7</v>
      </c>
      <c r="AH3" s="516"/>
      <c r="AI3" s="515">
        <v>8</v>
      </c>
      <c r="AJ3" s="516"/>
      <c r="AK3" s="515">
        <v>9</v>
      </c>
      <c r="AL3" s="516"/>
      <c r="AM3" s="515">
        <v>10</v>
      </c>
      <c r="AN3" s="514"/>
      <c r="AO3" s="517" t="s">
        <v>54</v>
      </c>
      <c r="AP3" s="518"/>
      <c r="AQ3" s="518"/>
      <c r="AR3" s="519"/>
      <c r="AS3" s="517" t="s">
        <v>55</v>
      </c>
      <c r="AT3" s="518"/>
      <c r="AU3" s="518"/>
      <c r="AV3" s="518"/>
      <c r="AW3" s="518"/>
      <c r="AX3" s="518"/>
      <c r="AY3" s="512" t="s">
        <v>56</v>
      </c>
      <c r="AZ3" s="513"/>
      <c r="BA3" s="514"/>
      <c r="BB3" s="533" t="s">
        <v>99</v>
      </c>
      <c r="BC3" s="534"/>
      <c r="BD3" s="534"/>
      <c r="BE3" s="534"/>
      <c r="BF3" s="534"/>
      <c r="BG3" s="534"/>
      <c r="BH3" s="534"/>
      <c r="BI3" s="534"/>
      <c r="BJ3" s="534"/>
      <c r="BK3" s="534"/>
      <c r="BL3" s="535"/>
    </row>
    <row r="4" spans="1:65" ht="12.75" customHeight="1" x14ac:dyDescent="0.25">
      <c r="A4" s="45" t="s">
        <v>57</v>
      </c>
      <c r="B4" s="45" t="s">
        <v>58</v>
      </c>
      <c r="C4" s="45" t="s">
        <v>57</v>
      </c>
      <c r="D4" s="45" t="s">
        <v>58</v>
      </c>
      <c r="E4" s="45" t="s">
        <v>57</v>
      </c>
      <c r="F4" s="45" t="s">
        <v>58</v>
      </c>
      <c r="G4" s="45" t="s">
        <v>57</v>
      </c>
      <c r="H4" s="45" t="s">
        <v>58</v>
      </c>
      <c r="I4" s="45" t="s">
        <v>57</v>
      </c>
      <c r="J4" s="45" t="s">
        <v>58</v>
      </c>
      <c r="K4" s="45" t="s">
        <v>57</v>
      </c>
      <c r="L4" s="45" t="s">
        <v>58</v>
      </c>
      <c r="M4" s="45" t="s">
        <v>57</v>
      </c>
      <c r="N4" s="45" t="s">
        <v>58</v>
      </c>
      <c r="O4" s="45" t="s">
        <v>57</v>
      </c>
      <c r="P4" s="45" t="s">
        <v>58</v>
      </c>
      <c r="Q4" s="45" t="s">
        <v>57</v>
      </c>
      <c r="R4" s="45" t="s">
        <v>58</v>
      </c>
      <c r="S4" s="45" t="s">
        <v>57</v>
      </c>
      <c r="T4" s="46" t="s">
        <v>58</v>
      </c>
      <c r="U4" s="45" t="s">
        <v>57</v>
      </c>
      <c r="V4" s="45" t="s">
        <v>58</v>
      </c>
      <c r="W4" s="45" t="s">
        <v>57</v>
      </c>
      <c r="X4" s="45" t="s">
        <v>58</v>
      </c>
      <c r="Y4" s="45" t="s">
        <v>57</v>
      </c>
      <c r="Z4" s="45" t="s">
        <v>58</v>
      </c>
      <c r="AA4" s="45" t="s">
        <v>57</v>
      </c>
      <c r="AB4" s="45" t="s">
        <v>58</v>
      </c>
      <c r="AC4" s="45" t="s">
        <v>57</v>
      </c>
      <c r="AD4" s="45" t="s">
        <v>58</v>
      </c>
      <c r="AE4" s="45" t="s">
        <v>57</v>
      </c>
      <c r="AF4" s="45" t="s">
        <v>58</v>
      </c>
      <c r="AG4" s="45" t="s">
        <v>57</v>
      </c>
      <c r="AH4" s="45" t="s">
        <v>58</v>
      </c>
      <c r="AI4" s="45" t="s">
        <v>57</v>
      </c>
      <c r="AJ4" s="45" t="s">
        <v>58</v>
      </c>
      <c r="AK4" s="45" t="s">
        <v>57</v>
      </c>
      <c r="AL4" s="45" t="s">
        <v>58</v>
      </c>
      <c r="AM4" s="45" t="s">
        <v>57</v>
      </c>
      <c r="AN4" s="46" t="s">
        <v>58</v>
      </c>
      <c r="AO4" s="47" t="s">
        <v>59</v>
      </c>
      <c r="AP4" s="48" t="s">
        <v>60</v>
      </c>
      <c r="AQ4" s="48" t="s">
        <v>61</v>
      </c>
      <c r="AR4" s="49" t="s">
        <v>62</v>
      </c>
      <c r="AS4" s="50" t="s">
        <v>57</v>
      </c>
      <c r="AT4" s="51" t="s">
        <v>4</v>
      </c>
      <c r="AU4" s="51" t="s">
        <v>63</v>
      </c>
      <c r="AV4" s="51" t="s">
        <v>4</v>
      </c>
      <c r="AW4" s="51" t="s">
        <v>64</v>
      </c>
      <c r="AX4" s="51" t="s">
        <v>58</v>
      </c>
      <c r="AY4" s="50" t="s">
        <v>65</v>
      </c>
      <c r="AZ4" s="51" t="s">
        <v>66</v>
      </c>
      <c r="BA4" s="52" t="s">
        <v>67</v>
      </c>
      <c r="BB4" s="41">
        <v>1</v>
      </c>
      <c r="BC4" s="41">
        <v>2</v>
      </c>
      <c r="BD4" s="41">
        <v>3</v>
      </c>
      <c r="BE4" s="41">
        <v>4</v>
      </c>
      <c r="BF4" s="41">
        <v>5</v>
      </c>
      <c r="BG4" s="41">
        <v>6</v>
      </c>
      <c r="BH4" s="41">
        <v>7</v>
      </c>
      <c r="BI4" s="41">
        <v>8</v>
      </c>
      <c r="BJ4" s="41">
        <v>9</v>
      </c>
      <c r="BK4" s="41">
        <v>10</v>
      </c>
      <c r="BL4" s="53" t="s">
        <v>68</v>
      </c>
      <c r="BM4" s="54" t="s">
        <v>69</v>
      </c>
    </row>
    <row r="5" spans="1:65" x14ac:dyDescent="0.25">
      <c r="A5" s="55">
        <v>0</v>
      </c>
      <c r="B5" s="56">
        <v>0</v>
      </c>
      <c r="C5" s="55">
        <v>0</v>
      </c>
      <c r="D5" s="56">
        <v>0</v>
      </c>
      <c r="E5" s="55">
        <v>0</v>
      </c>
      <c r="F5" s="56">
        <v>0</v>
      </c>
      <c r="G5" s="55">
        <v>0</v>
      </c>
      <c r="H5" s="56">
        <v>0</v>
      </c>
      <c r="I5" s="55">
        <v>0</v>
      </c>
      <c r="J5" s="56">
        <v>0</v>
      </c>
      <c r="K5" s="55">
        <v>0</v>
      </c>
      <c r="L5" s="56">
        <v>0</v>
      </c>
      <c r="M5" s="55">
        <v>0</v>
      </c>
      <c r="N5" s="56">
        <v>0</v>
      </c>
      <c r="O5" s="55">
        <v>0</v>
      </c>
      <c r="P5" s="56">
        <v>0</v>
      </c>
      <c r="Q5" s="55">
        <v>0</v>
      </c>
      <c r="R5" s="56">
        <v>0</v>
      </c>
      <c r="S5" s="55">
        <v>0</v>
      </c>
      <c r="T5" s="56">
        <v>0</v>
      </c>
      <c r="U5" s="57">
        <v>0</v>
      </c>
      <c r="V5" s="56">
        <v>0</v>
      </c>
      <c r="W5" s="55">
        <v>0</v>
      </c>
      <c r="X5" s="56">
        <v>0</v>
      </c>
      <c r="Y5" s="55">
        <v>0</v>
      </c>
      <c r="Z5" s="56">
        <v>0</v>
      </c>
      <c r="AA5" s="55">
        <v>0</v>
      </c>
      <c r="AB5" s="56">
        <v>0</v>
      </c>
      <c r="AC5" s="55">
        <v>0</v>
      </c>
      <c r="AD5" s="56">
        <v>0</v>
      </c>
      <c r="AE5" s="55">
        <v>0</v>
      </c>
      <c r="AF5" s="56">
        <v>0</v>
      </c>
      <c r="AG5" s="55">
        <v>0</v>
      </c>
      <c r="AH5" s="56">
        <v>0</v>
      </c>
      <c r="AI5" s="55">
        <v>0</v>
      </c>
      <c r="AJ5" s="56">
        <v>0</v>
      </c>
      <c r="AK5" s="55">
        <v>0</v>
      </c>
      <c r="AL5" s="56">
        <v>0</v>
      </c>
      <c r="AM5" s="58">
        <v>0</v>
      </c>
      <c r="AN5" s="59">
        <v>0</v>
      </c>
      <c r="AO5" s="60">
        <f t="shared" ref="AO5:AO49" si="0">IF(AND(V5*24&gt;=11,V5*24&lt;=13.5),IF((W5-V5)*24&gt;=1,1,IF(AND(V5*24&gt;=18.5,V5*24&lt;=22),6,0)),0)</f>
        <v>0</v>
      </c>
      <c r="AP5" s="61">
        <f t="shared" ref="AP5:AP49" si="1">IF(AND(X5*24&gt;=11,X5*24&lt;=13.5),IF((Y5-X5)*24&gt;=1,1,IF(AND(X5*24&gt;=18.5,X5*24&lt;=22),6,0)),0)</f>
        <v>0</v>
      </c>
      <c r="AQ5" s="61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2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3">
        <f t="shared" ref="AS5:AS49" si="4">IF(U5*24&gt;11,0,U5)</f>
        <v>0</v>
      </c>
      <c r="AT5" s="64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4">
        <f t="shared" ref="AU5:AU49" si="6">IF(U5&gt;0,IF(AS5&gt;0,IF(AND(AN5&gt;0,AN5=AT5),0,IF(AND(AB5&gt;0,AB5=AT5),AM5,IF(AND(Z5&gt;0,Z5=AT5),AA5,IF(AND(X5&gt;0,X5=AT5),Y5,W5)))),U5),0)</f>
        <v>0</v>
      </c>
      <c r="AV5" s="64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4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4">
        <f t="shared" ref="AX5:AX49" si="9">IF(AW5&gt;0,IF(AND(AN5&gt;0, AN5*24&gt;18.5),AN5,IF(AND(AB5&gt;0,AB5*24&gt;18.5),AB5,IF(AND(Z5&gt;0,Z5*24&gt;18.5),Z5,IF(AND(X5&gt;0,X5*24&gt;18.5),X5,V5)))),0)</f>
        <v>0</v>
      </c>
      <c r="AY5" s="60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5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2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6">
        <f>V5 - U5</f>
        <v>0</v>
      </c>
      <c r="BC5" s="67">
        <f>X5 - W5</f>
        <v>0</v>
      </c>
      <c r="BD5" s="67">
        <f>Z5 - Y5</f>
        <v>0</v>
      </c>
      <c r="BE5" s="67">
        <f>AB5 - AA5</f>
        <v>0</v>
      </c>
      <c r="BF5" s="67">
        <f>AD5 - AC5</f>
        <v>0</v>
      </c>
      <c r="BG5" s="67">
        <f>AF5 - AE5</f>
        <v>0</v>
      </c>
      <c r="BH5" s="67">
        <f>AH5 - AG5</f>
        <v>0</v>
      </c>
      <c r="BI5" s="67">
        <f>AJ5 - AI5</f>
        <v>0</v>
      </c>
      <c r="BJ5" s="67">
        <f>AL5 - AK5</f>
        <v>0</v>
      </c>
      <c r="BK5" s="68">
        <f>AN5 - AM5</f>
        <v>0</v>
      </c>
      <c r="BL5" s="69">
        <f>ROUNDUP(SUM(BB5:BK5) * 288, 0) / 288</f>
        <v>0</v>
      </c>
      <c r="BM5" s="70">
        <v>0</v>
      </c>
    </row>
    <row r="6" spans="1:65" x14ac:dyDescent="0.25">
      <c r="A6" s="71">
        <v>0</v>
      </c>
      <c r="B6" s="72">
        <v>0</v>
      </c>
      <c r="C6" s="71">
        <v>0</v>
      </c>
      <c r="D6" s="72">
        <v>0</v>
      </c>
      <c r="E6" s="71">
        <v>0</v>
      </c>
      <c r="F6" s="72">
        <v>0</v>
      </c>
      <c r="G6" s="71">
        <v>0</v>
      </c>
      <c r="H6" s="72">
        <v>0</v>
      </c>
      <c r="I6" s="71">
        <v>0</v>
      </c>
      <c r="J6" s="72">
        <v>0</v>
      </c>
      <c r="K6" s="71">
        <v>0</v>
      </c>
      <c r="L6" s="72">
        <v>0</v>
      </c>
      <c r="M6" s="71">
        <v>0</v>
      </c>
      <c r="N6" s="72">
        <v>0</v>
      </c>
      <c r="O6" s="71">
        <v>0</v>
      </c>
      <c r="P6" s="72">
        <v>0</v>
      </c>
      <c r="Q6" s="71">
        <v>0</v>
      </c>
      <c r="R6" s="72">
        <v>0</v>
      </c>
      <c r="S6" s="71">
        <v>0</v>
      </c>
      <c r="T6" s="72">
        <v>0</v>
      </c>
      <c r="U6" s="73">
        <v>0</v>
      </c>
      <c r="V6" s="72">
        <v>0</v>
      </c>
      <c r="W6" s="71">
        <v>0</v>
      </c>
      <c r="X6" s="72">
        <v>0</v>
      </c>
      <c r="Y6" s="71">
        <v>0</v>
      </c>
      <c r="Z6" s="72">
        <v>0</v>
      </c>
      <c r="AA6" s="71">
        <v>0</v>
      </c>
      <c r="AB6" s="72">
        <v>0</v>
      </c>
      <c r="AC6" s="74">
        <v>0</v>
      </c>
      <c r="AD6" s="72">
        <v>0</v>
      </c>
      <c r="AE6" s="74">
        <v>0</v>
      </c>
      <c r="AF6" s="72">
        <v>0</v>
      </c>
      <c r="AG6" s="74">
        <v>0</v>
      </c>
      <c r="AH6" s="72">
        <v>0</v>
      </c>
      <c r="AI6" s="74">
        <v>0</v>
      </c>
      <c r="AJ6" s="72">
        <v>0</v>
      </c>
      <c r="AK6" s="74">
        <v>0</v>
      </c>
      <c r="AL6" s="72">
        <v>0</v>
      </c>
      <c r="AM6" s="71">
        <v>0</v>
      </c>
      <c r="AN6" s="75">
        <v>0</v>
      </c>
      <c r="AO6" s="76">
        <f t="shared" si="0"/>
        <v>0</v>
      </c>
      <c r="AP6" s="77">
        <f t="shared" si="1"/>
        <v>0</v>
      </c>
      <c r="AQ6" s="77">
        <f t="shared" si="2"/>
        <v>0</v>
      </c>
      <c r="AR6" s="78">
        <f t="shared" si="3"/>
        <v>0</v>
      </c>
      <c r="AS6" s="79">
        <f t="shared" si="4"/>
        <v>0</v>
      </c>
      <c r="AT6" s="80">
        <f t="shared" si="5"/>
        <v>0</v>
      </c>
      <c r="AU6" s="80">
        <f t="shared" si="6"/>
        <v>0</v>
      </c>
      <c r="AV6" s="80">
        <f t="shared" si="7"/>
        <v>0</v>
      </c>
      <c r="AW6" s="80">
        <f t="shared" si="8"/>
        <v>0</v>
      </c>
      <c r="AX6" s="80">
        <f t="shared" si="9"/>
        <v>0</v>
      </c>
      <c r="AY6" s="76">
        <f t="shared" si="10"/>
        <v>0</v>
      </c>
      <c r="AZ6" s="81">
        <f t="shared" si="11"/>
        <v>0</v>
      </c>
      <c r="BA6" s="78">
        <f t="shared" si="12"/>
        <v>0</v>
      </c>
      <c r="BB6" s="79">
        <f>V6 - U6</f>
        <v>0</v>
      </c>
      <c r="BC6" s="82">
        <f>X6 - W6</f>
        <v>0</v>
      </c>
      <c r="BD6" s="82">
        <f>Z6 - Y6</f>
        <v>0</v>
      </c>
      <c r="BE6" s="82">
        <f>AB6 - AA6</f>
        <v>0</v>
      </c>
      <c r="BF6" s="82">
        <f>AD6 - AC6</f>
        <v>0</v>
      </c>
      <c r="BG6" s="82">
        <f>AF6 - AE6</f>
        <v>0</v>
      </c>
      <c r="BH6" s="82">
        <f>AH6 - AG6</f>
        <v>0</v>
      </c>
      <c r="BI6" s="82">
        <f>AJ6 - AI6</f>
        <v>0</v>
      </c>
      <c r="BJ6" s="82">
        <f>AL6 - AK6</f>
        <v>0</v>
      </c>
      <c r="BK6" s="82">
        <f>AN6 - AM6</f>
        <v>0</v>
      </c>
      <c r="BL6" s="83">
        <f>ROUNDUP(SUM(BB6:BK6) * 288, 0) / 288</f>
        <v>0</v>
      </c>
      <c r="BM6" s="70">
        <v>0</v>
      </c>
    </row>
    <row r="7" spans="1:65" x14ac:dyDescent="0.25">
      <c r="A7" s="71">
        <v>0</v>
      </c>
      <c r="B7" s="72">
        <v>0</v>
      </c>
      <c r="C7" s="71">
        <v>0</v>
      </c>
      <c r="D7" s="72">
        <v>0</v>
      </c>
      <c r="E7" s="71">
        <v>0</v>
      </c>
      <c r="F7" s="72">
        <v>0</v>
      </c>
      <c r="G7" s="71">
        <v>0</v>
      </c>
      <c r="H7" s="72">
        <v>0</v>
      </c>
      <c r="I7" s="71">
        <v>0</v>
      </c>
      <c r="J7" s="72">
        <v>0</v>
      </c>
      <c r="K7" s="71">
        <v>0</v>
      </c>
      <c r="L7" s="72">
        <v>0</v>
      </c>
      <c r="M7" s="71">
        <v>0</v>
      </c>
      <c r="N7" s="72">
        <v>0</v>
      </c>
      <c r="O7" s="71">
        <v>0</v>
      </c>
      <c r="P7" s="72">
        <v>0</v>
      </c>
      <c r="Q7" s="71">
        <v>0</v>
      </c>
      <c r="R7" s="72">
        <v>0</v>
      </c>
      <c r="S7" s="71">
        <v>0</v>
      </c>
      <c r="T7" s="72">
        <v>0</v>
      </c>
      <c r="U7" s="73">
        <v>0</v>
      </c>
      <c r="V7" s="72">
        <v>0</v>
      </c>
      <c r="W7" s="71">
        <v>0</v>
      </c>
      <c r="X7" s="72">
        <v>0</v>
      </c>
      <c r="Y7" s="71">
        <v>0</v>
      </c>
      <c r="Z7" s="72">
        <v>0</v>
      </c>
      <c r="AA7" s="71">
        <v>0</v>
      </c>
      <c r="AB7" s="72">
        <v>0</v>
      </c>
      <c r="AC7" s="74">
        <v>0</v>
      </c>
      <c r="AD7" s="72">
        <v>0</v>
      </c>
      <c r="AE7" s="74">
        <v>0</v>
      </c>
      <c r="AF7" s="72">
        <v>0</v>
      </c>
      <c r="AG7" s="74">
        <v>0</v>
      </c>
      <c r="AH7" s="72">
        <v>0</v>
      </c>
      <c r="AI7" s="74">
        <v>0</v>
      </c>
      <c r="AJ7" s="72">
        <v>0</v>
      </c>
      <c r="AK7" s="74">
        <v>0</v>
      </c>
      <c r="AL7" s="72">
        <v>0</v>
      </c>
      <c r="AM7" s="71">
        <v>0</v>
      </c>
      <c r="AN7" s="75">
        <v>0</v>
      </c>
      <c r="AO7" s="76">
        <f t="shared" si="0"/>
        <v>0</v>
      </c>
      <c r="AP7" s="77">
        <f t="shared" si="1"/>
        <v>0</v>
      </c>
      <c r="AQ7" s="77">
        <f t="shared" si="2"/>
        <v>0</v>
      </c>
      <c r="AR7" s="78">
        <f t="shared" si="3"/>
        <v>0</v>
      </c>
      <c r="AS7" s="79">
        <f t="shared" si="4"/>
        <v>0</v>
      </c>
      <c r="AT7" s="80">
        <f t="shared" si="5"/>
        <v>0</v>
      </c>
      <c r="AU7" s="80">
        <f t="shared" si="6"/>
        <v>0</v>
      </c>
      <c r="AV7" s="80">
        <f t="shared" si="7"/>
        <v>0</v>
      </c>
      <c r="AW7" s="80">
        <f t="shared" si="8"/>
        <v>0</v>
      </c>
      <c r="AX7" s="80">
        <f t="shared" si="9"/>
        <v>0</v>
      </c>
      <c r="AY7" s="76">
        <f t="shared" si="10"/>
        <v>0</v>
      </c>
      <c r="AZ7" s="81">
        <f t="shared" si="11"/>
        <v>0</v>
      </c>
      <c r="BA7" s="78">
        <f t="shared" si="12"/>
        <v>0</v>
      </c>
      <c r="BB7" s="79">
        <f>V7 - U7</f>
        <v>0</v>
      </c>
      <c r="BC7" s="82">
        <f>X7 - W7</f>
        <v>0</v>
      </c>
      <c r="BD7" s="82">
        <f>Z7 - Y7</f>
        <v>0</v>
      </c>
      <c r="BE7" s="82">
        <f>AB7 - AA7</f>
        <v>0</v>
      </c>
      <c r="BF7" s="82">
        <f>AD7 - AC7</f>
        <v>0</v>
      </c>
      <c r="BG7" s="82">
        <f>AF7 - AE7</f>
        <v>0</v>
      </c>
      <c r="BH7" s="82">
        <f>AH7 - AG7</f>
        <v>0</v>
      </c>
      <c r="BI7" s="82">
        <f>AJ7 - AI7</f>
        <v>0</v>
      </c>
      <c r="BJ7" s="82">
        <f>AL7 - AK7</f>
        <v>0</v>
      </c>
      <c r="BK7" s="82">
        <f>AN7 - AM7</f>
        <v>0</v>
      </c>
      <c r="BL7" s="83">
        <f>ROUNDUP(SUM(BB7:BK7) * 288, 0) / 288</f>
        <v>0</v>
      </c>
      <c r="BM7" s="70">
        <v>0</v>
      </c>
    </row>
    <row r="8" spans="1:65" x14ac:dyDescent="0.25">
      <c r="A8" s="71">
        <v>0</v>
      </c>
      <c r="B8" s="72">
        <v>0</v>
      </c>
      <c r="C8" s="71">
        <v>0</v>
      </c>
      <c r="D8" s="72">
        <v>0</v>
      </c>
      <c r="E8" s="71">
        <v>0</v>
      </c>
      <c r="F8" s="72">
        <v>0</v>
      </c>
      <c r="G8" s="71">
        <v>0</v>
      </c>
      <c r="H8" s="72">
        <v>0</v>
      </c>
      <c r="I8" s="71">
        <v>0</v>
      </c>
      <c r="J8" s="72">
        <v>0</v>
      </c>
      <c r="K8" s="71">
        <v>0</v>
      </c>
      <c r="L8" s="72">
        <v>0</v>
      </c>
      <c r="M8" s="71">
        <v>0</v>
      </c>
      <c r="N8" s="72">
        <v>0</v>
      </c>
      <c r="O8" s="71">
        <v>0</v>
      </c>
      <c r="P8" s="72">
        <v>0</v>
      </c>
      <c r="Q8" s="71">
        <v>0</v>
      </c>
      <c r="R8" s="72">
        <v>0</v>
      </c>
      <c r="S8" s="71">
        <v>0</v>
      </c>
      <c r="T8" s="72">
        <v>0</v>
      </c>
      <c r="U8" s="73">
        <v>0</v>
      </c>
      <c r="V8" s="72">
        <v>0</v>
      </c>
      <c r="W8" s="71">
        <v>0</v>
      </c>
      <c r="X8" s="72">
        <v>0</v>
      </c>
      <c r="Y8" s="71">
        <v>0</v>
      </c>
      <c r="Z8" s="72">
        <v>0</v>
      </c>
      <c r="AA8" s="71">
        <v>0</v>
      </c>
      <c r="AB8" s="72">
        <v>0</v>
      </c>
      <c r="AC8" s="74">
        <v>0</v>
      </c>
      <c r="AD8" s="72">
        <v>0</v>
      </c>
      <c r="AE8" s="74">
        <v>0</v>
      </c>
      <c r="AF8" s="72">
        <v>0</v>
      </c>
      <c r="AG8" s="74">
        <v>0</v>
      </c>
      <c r="AH8" s="72">
        <v>0</v>
      </c>
      <c r="AI8" s="74">
        <v>0</v>
      </c>
      <c r="AJ8" s="72">
        <v>0</v>
      </c>
      <c r="AK8" s="74">
        <v>0</v>
      </c>
      <c r="AL8" s="72">
        <v>0</v>
      </c>
      <c r="AM8" s="71">
        <v>0</v>
      </c>
      <c r="AN8" s="75">
        <v>0</v>
      </c>
      <c r="AO8" s="76">
        <f t="shared" si="0"/>
        <v>0</v>
      </c>
      <c r="AP8" s="77">
        <f t="shared" si="1"/>
        <v>0</v>
      </c>
      <c r="AQ8" s="77">
        <f t="shared" si="2"/>
        <v>0</v>
      </c>
      <c r="AR8" s="78">
        <f t="shared" si="3"/>
        <v>0</v>
      </c>
      <c r="AS8" s="79">
        <f t="shared" si="4"/>
        <v>0</v>
      </c>
      <c r="AT8" s="80">
        <f t="shared" si="5"/>
        <v>0</v>
      </c>
      <c r="AU8" s="80">
        <f t="shared" si="6"/>
        <v>0</v>
      </c>
      <c r="AV8" s="80">
        <f t="shared" si="7"/>
        <v>0</v>
      </c>
      <c r="AW8" s="80">
        <f t="shared" si="8"/>
        <v>0</v>
      </c>
      <c r="AX8" s="80">
        <f t="shared" si="9"/>
        <v>0</v>
      </c>
      <c r="AY8" s="76">
        <f t="shared" si="10"/>
        <v>0</v>
      </c>
      <c r="AZ8" s="81">
        <f t="shared" si="11"/>
        <v>0</v>
      </c>
      <c r="BA8" s="78">
        <f t="shared" si="12"/>
        <v>0</v>
      </c>
      <c r="BB8" s="79">
        <f>V8 - U8</f>
        <v>0</v>
      </c>
      <c r="BC8" s="82">
        <f>X8 - W8</f>
        <v>0</v>
      </c>
      <c r="BD8" s="82">
        <f>Z8 - Y8</f>
        <v>0</v>
      </c>
      <c r="BE8" s="82">
        <f>AB8 - AA8</f>
        <v>0</v>
      </c>
      <c r="BF8" s="82">
        <f>AD8 - AC8</f>
        <v>0</v>
      </c>
      <c r="BG8" s="82">
        <f>AF8 - AE8</f>
        <v>0</v>
      </c>
      <c r="BH8" s="82">
        <f>AH8 - AG8</f>
        <v>0</v>
      </c>
      <c r="BI8" s="82">
        <f>AJ8 - AI8</f>
        <v>0</v>
      </c>
      <c r="BJ8" s="82">
        <f>AL8 - AK8</f>
        <v>0</v>
      </c>
      <c r="BK8" s="82">
        <f>AN8 - AM8</f>
        <v>0</v>
      </c>
      <c r="BL8" s="83">
        <f>ROUNDUP(SUM(BB8:BK8) * 288, 0) / 288</f>
        <v>0</v>
      </c>
      <c r="BM8" s="70">
        <v>0</v>
      </c>
    </row>
    <row r="9" spans="1:65" x14ac:dyDescent="0.25">
      <c r="A9" s="71">
        <v>0</v>
      </c>
      <c r="B9" s="72">
        <v>0</v>
      </c>
      <c r="C9" s="71">
        <v>0</v>
      </c>
      <c r="D9" s="72">
        <v>0</v>
      </c>
      <c r="E9" s="71">
        <v>0</v>
      </c>
      <c r="F9" s="72">
        <v>0</v>
      </c>
      <c r="G9" s="71">
        <v>0</v>
      </c>
      <c r="H9" s="72">
        <v>0</v>
      </c>
      <c r="I9" s="71">
        <v>0</v>
      </c>
      <c r="J9" s="72">
        <v>0</v>
      </c>
      <c r="K9" s="71">
        <v>0</v>
      </c>
      <c r="L9" s="72">
        <v>0</v>
      </c>
      <c r="M9" s="71">
        <v>0</v>
      </c>
      <c r="N9" s="72">
        <v>0</v>
      </c>
      <c r="O9" s="71">
        <v>0</v>
      </c>
      <c r="P9" s="72">
        <v>0</v>
      </c>
      <c r="Q9" s="71">
        <v>0</v>
      </c>
      <c r="R9" s="72">
        <v>0</v>
      </c>
      <c r="S9" s="71">
        <v>0</v>
      </c>
      <c r="T9" s="72">
        <v>0</v>
      </c>
      <c r="U9" s="73">
        <v>0</v>
      </c>
      <c r="V9" s="72">
        <v>0</v>
      </c>
      <c r="W9" s="71">
        <v>0</v>
      </c>
      <c r="X9" s="72">
        <v>0</v>
      </c>
      <c r="Y9" s="71">
        <v>0</v>
      </c>
      <c r="Z9" s="72">
        <v>0</v>
      </c>
      <c r="AA9" s="71">
        <v>0</v>
      </c>
      <c r="AB9" s="72">
        <v>0</v>
      </c>
      <c r="AC9" s="74">
        <v>0</v>
      </c>
      <c r="AD9" s="72">
        <v>0</v>
      </c>
      <c r="AE9" s="74">
        <v>0</v>
      </c>
      <c r="AF9" s="72">
        <v>0</v>
      </c>
      <c r="AG9" s="74">
        <v>0</v>
      </c>
      <c r="AH9" s="72">
        <v>0</v>
      </c>
      <c r="AI9" s="74">
        <v>0</v>
      </c>
      <c r="AJ9" s="72">
        <v>0</v>
      </c>
      <c r="AK9" s="74">
        <v>0</v>
      </c>
      <c r="AL9" s="72">
        <v>0</v>
      </c>
      <c r="AM9" s="71">
        <v>0</v>
      </c>
      <c r="AN9" s="75">
        <v>0</v>
      </c>
      <c r="AO9" s="76">
        <f t="shared" si="0"/>
        <v>0</v>
      </c>
      <c r="AP9" s="77">
        <f t="shared" si="1"/>
        <v>0</v>
      </c>
      <c r="AQ9" s="77">
        <f t="shared" si="2"/>
        <v>0</v>
      </c>
      <c r="AR9" s="78">
        <f t="shared" si="3"/>
        <v>0</v>
      </c>
      <c r="AS9" s="79">
        <f t="shared" si="4"/>
        <v>0</v>
      </c>
      <c r="AT9" s="80">
        <f t="shared" si="5"/>
        <v>0</v>
      </c>
      <c r="AU9" s="80">
        <f t="shared" si="6"/>
        <v>0</v>
      </c>
      <c r="AV9" s="80">
        <f t="shared" si="7"/>
        <v>0</v>
      </c>
      <c r="AW9" s="80">
        <f t="shared" si="8"/>
        <v>0</v>
      </c>
      <c r="AX9" s="80">
        <f t="shared" si="9"/>
        <v>0</v>
      </c>
      <c r="AY9" s="76">
        <f t="shared" si="10"/>
        <v>0</v>
      </c>
      <c r="AZ9" s="81">
        <f t="shared" si="11"/>
        <v>0</v>
      </c>
      <c r="BA9" s="78">
        <f t="shared" si="12"/>
        <v>0</v>
      </c>
      <c r="BB9" s="79">
        <f>V9 - U9</f>
        <v>0</v>
      </c>
      <c r="BC9" s="82">
        <f>X9 - W9</f>
        <v>0</v>
      </c>
      <c r="BD9" s="82">
        <f>Z9 - Y9</f>
        <v>0</v>
      </c>
      <c r="BE9" s="82">
        <f>AB9 - AA9</f>
        <v>0</v>
      </c>
      <c r="BF9" s="82">
        <f>AD9 - AC9</f>
        <v>0</v>
      </c>
      <c r="BG9" s="82">
        <f>AF9 - AE9</f>
        <v>0</v>
      </c>
      <c r="BH9" s="82">
        <f>AH9 - AG9</f>
        <v>0</v>
      </c>
      <c r="BI9" s="82">
        <f>AJ9 - AI9</f>
        <v>0</v>
      </c>
      <c r="BJ9" s="82">
        <f>AL9 - AK9</f>
        <v>0</v>
      </c>
      <c r="BK9" s="82">
        <f>AN9 - AM9</f>
        <v>0</v>
      </c>
      <c r="BL9" s="83">
        <f>ROUNDUP(SUM(BB9:BK9) * 288, 0) / 288</f>
        <v>0</v>
      </c>
      <c r="BM9" s="70">
        <v>0</v>
      </c>
    </row>
    <row r="10" spans="1:65" x14ac:dyDescent="0.25">
      <c r="A10" s="71">
        <v>0</v>
      </c>
      <c r="B10" s="72">
        <v>0</v>
      </c>
      <c r="C10" s="71">
        <v>0</v>
      </c>
      <c r="D10" s="72">
        <v>0</v>
      </c>
      <c r="E10" s="71">
        <v>0</v>
      </c>
      <c r="F10" s="72">
        <v>0</v>
      </c>
      <c r="G10" s="71">
        <v>0</v>
      </c>
      <c r="H10" s="72">
        <v>0</v>
      </c>
      <c r="I10" s="71">
        <v>0</v>
      </c>
      <c r="J10" s="72">
        <v>0</v>
      </c>
      <c r="K10" s="71">
        <v>0</v>
      </c>
      <c r="L10" s="72">
        <v>0</v>
      </c>
      <c r="M10" s="71">
        <v>0</v>
      </c>
      <c r="N10" s="72">
        <v>0</v>
      </c>
      <c r="O10" s="71">
        <v>0</v>
      </c>
      <c r="P10" s="72">
        <v>0</v>
      </c>
      <c r="Q10" s="71">
        <v>0</v>
      </c>
      <c r="R10" s="72">
        <v>0</v>
      </c>
      <c r="S10" s="71">
        <v>0</v>
      </c>
      <c r="T10" s="72">
        <v>0</v>
      </c>
      <c r="U10" s="73">
        <v>0</v>
      </c>
      <c r="V10" s="72">
        <v>0</v>
      </c>
      <c r="W10" s="71">
        <v>0</v>
      </c>
      <c r="X10" s="72">
        <v>0</v>
      </c>
      <c r="Y10" s="71">
        <v>0</v>
      </c>
      <c r="Z10" s="72">
        <v>0</v>
      </c>
      <c r="AA10" s="71">
        <v>0</v>
      </c>
      <c r="AB10" s="72">
        <v>0</v>
      </c>
      <c r="AC10" s="74">
        <v>0</v>
      </c>
      <c r="AD10" s="72">
        <v>0</v>
      </c>
      <c r="AE10" s="74">
        <v>0</v>
      </c>
      <c r="AF10" s="72">
        <v>0</v>
      </c>
      <c r="AG10" s="74">
        <v>0</v>
      </c>
      <c r="AH10" s="72">
        <v>0</v>
      </c>
      <c r="AI10" s="74">
        <v>0</v>
      </c>
      <c r="AJ10" s="72">
        <v>0</v>
      </c>
      <c r="AK10" s="74">
        <v>0</v>
      </c>
      <c r="AL10" s="72">
        <v>0</v>
      </c>
      <c r="AM10" s="71">
        <v>0</v>
      </c>
      <c r="AN10" s="75">
        <v>0</v>
      </c>
      <c r="AO10" s="76">
        <f t="shared" si="0"/>
        <v>0</v>
      </c>
      <c r="AP10" s="77">
        <f t="shared" si="1"/>
        <v>0</v>
      </c>
      <c r="AQ10" s="77">
        <f t="shared" si="2"/>
        <v>0</v>
      </c>
      <c r="AR10" s="78">
        <f t="shared" si="3"/>
        <v>0</v>
      </c>
      <c r="AS10" s="79">
        <f t="shared" si="4"/>
        <v>0</v>
      </c>
      <c r="AT10" s="80">
        <f t="shared" si="5"/>
        <v>0</v>
      </c>
      <c r="AU10" s="80">
        <f t="shared" si="6"/>
        <v>0</v>
      </c>
      <c r="AV10" s="80">
        <f t="shared" si="7"/>
        <v>0</v>
      </c>
      <c r="AW10" s="80">
        <f t="shared" si="8"/>
        <v>0</v>
      </c>
      <c r="AX10" s="80">
        <f t="shared" si="9"/>
        <v>0</v>
      </c>
      <c r="AY10" s="76">
        <f t="shared" si="10"/>
        <v>0</v>
      </c>
      <c r="AZ10" s="81">
        <f t="shared" si="11"/>
        <v>0</v>
      </c>
      <c r="BA10" s="78">
        <f t="shared" si="12"/>
        <v>0</v>
      </c>
      <c r="BB10" s="79">
        <f>V10 - U10</f>
        <v>0</v>
      </c>
      <c r="BC10" s="82">
        <f>X10 - W10</f>
        <v>0</v>
      </c>
      <c r="BD10" s="82">
        <f>Z10 - Y10</f>
        <v>0</v>
      </c>
      <c r="BE10" s="82">
        <f>AB10 - AA10</f>
        <v>0</v>
      </c>
      <c r="BF10" s="82">
        <f>AD10 - AC10</f>
        <v>0</v>
      </c>
      <c r="BG10" s="82">
        <f>AF10 - AE10</f>
        <v>0</v>
      </c>
      <c r="BH10" s="82">
        <f>AH10 - AG10</f>
        <v>0</v>
      </c>
      <c r="BI10" s="82">
        <f>AJ10 - AI10</f>
        <v>0</v>
      </c>
      <c r="BJ10" s="82">
        <f>AL10 - AK10</f>
        <v>0</v>
      </c>
      <c r="BK10" s="82">
        <f>AN10 - AM10</f>
        <v>0</v>
      </c>
      <c r="BL10" s="83">
        <f>ROUNDUP(SUM(BB10:BK10) * 288, 0) / 288</f>
        <v>0</v>
      </c>
      <c r="BM10" s="70">
        <v>0</v>
      </c>
    </row>
    <row r="11" spans="1:65" x14ac:dyDescent="0.25">
      <c r="A11" s="71">
        <v>0</v>
      </c>
      <c r="B11" s="72">
        <v>0</v>
      </c>
      <c r="C11" s="71">
        <v>0</v>
      </c>
      <c r="D11" s="72">
        <v>0</v>
      </c>
      <c r="E11" s="71">
        <v>0</v>
      </c>
      <c r="F11" s="72">
        <v>0</v>
      </c>
      <c r="G11" s="71">
        <v>0</v>
      </c>
      <c r="H11" s="72">
        <v>0</v>
      </c>
      <c r="I11" s="71">
        <v>0</v>
      </c>
      <c r="J11" s="72">
        <v>0</v>
      </c>
      <c r="K11" s="71">
        <v>0</v>
      </c>
      <c r="L11" s="72">
        <v>0</v>
      </c>
      <c r="M11" s="71">
        <v>0</v>
      </c>
      <c r="N11" s="72">
        <v>0</v>
      </c>
      <c r="O11" s="71">
        <v>0</v>
      </c>
      <c r="P11" s="72">
        <v>0</v>
      </c>
      <c r="Q11" s="71">
        <v>0</v>
      </c>
      <c r="R11" s="72">
        <v>0</v>
      </c>
      <c r="S11" s="71">
        <v>0</v>
      </c>
      <c r="T11" s="72">
        <v>0</v>
      </c>
      <c r="U11" s="73">
        <v>0</v>
      </c>
      <c r="V11" s="72">
        <v>0</v>
      </c>
      <c r="W11" s="71">
        <v>0</v>
      </c>
      <c r="X11" s="72">
        <v>0</v>
      </c>
      <c r="Y11" s="71">
        <v>0</v>
      </c>
      <c r="Z11" s="72">
        <v>0</v>
      </c>
      <c r="AA11" s="71">
        <v>0</v>
      </c>
      <c r="AB11" s="72">
        <v>0</v>
      </c>
      <c r="AC11" s="74">
        <v>0</v>
      </c>
      <c r="AD11" s="72">
        <v>0</v>
      </c>
      <c r="AE11" s="74">
        <v>0</v>
      </c>
      <c r="AF11" s="72">
        <v>0</v>
      </c>
      <c r="AG11" s="74">
        <v>0</v>
      </c>
      <c r="AH11" s="72">
        <v>0</v>
      </c>
      <c r="AI11" s="74">
        <v>0</v>
      </c>
      <c r="AJ11" s="72">
        <v>0</v>
      </c>
      <c r="AK11" s="74">
        <v>0</v>
      </c>
      <c r="AL11" s="72">
        <v>0</v>
      </c>
      <c r="AM11" s="71">
        <v>0</v>
      </c>
      <c r="AN11" s="75">
        <v>0</v>
      </c>
      <c r="AO11" s="76">
        <f t="shared" si="0"/>
        <v>0</v>
      </c>
      <c r="AP11" s="77">
        <f t="shared" si="1"/>
        <v>0</v>
      </c>
      <c r="AQ11" s="77">
        <f t="shared" si="2"/>
        <v>0</v>
      </c>
      <c r="AR11" s="78">
        <f t="shared" si="3"/>
        <v>0</v>
      </c>
      <c r="AS11" s="79">
        <f t="shared" si="4"/>
        <v>0</v>
      </c>
      <c r="AT11" s="80">
        <f t="shared" si="5"/>
        <v>0</v>
      </c>
      <c r="AU11" s="80">
        <f t="shared" si="6"/>
        <v>0</v>
      </c>
      <c r="AV11" s="80">
        <f t="shared" si="7"/>
        <v>0</v>
      </c>
      <c r="AW11" s="80">
        <f t="shared" si="8"/>
        <v>0</v>
      </c>
      <c r="AX11" s="80">
        <f t="shared" si="9"/>
        <v>0</v>
      </c>
      <c r="AY11" s="76">
        <f t="shared" si="10"/>
        <v>0</v>
      </c>
      <c r="AZ11" s="81">
        <f t="shared" si="11"/>
        <v>0</v>
      </c>
      <c r="BA11" s="78">
        <f t="shared" si="12"/>
        <v>0</v>
      </c>
      <c r="BB11" s="79">
        <f>V11 - U11</f>
        <v>0</v>
      </c>
      <c r="BC11" s="82">
        <f>X11 - W11</f>
        <v>0</v>
      </c>
      <c r="BD11" s="82">
        <f>Z11 - Y11</f>
        <v>0</v>
      </c>
      <c r="BE11" s="82">
        <f>AB11 - AA11</f>
        <v>0</v>
      </c>
      <c r="BF11" s="82">
        <f>AD11 - AC11</f>
        <v>0</v>
      </c>
      <c r="BG11" s="82">
        <f>AF11 - AE11</f>
        <v>0</v>
      </c>
      <c r="BH11" s="82">
        <f>AH11 - AG11</f>
        <v>0</v>
      </c>
      <c r="BI11" s="82">
        <f>AJ11 - AI11</f>
        <v>0</v>
      </c>
      <c r="BJ11" s="82">
        <f>AL11 - AK11</f>
        <v>0</v>
      </c>
      <c r="BK11" s="82">
        <f>AN11 - AM11</f>
        <v>0</v>
      </c>
      <c r="BL11" s="83">
        <f>ROUNDUP(SUM(BB11:BK11) * 288, 0) / 288</f>
        <v>0</v>
      </c>
      <c r="BM11" s="70">
        <v>0</v>
      </c>
    </row>
    <row r="12" spans="1:65" x14ac:dyDescent="0.25">
      <c r="A12" s="71">
        <v>0</v>
      </c>
      <c r="B12" s="72">
        <v>0</v>
      </c>
      <c r="C12" s="71">
        <v>0</v>
      </c>
      <c r="D12" s="72">
        <v>0</v>
      </c>
      <c r="E12" s="71">
        <v>0</v>
      </c>
      <c r="F12" s="72">
        <v>0</v>
      </c>
      <c r="G12" s="71">
        <v>0</v>
      </c>
      <c r="H12" s="72">
        <v>0</v>
      </c>
      <c r="I12" s="71">
        <v>0</v>
      </c>
      <c r="J12" s="72">
        <v>0</v>
      </c>
      <c r="K12" s="71">
        <v>0</v>
      </c>
      <c r="L12" s="72">
        <v>0</v>
      </c>
      <c r="M12" s="71">
        <v>0</v>
      </c>
      <c r="N12" s="72">
        <v>0</v>
      </c>
      <c r="O12" s="71">
        <v>0</v>
      </c>
      <c r="P12" s="72">
        <v>0</v>
      </c>
      <c r="Q12" s="71">
        <v>0</v>
      </c>
      <c r="R12" s="72">
        <v>0</v>
      </c>
      <c r="S12" s="71">
        <v>0</v>
      </c>
      <c r="T12" s="72">
        <v>0</v>
      </c>
      <c r="U12" s="73">
        <v>0</v>
      </c>
      <c r="V12" s="72">
        <v>0</v>
      </c>
      <c r="W12" s="71">
        <v>0</v>
      </c>
      <c r="X12" s="72">
        <v>0</v>
      </c>
      <c r="Y12" s="71">
        <v>0</v>
      </c>
      <c r="Z12" s="72">
        <v>0</v>
      </c>
      <c r="AA12" s="71">
        <v>0</v>
      </c>
      <c r="AB12" s="72">
        <v>0</v>
      </c>
      <c r="AC12" s="74">
        <v>0</v>
      </c>
      <c r="AD12" s="72">
        <v>0</v>
      </c>
      <c r="AE12" s="74">
        <v>0</v>
      </c>
      <c r="AF12" s="72">
        <v>0</v>
      </c>
      <c r="AG12" s="74">
        <v>0</v>
      </c>
      <c r="AH12" s="72">
        <v>0</v>
      </c>
      <c r="AI12" s="74">
        <v>0</v>
      </c>
      <c r="AJ12" s="72">
        <v>0</v>
      </c>
      <c r="AK12" s="74">
        <v>0</v>
      </c>
      <c r="AL12" s="72">
        <v>0</v>
      </c>
      <c r="AM12" s="71">
        <v>0</v>
      </c>
      <c r="AN12" s="75">
        <v>0</v>
      </c>
      <c r="AO12" s="76">
        <f t="shared" si="0"/>
        <v>0</v>
      </c>
      <c r="AP12" s="77">
        <f t="shared" si="1"/>
        <v>0</v>
      </c>
      <c r="AQ12" s="77">
        <f t="shared" si="2"/>
        <v>0</v>
      </c>
      <c r="AR12" s="78">
        <f t="shared" si="3"/>
        <v>0</v>
      </c>
      <c r="AS12" s="79">
        <f t="shared" si="4"/>
        <v>0</v>
      </c>
      <c r="AT12" s="80">
        <f t="shared" si="5"/>
        <v>0</v>
      </c>
      <c r="AU12" s="80">
        <f t="shared" si="6"/>
        <v>0</v>
      </c>
      <c r="AV12" s="80">
        <f t="shared" si="7"/>
        <v>0</v>
      </c>
      <c r="AW12" s="80">
        <f t="shared" si="8"/>
        <v>0</v>
      </c>
      <c r="AX12" s="80">
        <f t="shared" si="9"/>
        <v>0</v>
      </c>
      <c r="AY12" s="76">
        <f t="shared" si="10"/>
        <v>0</v>
      </c>
      <c r="AZ12" s="81">
        <f t="shared" si="11"/>
        <v>0</v>
      </c>
      <c r="BA12" s="78">
        <f t="shared" si="12"/>
        <v>0</v>
      </c>
      <c r="BB12" s="79">
        <f>V12 - U12</f>
        <v>0</v>
      </c>
      <c r="BC12" s="82">
        <f>X12 - W12</f>
        <v>0</v>
      </c>
      <c r="BD12" s="82">
        <f>Z12 - Y12</f>
        <v>0</v>
      </c>
      <c r="BE12" s="82">
        <f>AB12 - AA12</f>
        <v>0</v>
      </c>
      <c r="BF12" s="82">
        <f>AD12 - AC12</f>
        <v>0</v>
      </c>
      <c r="BG12" s="82">
        <f>AF12 - AE12</f>
        <v>0</v>
      </c>
      <c r="BH12" s="82">
        <f>AH12 - AG12</f>
        <v>0</v>
      </c>
      <c r="BI12" s="82">
        <f>AJ12 - AI12</f>
        <v>0</v>
      </c>
      <c r="BJ12" s="82">
        <f>AL12 - AK12</f>
        <v>0</v>
      </c>
      <c r="BK12" s="82">
        <f>AN12 - AM12</f>
        <v>0</v>
      </c>
      <c r="BL12" s="83">
        <f>ROUNDUP(SUM(BB12:BK12) * 288, 0) / 288</f>
        <v>0</v>
      </c>
      <c r="BM12" s="70">
        <v>0</v>
      </c>
    </row>
    <row r="13" spans="1:65" x14ac:dyDescent="0.25">
      <c r="A13" s="71">
        <v>0</v>
      </c>
      <c r="B13" s="72">
        <v>0</v>
      </c>
      <c r="C13" s="71">
        <v>0</v>
      </c>
      <c r="D13" s="72">
        <v>0</v>
      </c>
      <c r="E13" s="71">
        <v>0</v>
      </c>
      <c r="F13" s="72">
        <v>0</v>
      </c>
      <c r="G13" s="71">
        <v>0</v>
      </c>
      <c r="H13" s="72">
        <v>0</v>
      </c>
      <c r="I13" s="71">
        <v>0</v>
      </c>
      <c r="J13" s="72">
        <v>0</v>
      </c>
      <c r="K13" s="71">
        <v>0</v>
      </c>
      <c r="L13" s="72">
        <v>0</v>
      </c>
      <c r="M13" s="71">
        <v>0</v>
      </c>
      <c r="N13" s="72">
        <v>0</v>
      </c>
      <c r="O13" s="71">
        <v>0</v>
      </c>
      <c r="P13" s="72">
        <v>0</v>
      </c>
      <c r="Q13" s="71">
        <v>0</v>
      </c>
      <c r="R13" s="72">
        <v>0</v>
      </c>
      <c r="S13" s="71">
        <v>0</v>
      </c>
      <c r="T13" s="72">
        <v>0</v>
      </c>
      <c r="U13" s="73">
        <v>0</v>
      </c>
      <c r="V13" s="72">
        <v>0</v>
      </c>
      <c r="W13" s="71">
        <v>0</v>
      </c>
      <c r="X13" s="72">
        <v>0</v>
      </c>
      <c r="Y13" s="71">
        <v>0</v>
      </c>
      <c r="Z13" s="72">
        <v>0</v>
      </c>
      <c r="AA13" s="71">
        <v>0</v>
      </c>
      <c r="AB13" s="72">
        <v>0</v>
      </c>
      <c r="AC13" s="74">
        <v>0</v>
      </c>
      <c r="AD13" s="72">
        <v>0</v>
      </c>
      <c r="AE13" s="74">
        <v>0</v>
      </c>
      <c r="AF13" s="72">
        <v>0</v>
      </c>
      <c r="AG13" s="74">
        <v>0</v>
      </c>
      <c r="AH13" s="72">
        <v>0</v>
      </c>
      <c r="AI13" s="74">
        <v>0</v>
      </c>
      <c r="AJ13" s="72">
        <v>0</v>
      </c>
      <c r="AK13" s="74">
        <v>0</v>
      </c>
      <c r="AL13" s="72">
        <v>0</v>
      </c>
      <c r="AM13" s="71">
        <v>0</v>
      </c>
      <c r="AN13" s="75">
        <v>0</v>
      </c>
      <c r="AO13" s="76">
        <f t="shared" si="0"/>
        <v>0</v>
      </c>
      <c r="AP13" s="77">
        <f t="shared" si="1"/>
        <v>0</v>
      </c>
      <c r="AQ13" s="77">
        <f t="shared" si="2"/>
        <v>0</v>
      </c>
      <c r="AR13" s="78">
        <f t="shared" si="3"/>
        <v>0</v>
      </c>
      <c r="AS13" s="79">
        <f t="shared" si="4"/>
        <v>0</v>
      </c>
      <c r="AT13" s="80">
        <f t="shared" si="5"/>
        <v>0</v>
      </c>
      <c r="AU13" s="80">
        <f t="shared" si="6"/>
        <v>0</v>
      </c>
      <c r="AV13" s="80">
        <f t="shared" si="7"/>
        <v>0</v>
      </c>
      <c r="AW13" s="80">
        <f t="shared" si="8"/>
        <v>0</v>
      </c>
      <c r="AX13" s="80">
        <f t="shared" si="9"/>
        <v>0</v>
      </c>
      <c r="AY13" s="76">
        <f t="shared" si="10"/>
        <v>0</v>
      </c>
      <c r="AZ13" s="81">
        <f t="shared" si="11"/>
        <v>0</v>
      </c>
      <c r="BA13" s="78">
        <f t="shared" si="12"/>
        <v>0</v>
      </c>
      <c r="BB13" s="79">
        <f>V13 - U13</f>
        <v>0</v>
      </c>
      <c r="BC13" s="82">
        <f>X13 - W13</f>
        <v>0</v>
      </c>
      <c r="BD13" s="82">
        <f>Z13 - Y13</f>
        <v>0</v>
      </c>
      <c r="BE13" s="82">
        <f>AB13 - AA13</f>
        <v>0</v>
      </c>
      <c r="BF13" s="82">
        <f>AD13 - AC13</f>
        <v>0</v>
      </c>
      <c r="BG13" s="82">
        <f>AF13 - AE13</f>
        <v>0</v>
      </c>
      <c r="BH13" s="82">
        <f>AH13 - AG13</f>
        <v>0</v>
      </c>
      <c r="BI13" s="82">
        <f>AJ13 - AI13</f>
        <v>0</v>
      </c>
      <c r="BJ13" s="82">
        <f>AL13 - AK13</f>
        <v>0</v>
      </c>
      <c r="BK13" s="82">
        <f>AN13 - AM13</f>
        <v>0</v>
      </c>
      <c r="BL13" s="83">
        <f>ROUNDUP(SUM(BB13:BK13) * 288, 0) / 288</f>
        <v>0</v>
      </c>
      <c r="BM13" s="70">
        <v>0</v>
      </c>
    </row>
    <row r="14" spans="1:65" x14ac:dyDescent="0.25">
      <c r="A14" s="71">
        <v>0</v>
      </c>
      <c r="B14" s="72">
        <v>0</v>
      </c>
      <c r="C14" s="71">
        <v>0</v>
      </c>
      <c r="D14" s="72">
        <v>0</v>
      </c>
      <c r="E14" s="71">
        <v>0</v>
      </c>
      <c r="F14" s="72">
        <v>0</v>
      </c>
      <c r="G14" s="71">
        <v>0</v>
      </c>
      <c r="H14" s="72">
        <v>0</v>
      </c>
      <c r="I14" s="71">
        <v>0</v>
      </c>
      <c r="J14" s="72">
        <v>0</v>
      </c>
      <c r="K14" s="71">
        <v>0</v>
      </c>
      <c r="L14" s="72">
        <v>0</v>
      </c>
      <c r="M14" s="71">
        <v>0</v>
      </c>
      <c r="N14" s="72">
        <v>0</v>
      </c>
      <c r="O14" s="71">
        <v>0</v>
      </c>
      <c r="P14" s="72">
        <v>0</v>
      </c>
      <c r="Q14" s="71">
        <v>0</v>
      </c>
      <c r="R14" s="72">
        <v>0</v>
      </c>
      <c r="S14" s="71">
        <v>0</v>
      </c>
      <c r="T14" s="72">
        <v>0</v>
      </c>
      <c r="U14" s="73">
        <v>0</v>
      </c>
      <c r="V14" s="72">
        <v>0</v>
      </c>
      <c r="W14" s="71">
        <v>0</v>
      </c>
      <c r="X14" s="72">
        <v>0</v>
      </c>
      <c r="Y14" s="71">
        <v>0</v>
      </c>
      <c r="Z14" s="72">
        <v>0</v>
      </c>
      <c r="AA14" s="71">
        <v>0</v>
      </c>
      <c r="AB14" s="72">
        <v>0</v>
      </c>
      <c r="AC14" s="74">
        <v>0</v>
      </c>
      <c r="AD14" s="72">
        <v>0</v>
      </c>
      <c r="AE14" s="74">
        <v>0</v>
      </c>
      <c r="AF14" s="72">
        <v>0</v>
      </c>
      <c r="AG14" s="74">
        <v>0</v>
      </c>
      <c r="AH14" s="72">
        <v>0</v>
      </c>
      <c r="AI14" s="74">
        <v>0</v>
      </c>
      <c r="AJ14" s="72">
        <v>0</v>
      </c>
      <c r="AK14" s="74">
        <v>0</v>
      </c>
      <c r="AL14" s="72">
        <v>0</v>
      </c>
      <c r="AM14" s="71">
        <v>0</v>
      </c>
      <c r="AN14" s="75">
        <v>0</v>
      </c>
      <c r="AO14" s="76">
        <f t="shared" si="0"/>
        <v>0</v>
      </c>
      <c r="AP14" s="77">
        <f t="shared" si="1"/>
        <v>0</v>
      </c>
      <c r="AQ14" s="77">
        <f t="shared" si="2"/>
        <v>0</v>
      </c>
      <c r="AR14" s="78">
        <f t="shared" si="3"/>
        <v>0</v>
      </c>
      <c r="AS14" s="79">
        <f t="shared" si="4"/>
        <v>0</v>
      </c>
      <c r="AT14" s="80">
        <f t="shared" si="5"/>
        <v>0</v>
      </c>
      <c r="AU14" s="80">
        <f t="shared" si="6"/>
        <v>0</v>
      </c>
      <c r="AV14" s="80">
        <f t="shared" si="7"/>
        <v>0</v>
      </c>
      <c r="AW14" s="80">
        <f t="shared" si="8"/>
        <v>0</v>
      </c>
      <c r="AX14" s="80">
        <f t="shared" si="9"/>
        <v>0</v>
      </c>
      <c r="AY14" s="76">
        <f t="shared" si="10"/>
        <v>0</v>
      </c>
      <c r="AZ14" s="81">
        <f t="shared" si="11"/>
        <v>0</v>
      </c>
      <c r="BA14" s="78">
        <f t="shared" si="12"/>
        <v>0</v>
      </c>
      <c r="BB14" s="79">
        <f>V14 - U14</f>
        <v>0</v>
      </c>
      <c r="BC14" s="82">
        <f>X14 - W14</f>
        <v>0</v>
      </c>
      <c r="BD14" s="82">
        <f>Z14 - Y14</f>
        <v>0</v>
      </c>
      <c r="BE14" s="82">
        <f>AB14 - AA14</f>
        <v>0</v>
      </c>
      <c r="BF14" s="82">
        <f>AD14 - AC14</f>
        <v>0</v>
      </c>
      <c r="BG14" s="82">
        <f>AF14 - AE14</f>
        <v>0</v>
      </c>
      <c r="BH14" s="82">
        <f>AH14 - AG14</f>
        <v>0</v>
      </c>
      <c r="BI14" s="82">
        <f>AJ14 - AI14</f>
        <v>0</v>
      </c>
      <c r="BJ14" s="82">
        <f>AL14 - AK14</f>
        <v>0</v>
      </c>
      <c r="BK14" s="82">
        <f>AN14 - AM14</f>
        <v>0</v>
      </c>
      <c r="BL14" s="83">
        <f>ROUNDUP(SUM(BB14:BK14) * 288, 0) / 288</f>
        <v>0</v>
      </c>
      <c r="BM14" s="70">
        <v>0</v>
      </c>
    </row>
    <row r="15" spans="1:65" x14ac:dyDescent="0.25">
      <c r="A15" s="71">
        <v>0</v>
      </c>
      <c r="B15" s="72">
        <v>0</v>
      </c>
      <c r="C15" s="71">
        <v>0</v>
      </c>
      <c r="D15" s="72">
        <v>0</v>
      </c>
      <c r="E15" s="71">
        <v>0</v>
      </c>
      <c r="F15" s="72">
        <v>0</v>
      </c>
      <c r="G15" s="71">
        <v>0</v>
      </c>
      <c r="H15" s="72">
        <v>0</v>
      </c>
      <c r="I15" s="71">
        <v>0</v>
      </c>
      <c r="J15" s="72">
        <v>0</v>
      </c>
      <c r="K15" s="71">
        <v>0</v>
      </c>
      <c r="L15" s="72">
        <v>0</v>
      </c>
      <c r="M15" s="71">
        <v>0</v>
      </c>
      <c r="N15" s="72">
        <v>0</v>
      </c>
      <c r="O15" s="71">
        <v>0</v>
      </c>
      <c r="P15" s="72">
        <v>0</v>
      </c>
      <c r="Q15" s="71">
        <v>0</v>
      </c>
      <c r="R15" s="72">
        <v>0</v>
      </c>
      <c r="S15" s="71">
        <v>0</v>
      </c>
      <c r="T15" s="72">
        <v>0</v>
      </c>
      <c r="U15" s="73">
        <v>0</v>
      </c>
      <c r="V15" s="72">
        <v>0</v>
      </c>
      <c r="W15" s="71">
        <v>0</v>
      </c>
      <c r="X15" s="72">
        <v>0</v>
      </c>
      <c r="Y15" s="71">
        <v>0</v>
      </c>
      <c r="Z15" s="72">
        <v>0</v>
      </c>
      <c r="AA15" s="71">
        <v>0</v>
      </c>
      <c r="AB15" s="72">
        <v>0</v>
      </c>
      <c r="AC15" s="74">
        <v>0</v>
      </c>
      <c r="AD15" s="72">
        <v>0</v>
      </c>
      <c r="AE15" s="74">
        <v>0</v>
      </c>
      <c r="AF15" s="72">
        <v>0</v>
      </c>
      <c r="AG15" s="74">
        <v>0</v>
      </c>
      <c r="AH15" s="72">
        <v>0</v>
      </c>
      <c r="AI15" s="74">
        <v>0</v>
      </c>
      <c r="AJ15" s="72">
        <v>0</v>
      </c>
      <c r="AK15" s="74">
        <v>0</v>
      </c>
      <c r="AL15" s="72">
        <v>0</v>
      </c>
      <c r="AM15" s="71">
        <v>0</v>
      </c>
      <c r="AN15" s="75">
        <v>0</v>
      </c>
      <c r="AO15" s="76">
        <f t="shared" si="0"/>
        <v>0</v>
      </c>
      <c r="AP15" s="77">
        <f t="shared" si="1"/>
        <v>0</v>
      </c>
      <c r="AQ15" s="77">
        <f t="shared" si="2"/>
        <v>0</v>
      </c>
      <c r="AR15" s="78">
        <f t="shared" si="3"/>
        <v>0</v>
      </c>
      <c r="AS15" s="79">
        <f t="shared" si="4"/>
        <v>0</v>
      </c>
      <c r="AT15" s="80">
        <f t="shared" si="5"/>
        <v>0</v>
      </c>
      <c r="AU15" s="80">
        <f t="shared" si="6"/>
        <v>0</v>
      </c>
      <c r="AV15" s="80">
        <f t="shared" si="7"/>
        <v>0</v>
      </c>
      <c r="AW15" s="80">
        <f t="shared" si="8"/>
        <v>0</v>
      </c>
      <c r="AX15" s="80">
        <f t="shared" si="9"/>
        <v>0</v>
      </c>
      <c r="AY15" s="76">
        <f t="shared" si="10"/>
        <v>0</v>
      </c>
      <c r="AZ15" s="81">
        <f t="shared" si="11"/>
        <v>0</v>
      </c>
      <c r="BA15" s="78">
        <f t="shared" si="12"/>
        <v>0</v>
      </c>
      <c r="BB15" s="79">
        <f>V15 - U15</f>
        <v>0</v>
      </c>
      <c r="BC15" s="82">
        <f>X15 - W15</f>
        <v>0</v>
      </c>
      <c r="BD15" s="82">
        <f>Z15 - Y15</f>
        <v>0</v>
      </c>
      <c r="BE15" s="82">
        <f>AB15 - AA15</f>
        <v>0</v>
      </c>
      <c r="BF15" s="82">
        <f>AD15 - AC15</f>
        <v>0</v>
      </c>
      <c r="BG15" s="82">
        <f>AF15 - AE15</f>
        <v>0</v>
      </c>
      <c r="BH15" s="82">
        <f>AH15 - AG15</f>
        <v>0</v>
      </c>
      <c r="BI15" s="82">
        <f>AJ15 - AI15</f>
        <v>0</v>
      </c>
      <c r="BJ15" s="82">
        <f>AL15 - AK15</f>
        <v>0</v>
      </c>
      <c r="BK15" s="82">
        <f>AN15 - AM15</f>
        <v>0</v>
      </c>
      <c r="BL15" s="83">
        <f>ROUNDUP(SUM(BB15:BK15) * 288, 0) / 288</f>
        <v>0</v>
      </c>
      <c r="BM15" s="70">
        <v>0</v>
      </c>
    </row>
    <row r="16" spans="1:65" x14ac:dyDescent="0.25">
      <c r="A16" s="71">
        <v>0</v>
      </c>
      <c r="B16" s="72">
        <v>0</v>
      </c>
      <c r="C16" s="71">
        <v>0</v>
      </c>
      <c r="D16" s="72">
        <v>0</v>
      </c>
      <c r="E16" s="71">
        <v>0</v>
      </c>
      <c r="F16" s="72">
        <v>0</v>
      </c>
      <c r="G16" s="71">
        <v>0</v>
      </c>
      <c r="H16" s="72">
        <v>0</v>
      </c>
      <c r="I16" s="71">
        <v>0</v>
      </c>
      <c r="J16" s="72">
        <v>0</v>
      </c>
      <c r="K16" s="71">
        <v>0</v>
      </c>
      <c r="L16" s="72">
        <v>0</v>
      </c>
      <c r="M16" s="71">
        <v>0</v>
      </c>
      <c r="N16" s="72">
        <v>0</v>
      </c>
      <c r="O16" s="71">
        <v>0</v>
      </c>
      <c r="P16" s="72">
        <v>0</v>
      </c>
      <c r="Q16" s="71">
        <v>0</v>
      </c>
      <c r="R16" s="72">
        <v>0</v>
      </c>
      <c r="S16" s="71">
        <v>0</v>
      </c>
      <c r="T16" s="72">
        <v>0</v>
      </c>
      <c r="U16" s="73">
        <v>0</v>
      </c>
      <c r="V16" s="72">
        <v>0</v>
      </c>
      <c r="W16" s="71">
        <v>0</v>
      </c>
      <c r="X16" s="72">
        <v>0</v>
      </c>
      <c r="Y16" s="71">
        <v>0</v>
      </c>
      <c r="Z16" s="72">
        <v>0</v>
      </c>
      <c r="AA16" s="71">
        <v>0</v>
      </c>
      <c r="AB16" s="72">
        <v>0</v>
      </c>
      <c r="AC16" s="74">
        <v>0</v>
      </c>
      <c r="AD16" s="72">
        <v>0</v>
      </c>
      <c r="AE16" s="74">
        <v>0</v>
      </c>
      <c r="AF16" s="72">
        <v>0</v>
      </c>
      <c r="AG16" s="74">
        <v>0</v>
      </c>
      <c r="AH16" s="72">
        <v>0</v>
      </c>
      <c r="AI16" s="74">
        <v>0</v>
      </c>
      <c r="AJ16" s="72">
        <v>0</v>
      </c>
      <c r="AK16" s="74">
        <v>0</v>
      </c>
      <c r="AL16" s="72">
        <v>0</v>
      </c>
      <c r="AM16" s="71">
        <v>0</v>
      </c>
      <c r="AN16" s="75">
        <v>0</v>
      </c>
      <c r="AO16" s="76">
        <f t="shared" si="0"/>
        <v>0</v>
      </c>
      <c r="AP16" s="77">
        <f t="shared" si="1"/>
        <v>0</v>
      </c>
      <c r="AQ16" s="77">
        <f t="shared" si="2"/>
        <v>0</v>
      </c>
      <c r="AR16" s="78">
        <f t="shared" si="3"/>
        <v>0</v>
      </c>
      <c r="AS16" s="79">
        <f t="shared" si="4"/>
        <v>0</v>
      </c>
      <c r="AT16" s="80">
        <f t="shared" si="5"/>
        <v>0</v>
      </c>
      <c r="AU16" s="80">
        <f t="shared" si="6"/>
        <v>0</v>
      </c>
      <c r="AV16" s="80">
        <f t="shared" si="7"/>
        <v>0</v>
      </c>
      <c r="AW16" s="80">
        <f t="shared" si="8"/>
        <v>0</v>
      </c>
      <c r="AX16" s="80">
        <f t="shared" si="9"/>
        <v>0</v>
      </c>
      <c r="AY16" s="76">
        <f t="shared" si="10"/>
        <v>0</v>
      </c>
      <c r="AZ16" s="81">
        <f t="shared" si="11"/>
        <v>0</v>
      </c>
      <c r="BA16" s="78">
        <f t="shared" si="12"/>
        <v>0</v>
      </c>
      <c r="BB16" s="79">
        <f>V16 - U16</f>
        <v>0</v>
      </c>
      <c r="BC16" s="82">
        <f>X16 - W16</f>
        <v>0</v>
      </c>
      <c r="BD16" s="82">
        <f>Z16 - Y16</f>
        <v>0</v>
      </c>
      <c r="BE16" s="82">
        <f>AB16 - AA16</f>
        <v>0</v>
      </c>
      <c r="BF16" s="82">
        <f>AD16 - AC16</f>
        <v>0</v>
      </c>
      <c r="BG16" s="82">
        <f>AF16 - AE16</f>
        <v>0</v>
      </c>
      <c r="BH16" s="82">
        <f>AH16 - AG16</f>
        <v>0</v>
      </c>
      <c r="BI16" s="82">
        <f>AJ16 - AI16</f>
        <v>0</v>
      </c>
      <c r="BJ16" s="82">
        <f>AL16 - AK16</f>
        <v>0</v>
      </c>
      <c r="BK16" s="82">
        <f>AN16 - AM16</f>
        <v>0</v>
      </c>
      <c r="BL16" s="83">
        <f>ROUNDUP(SUM(BB16:BK16) * 288, 0) / 288</f>
        <v>0</v>
      </c>
      <c r="BM16" s="70">
        <v>0</v>
      </c>
    </row>
    <row r="17" spans="1:65" x14ac:dyDescent="0.25">
      <c r="A17" s="71">
        <v>0</v>
      </c>
      <c r="B17" s="72">
        <v>0</v>
      </c>
      <c r="C17" s="71">
        <v>0</v>
      </c>
      <c r="D17" s="72">
        <v>0</v>
      </c>
      <c r="E17" s="71">
        <v>0</v>
      </c>
      <c r="F17" s="72">
        <v>0</v>
      </c>
      <c r="G17" s="71">
        <v>0</v>
      </c>
      <c r="H17" s="72">
        <v>0</v>
      </c>
      <c r="I17" s="71">
        <v>0</v>
      </c>
      <c r="J17" s="72">
        <v>0</v>
      </c>
      <c r="K17" s="71">
        <v>0</v>
      </c>
      <c r="L17" s="72">
        <v>0</v>
      </c>
      <c r="M17" s="71">
        <v>0</v>
      </c>
      <c r="N17" s="72">
        <v>0</v>
      </c>
      <c r="O17" s="71">
        <v>0</v>
      </c>
      <c r="P17" s="72">
        <v>0</v>
      </c>
      <c r="Q17" s="71">
        <v>0</v>
      </c>
      <c r="R17" s="72">
        <v>0</v>
      </c>
      <c r="S17" s="71">
        <v>0</v>
      </c>
      <c r="T17" s="72">
        <v>0</v>
      </c>
      <c r="U17" s="73">
        <v>0</v>
      </c>
      <c r="V17" s="72">
        <v>0</v>
      </c>
      <c r="W17" s="71">
        <v>0</v>
      </c>
      <c r="X17" s="72">
        <v>0</v>
      </c>
      <c r="Y17" s="71">
        <v>0</v>
      </c>
      <c r="Z17" s="72">
        <v>0</v>
      </c>
      <c r="AA17" s="71">
        <v>0</v>
      </c>
      <c r="AB17" s="72">
        <v>0</v>
      </c>
      <c r="AC17" s="74">
        <v>0</v>
      </c>
      <c r="AD17" s="72">
        <v>0</v>
      </c>
      <c r="AE17" s="74">
        <v>0</v>
      </c>
      <c r="AF17" s="72">
        <v>0</v>
      </c>
      <c r="AG17" s="74">
        <v>0</v>
      </c>
      <c r="AH17" s="72">
        <v>0</v>
      </c>
      <c r="AI17" s="74">
        <v>0</v>
      </c>
      <c r="AJ17" s="72">
        <v>0</v>
      </c>
      <c r="AK17" s="74">
        <v>0</v>
      </c>
      <c r="AL17" s="72">
        <v>0</v>
      </c>
      <c r="AM17" s="71">
        <v>0</v>
      </c>
      <c r="AN17" s="75">
        <v>0</v>
      </c>
      <c r="AO17" s="76">
        <f t="shared" si="0"/>
        <v>0</v>
      </c>
      <c r="AP17" s="77">
        <f t="shared" si="1"/>
        <v>0</v>
      </c>
      <c r="AQ17" s="77">
        <f t="shared" si="2"/>
        <v>0</v>
      </c>
      <c r="AR17" s="78">
        <f t="shared" si="3"/>
        <v>0</v>
      </c>
      <c r="AS17" s="79">
        <f t="shared" si="4"/>
        <v>0</v>
      </c>
      <c r="AT17" s="80">
        <f t="shared" si="5"/>
        <v>0</v>
      </c>
      <c r="AU17" s="80">
        <f t="shared" si="6"/>
        <v>0</v>
      </c>
      <c r="AV17" s="80">
        <f t="shared" si="7"/>
        <v>0</v>
      </c>
      <c r="AW17" s="80">
        <f t="shared" si="8"/>
        <v>0</v>
      </c>
      <c r="AX17" s="80">
        <f t="shared" si="9"/>
        <v>0</v>
      </c>
      <c r="AY17" s="76">
        <f t="shared" si="10"/>
        <v>0</v>
      </c>
      <c r="AZ17" s="81">
        <f t="shared" si="11"/>
        <v>0</v>
      </c>
      <c r="BA17" s="78">
        <f t="shared" si="12"/>
        <v>0</v>
      </c>
      <c r="BB17" s="79">
        <f>V17 - U17</f>
        <v>0</v>
      </c>
      <c r="BC17" s="82">
        <f>X17 - W17</f>
        <v>0</v>
      </c>
      <c r="BD17" s="82">
        <f>Z17 - Y17</f>
        <v>0</v>
      </c>
      <c r="BE17" s="82">
        <f>AB17 - AA17</f>
        <v>0</v>
      </c>
      <c r="BF17" s="82">
        <f>AD17 - AC17</f>
        <v>0</v>
      </c>
      <c r="BG17" s="82">
        <f>AF17 - AE17</f>
        <v>0</v>
      </c>
      <c r="BH17" s="82">
        <f>AH17 - AG17</f>
        <v>0</v>
      </c>
      <c r="BI17" s="82">
        <f>AJ17 - AI17</f>
        <v>0</v>
      </c>
      <c r="BJ17" s="82">
        <f>AL17 - AK17</f>
        <v>0</v>
      </c>
      <c r="BK17" s="82">
        <f>AN17 - AM17</f>
        <v>0</v>
      </c>
      <c r="BL17" s="83">
        <f>ROUNDUP(SUM(BB17:BK17) * 288, 0) / 288</f>
        <v>0</v>
      </c>
      <c r="BM17" s="70">
        <v>0</v>
      </c>
    </row>
    <row r="18" spans="1:65" x14ac:dyDescent="0.25">
      <c r="A18" s="71">
        <v>0</v>
      </c>
      <c r="B18" s="72">
        <v>0</v>
      </c>
      <c r="C18" s="71">
        <v>0</v>
      </c>
      <c r="D18" s="72">
        <v>0</v>
      </c>
      <c r="E18" s="71">
        <v>0</v>
      </c>
      <c r="F18" s="72">
        <v>0</v>
      </c>
      <c r="G18" s="71">
        <v>0</v>
      </c>
      <c r="H18" s="72">
        <v>0</v>
      </c>
      <c r="I18" s="71">
        <v>0</v>
      </c>
      <c r="J18" s="72">
        <v>0</v>
      </c>
      <c r="K18" s="71">
        <v>0</v>
      </c>
      <c r="L18" s="72">
        <v>0</v>
      </c>
      <c r="M18" s="71">
        <v>0</v>
      </c>
      <c r="N18" s="72">
        <v>0</v>
      </c>
      <c r="O18" s="71">
        <v>0</v>
      </c>
      <c r="P18" s="72">
        <v>0</v>
      </c>
      <c r="Q18" s="71">
        <v>0</v>
      </c>
      <c r="R18" s="72">
        <v>0</v>
      </c>
      <c r="S18" s="71">
        <v>0</v>
      </c>
      <c r="T18" s="72">
        <v>0</v>
      </c>
      <c r="U18" s="73">
        <v>0</v>
      </c>
      <c r="V18" s="72">
        <v>0</v>
      </c>
      <c r="W18" s="71">
        <v>0</v>
      </c>
      <c r="X18" s="72">
        <v>0</v>
      </c>
      <c r="Y18" s="71">
        <v>0</v>
      </c>
      <c r="Z18" s="72">
        <v>0</v>
      </c>
      <c r="AA18" s="71">
        <v>0</v>
      </c>
      <c r="AB18" s="72">
        <v>0</v>
      </c>
      <c r="AC18" s="74">
        <v>0</v>
      </c>
      <c r="AD18" s="72">
        <v>0</v>
      </c>
      <c r="AE18" s="74">
        <v>0</v>
      </c>
      <c r="AF18" s="72">
        <v>0</v>
      </c>
      <c r="AG18" s="74">
        <v>0</v>
      </c>
      <c r="AH18" s="72">
        <v>0</v>
      </c>
      <c r="AI18" s="74">
        <v>0</v>
      </c>
      <c r="AJ18" s="72">
        <v>0</v>
      </c>
      <c r="AK18" s="74">
        <v>0</v>
      </c>
      <c r="AL18" s="72">
        <v>0</v>
      </c>
      <c r="AM18" s="71">
        <v>0</v>
      </c>
      <c r="AN18" s="75">
        <v>0</v>
      </c>
      <c r="AO18" s="76">
        <f t="shared" si="0"/>
        <v>0</v>
      </c>
      <c r="AP18" s="77">
        <f t="shared" si="1"/>
        <v>0</v>
      </c>
      <c r="AQ18" s="77">
        <f t="shared" si="2"/>
        <v>0</v>
      </c>
      <c r="AR18" s="78">
        <f t="shared" si="3"/>
        <v>0</v>
      </c>
      <c r="AS18" s="79">
        <f t="shared" si="4"/>
        <v>0</v>
      </c>
      <c r="AT18" s="80">
        <f t="shared" si="5"/>
        <v>0</v>
      </c>
      <c r="AU18" s="80">
        <f t="shared" si="6"/>
        <v>0</v>
      </c>
      <c r="AV18" s="80">
        <f t="shared" si="7"/>
        <v>0</v>
      </c>
      <c r="AW18" s="80">
        <f t="shared" si="8"/>
        <v>0</v>
      </c>
      <c r="AX18" s="80">
        <f t="shared" si="9"/>
        <v>0</v>
      </c>
      <c r="AY18" s="76">
        <f t="shared" si="10"/>
        <v>0</v>
      </c>
      <c r="AZ18" s="81">
        <f t="shared" si="11"/>
        <v>0</v>
      </c>
      <c r="BA18" s="78">
        <f t="shared" si="12"/>
        <v>0</v>
      </c>
      <c r="BB18" s="79">
        <f>V18 - U18</f>
        <v>0</v>
      </c>
      <c r="BC18" s="82">
        <f>X18 - W18</f>
        <v>0</v>
      </c>
      <c r="BD18" s="82">
        <f>Z18 - Y18</f>
        <v>0</v>
      </c>
      <c r="BE18" s="82">
        <f>AB18 - AA18</f>
        <v>0</v>
      </c>
      <c r="BF18" s="82">
        <f>AD18 - AC18</f>
        <v>0</v>
      </c>
      <c r="BG18" s="82">
        <f>AF18 - AE18</f>
        <v>0</v>
      </c>
      <c r="BH18" s="82">
        <f>AH18 - AG18</f>
        <v>0</v>
      </c>
      <c r="BI18" s="82">
        <f>AJ18 - AI18</f>
        <v>0</v>
      </c>
      <c r="BJ18" s="82">
        <f>AL18 - AK18</f>
        <v>0</v>
      </c>
      <c r="BK18" s="82">
        <f>AN18 - AM18</f>
        <v>0</v>
      </c>
      <c r="BL18" s="83">
        <f>ROUNDUP(SUM(BB18:BK18) * 288, 0) / 288</f>
        <v>0</v>
      </c>
      <c r="BM18" s="70">
        <v>0</v>
      </c>
    </row>
    <row r="19" spans="1:65" x14ac:dyDescent="0.25">
      <c r="A19" s="71">
        <v>0</v>
      </c>
      <c r="B19" s="72">
        <v>0</v>
      </c>
      <c r="C19" s="71">
        <v>0</v>
      </c>
      <c r="D19" s="72">
        <v>0</v>
      </c>
      <c r="E19" s="71">
        <v>0</v>
      </c>
      <c r="F19" s="72">
        <v>0</v>
      </c>
      <c r="G19" s="71">
        <v>0</v>
      </c>
      <c r="H19" s="72">
        <v>0</v>
      </c>
      <c r="I19" s="71">
        <v>0</v>
      </c>
      <c r="J19" s="72">
        <v>0</v>
      </c>
      <c r="K19" s="71">
        <v>0</v>
      </c>
      <c r="L19" s="72">
        <v>0</v>
      </c>
      <c r="M19" s="71">
        <v>0</v>
      </c>
      <c r="N19" s="72">
        <v>0</v>
      </c>
      <c r="O19" s="71">
        <v>0</v>
      </c>
      <c r="P19" s="72">
        <v>0</v>
      </c>
      <c r="Q19" s="71">
        <v>0</v>
      </c>
      <c r="R19" s="72">
        <v>0</v>
      </c>
      <c r="S19" s="71">
        <v>0</v>
      </c>
      <c r="T19" s="72">
        <v>0</v>
      </c>
      <c r="U19" s="73">
        <v>0</v>
      </c>
      <c r="V19" s="72">
        <v>0</v>
      </c>
      <c r="W19" s="71">
        <v>0</v>
      </c>
      <c r="X19" s="72">
        <v>0</v>
      </c>
      <c r="Y19" s="71">
        <v>0</v>
      </c>
      <c r="Z19" s="72">
        <v>0</v>
      </c>
      <c r="AA19" s="71">
        <v>0</v>
      </c>
      <c r="AB19" s="72">
        <v>0</v>
      </c>
      <c r="AC19" s="74">
        <v>0</v>
      </c>
      <c r="AD19" s="72">
        <v>0</v>
      </c>
      <c r="AE19" s="74">
        <v>0</v>
      </c>
      <c r="AF19" s="72">
        <v>0</v>
      </c>
      <c r="AG19" s="74">
        <v>0</v>
      </c>
      <c r="AH19" s="72">
        <v>0</v>
      </c>
      <c r="AI19" s="74">
        <v>0</v>
      </c>
      <c r="AJ19" s="72">
        <v>0</v>
      </c>
      <c r="AK19" s="74">
        <v>0</v>
      </c>
      <c r="AL19" s="72">
        <v>0</v>
      </c>
      <c r="AM19" s="71">
        <v>0</v>
      </c>
      <c r="AN19" s="75">
        <v>0</v>
      </c>
      <c r="AO19" s="76">
        <f t="shared" si="0"/>
        <v>0</v>
      </c>
      <c r="AP19" s="77">
        <f t="shared" si="1"/>
        <v>0</v>
      </c>
      <c r="AQ19" s="77">
        <f t="shared" si="2"/>
        <v>0</v>
      </c>
      <c r="AR19" s="78">
        <f t="shared" si="3"/>
        <v>0</v>
      </c>
      <c r="AS19" s="79">
        <f t="shared" si="4"/>
        <v>0</v>
      </c>
      <c r="AT19" s="80">
        <f t="shared" si="5"/>
        <v>0</v>
      </c>
      <c r="AU19" s="80">
        <f t="shared" si="6"/>
        <v>0</v>
      </c>
      <c r="AV19" s="80">
        <f t="shared" si="7"/>
        <v>0</v>
      </c>
      <c r="AW19" s="80">
        <f t="shared" si="8"/>
        <v>0</v>
      </c>
      <c r="AX19" s="80">
        <f t="shared" si="9"/>
        <v>0</v>
      </c>
      <c r="AY19" s="76">
        <f t="shared" si="10"/>
        <v>0</v>
      </c>
      <c r="AZ19" s="81">
        <f t="shared" si="11"/>
        <v>0</v>
      </c>
      <c r="BA19" s="78">
        <f t="shared" si="12"/>
        <v>0</v>
      </c>
      <c r="BB19" s="79">
        <f>V19 - U19</f>
        <v>0</v>
      </c>
      <c r="BC19" s="82">
        <f>X19 - W19</f>
        <v>0</v>
      </c>
      <c r="BD19" s="82">
        <f>Z19 - Y19</f>
        <v>0</v>
      </c>
      <c r="BE19" s="82">
        <f>AB19 - AA19</f>
        <v>0</v>
      </c>
      <c r="BF19" s="82">
        <f>AD19 - AC19</f>
        <v>0</v>
      </c>
      <c r="BG19" s="82">
        <f>AF19 - AE19</f>
        <v>0</v>
      </c>
      <c r="BH19" s="82">
        <f>AH19 - AG19</f>
        <v>0</v>
      </c>
      <c r="BI19" s="82">
        <f>AJ19 - AI19</f>
        <v>0</v>
      </c>
      <c r="BJ19" s="82">
        <f>AL19 - AK19</f>
        <v>0</v>
      </c>
      <c r="BK19" s="82">
        <f>AN19 - AM19</f>
        <v>0</v>
      </c>
      <c r="BL19" s="83">
        <f>ROUNDUP(SUM(BB19:BK19) * 288, 0) / 288</f>
        <v>0</v>
      </c>
      <c r="BM19" s="70">
        <v>0</v>
      </c>
    </row>
    <row r="20" spans="1:65" x14ac:dyDescent="0.25">
      <c r="A20" s="71">
        <v>0</v>
      </c>
      <c r="B20" s="72">
        <v>0</v>
      </c>
      <c r="C20" s="71">
        <v>0</v>
      </c>
      <c r="D20" s="72">
        <v>0</v>
      </c>
      <c r="E20" s="71">
        <v>0</v>
      </c>
      <c r="F20" s="72">
        <v>0</v>
      </c>
      <c r="G20" s="71">
        <v>0</v>
      </c>
      <c r="H20" s="72">
        <v>0</v>
      </c>
      <c r="I20" s="71">
        <v>0</v>
      </c>
      <c r="J20" s="72">
        <v>0</v>
      </c>
      <c r="K20" s="71">
        <v>0</v>
      </c>
      <c r="L20" s="72">
        <v>0</v>
      </c>
      <c r="M20" s="71">
        <v>0</v>
      </c>
      <c r="N20" s="72">
        <v>0</v>
      </c>
      <c r="O20" s="71">
        <v>0</v>
      </c>
      <c r="P20" s="72">
        <v>0</v>
      </c>
      <c r="Q20" s="71">
        <v>0</v>
      </c>
      <c r="R20" s="72">
        <v>0</v>
      </c>
      <c r="S20" s="71">
        <v>0</v>
      </c>
      <c r="T20" s="72">
        <v>0</v>
      </c>
      <c r="U20" s="73">
        <v>0</v>
      </c>
      <c r="V20" s="72">
        <v>0</v>
      </c>
      <c r="W20" s="71">
        <v>0</v>
      </c>
      <c r="X20" s="72">
        <v>0</v>
      </c>
      <c r="Y20" s="71">
        <v>0</v>
      </c>
      <c r="Z20" s="72">
        <v>0</v>
      </c>
      <c r="AA20" s="71">
        <v>0</v>
      </c>
      <c r="AB20" s="72">
        <v>0</v>
      </c>
      <c r="AC20" s="74">
        <v>0</v>
      </c>
      <c r="AD20" s="72">
        <v>0</v>
      </c>
      <c r="AE20" s="74">
        <v>0</v>
      </c>
      <c r="AF20" s="72">
        <v>0</v>
      </c>
      <c r="AG20" s="74">
        <v>0</v>
      </c>
      <c r="AH20" s="72">
        <v>0</v>
      </c>
      <c r="AI20" s="74">
        <v>0</v>
      </c>
      <c r="AJ20" s="72">
        <v>0</v>
      </c>
      <c r="AK20" s="74">
        <v>0</v>
      </c>
      <c r="AL20" s="72">
        <v>0</v>
      </c>
      <c r="AM20" s="71">
        <v>0</v>
      </c>
      <c r="AN20" s="75">
        <v>0</v>
      </c>
      <c r="AO20" s="76">
        <f t="shared" si="0"/>
        <v>0</v>
      </c>
      <c r="AP20" s="77">
        <f t="shared" si="1"/>
        <v>0</v>
      </c>
      <c r="AQ20" s="77">
        <f t="shared" si="2"/>
        <v>0</v>
      </c>
      <c r="AR20" s="78">
        <f t="shared" si="3"/>
        <v>0</v>
      </c>
      <c r="AS20" s="79">
        <f t="shared" si="4"/>
        <v>0</v>
      </c>
      <c r="AT20" s="80">
        <f t="shared" si="5"/>
        <v>0</v>
      </c>
      <c r="AU20" s="80">
        <f t="shared" si="6"/>
        <v>0</v>
      </c>
      <c r="AV20" s="80">
        <f t="shared" si="7"/>
        <v>0</v>
      </c>
      <c r="AW20" s="80">
        <f t="shared" si="8"/>
        <v>0</v>
      </c>
      <c r="AX20" s="80">
        <f t="shared" si="9"/>
        <v>0</v>
      </c>
      <c r="AY20" s="76">
        <f t="shared" si="10"/>
        <v>0</v>
      </c>
      <c r="AZ20" s="81">
        <f t="shared" si="11"/>
        <v>0</v>
      </c>
      <c r="BA20" s="78">
        <f t="shared" si="12"/>
        <v>0</v>
      </c>
      <c r="BB20" s="79">
        <f>V20 - U20</f>
        <v>0</v>
      </c>
      <c r="BC20" s="82">
        <f>X20 - W20</f>
        <v>0</v>
      </c>
      <c r="BD20" s="82">
        <f>Z20 - Y20</f>
        <v>0</v>
      </c>
      <c r="BE20" s="82">
        <f>AB20 - AA20</f>
        <v>0</v>
      </c>
      <c r="BF20" s="82">
        <f>AD20 - AC20</f>
        <v>0</v>
      </c>
      <c r="BG20" s="82">
        <f>AF20 - AE20</f>
        <v>0</v>
      </c>
      <c r="BH20" s="82">
        <f>AH20 - AG20</f>
        <v>0</v>
      </c>
      <c r="BI20" s="82">
        <f>AJ20 - AI20</f>
        <v>0</v>
      </c>
      <c r="BJ20" s="82">
        <f>AL20 - AK20</f>
        <v>0</v>
      </c>
      <c r="BK20" s="82">
        <f>AN20 - AM20</f>
        <v>0</v>
      </c>
      <c r="BL20" s="83">
        <f>ROUNDUP(SUM(BB20:BK20) * 288, 0) / 288</f>
        <v>0</v>
      </c>
      <c r="BM20" s="70">
        <v>0</v>
      </c>
    </row>
    <row r="21" spans="1:65" x14ac:dyDescent="0.25">
      <c r="A21" s="71">
        <v>0</v>
      </c>
      <c r="B21" s="72">
        <v>0</v>
      </c>
      <c r="C21" s="71">
        <v>0</v>
      </c>
      <c r="D21" s="72">
        <v>0</v>
      </c>
      <c r="E21" s="71">
        <v>0</v>
      </c>
      <c r="F21" s="72">
        <v>0</v>
      </c>
      <c r="G21" s="71">
        <v>0</v>
      </c>
      <c r="H21" s="72">
        <v>0</v>
      </c>
      <c r="I21" s="71">
        <v>0</v>
      </c>
      <c r="J21" s="72">
        <v>0</v>
      </c>
      <c r="K21" s="71">
        <v>0</v>
      </c>
      <c r="L21" s="72">
        <v>0</v>
      </c>
      <c r="M21" s="71">
        <v>0</v>
      </c>
      <c r="N21" s="72">
        <v>0</v>
      </c>
      <c r="O21" s="71">
        <v>0</v>
      </c>
      <c r="P21" s="72">
        <v>0</v>
      </c>
      <c r="Q21" s="71">
        <v>0</v>
      </c>
      <c r="R21" s="72">
        <v>0</v>
      </c>
      <c r="S21" s="71">
        <v>0</v>
      </c>
      <c r="T21" s="72">
        <v>0</v>
      </c>
      <c r="U21" s="73">
        <v>0</v>
      </c>
      <c r="V21" s="72">
        <v>0</v>
      </c>
      <c r="W21" s="71">
        <v>0</v>
      </c>
      <c r="X21" s="72">
        <v>0</v>
      </c>
      <c r="Y21" s="71">
        <v>0</v>
      </c>
      <c r="Z21" s="72">
        <v>0</v>
      </c>
      <c r="AA21" s="71">
        <v>0</v>
      </c>
      <c r="AB21" s="72">
        <v>0</v>
      </c>
      <c r="AC21" s="74">
        <v>0</v>
      </c>
      <c r="AD21" s="72">
        <v>0</v>
      </c>
      <c r="AE21" s="74">
        <v>0</v>
      </c>
      <c r="AF21" s="72">
        <v>0</v>
      </c>
      <c r="AG21" s="74">
        <v>0</v>
      </c>
      <c r="AH21" s="72">
        <v>0</v>
      </c>
      <c r="AI21" s="74">
        <v>0</v>
      </c>
      <c r="AJ21" s="72">
        <v>0</v>
      </c>
      <c r="AK21" s="74">
        <v>0</v>
      </c>
      <c r="AL21" s="72">
        <v>0</v>
      </c>
      <c r="AM21" s="71">
        <v>0</v>
      </c>
      <c r="AN21" s="75">
        <v>0</v>
      </c>
      <c r="AO21" s="76">
        <f t="shared" si="0"/>
        <v>0</v>
      </c>
      <c r="AP21" s="77">
        <f t="shared" si="1"/>
        <v>0</v>
      </c>
      <c r="AQ21" s="77">
        <f t="shared" si="2"/>
        <v>0</v>
      </c>
      <c r="AR21" s="78">
        <f t="shared" si="3"/>
        <v>0</v>
      </c>
      <c r="AS21" s="79">
        <f t="shared" si="4"/>
        <v>0</v>
      </c>
      <c r="AT21" s="80">
        <f t="shared" si="5"/>
        <v>0</v>
      </c>
      <c r="AU21" s="80">
        <f t="shared" si="6"/>
        <v>0</v>
      </c>
      <c r="AV21" s="80">
        <f t="shared" si="7"/>
        <v>0</v>
      </c>
      <c r="AW21" s="80">
        <f t="shared" si="8"/>
        <v>0</v>
      </c>
      <c r="AX21" s="80">
        <f t="shared" si="9"/>
        <v>0</v>
      </c>
      <c r="AY21" s="76">
        <f t="shared" si="10"/>
        <v>0</v>
      </c>
      <c r="AZ21" s="81">
        <f t="shared" si="11"/>
        <v>0</v>
      </c>
      <c r="BA21" s="78">
        <f t="shared" si="12"/>
        <v>0</v>
      </c>
      <c r="BB21" s="79">
        <f>V21 - U21</f>
        <v>0</v>
      </c>
      <c r="BC21" s="82">
        <f>X21 - W21</f>
        <v>0</v>
      </c>
      <c r="BD21" s="82">
        <f>Z21 - Y21</f>
        <v>0</v>
      </c>
      <c r="BE21" s="82">
        <f>AB21 - AA21</f>
        <v>0</v>
      </c>
      <c r="BF21" s="82">
        <f>AD21 - AC21</f>
        <v>0</v>
      </c>
      <c r="BG21" s="82">
        <f>AF21 - AE21</f>
        <v>0</v>
      </c>
      <c r="BH21" s="82">
        <f>AH21 - AG21</f>
        <v>0</v>
      </c>
      <c r="BI21" s="82">
        <f>AJ21 - AI21</f>
        <v>0</v>
      </c>
      <c r="BJ21" s="82">
        <f>AL21 - AK21</f>
        <v>0</v>
      </c>
      <c r="BK21" s="82">
        <f>AN21 - AM21</f>
        <v>0</v>
      </c>
      <c r="BL21" s="83">
        <f>ROUNDUP(SUM(BB21:BK21) * 288, 0) / 288</f>
        <v>0</v>
      </c>
      <c r="BM21" s="70">
        <v>0</v>
      </c>
    </row>
    <row r="22" spans="1:65" x14ac:dyDescent="0.25">
      <c r="A22" s="71">
        <v>0</v>
      </c>
      <c r="B22" s="72">
        <v>0</v>
      </c>
      <c r="C22" s="71">
        <v>0</v>
      </c>
      <c r="D22" s="72">
        <v>0</v>
      </c>
      <c r="E22" s="71">
        <v>0</v>
      </c>
      <c r="F22" s="72">
        <v>0</v>
      </c>
      <c r="G22" s="71">
        <v>0</v>
      </c>
      <c r="H22" s="72">
        <v>0</v>
      </c>
      <c r="I22" s="71">
        <v>0</v>
      </c>
      <c r="J22" s="72">
        <v>0</v>
      </c>
      <c r="K22" s="71">
        <v>0</v>
      </c>
      <c r="L22" s="72">
        <v>0</v>
      </c>
      <c r="M22" s="71">
        <v>0</v>
      </c>
      <c r="N22" s="72">
        <v>0</v>
      </c>
      <c r="O22" s="71">
        <v>0</v>
      </c>
      <c r="P22" s="72">
        <v>0</v>
      </c>
      <c r="Q22" s="71">
        <v>0</v>
      </c>
      <c r="R22" s="72">
        <v>0</v>
      </c>
      <c r="S22" s="71">
        <v>0</v>
      </c>
      <c r="T22" s="72">
        <v>0</v>
      </c>
      <c r="U22" s="73">
        <v>0</v>
      </c>
      <c r="V22" s="72">
        <v>0</v>
      </c>
      <c r="W22" s="71">
        <v>0</v>
      </c>
      <c r="X22" s="72">
        <v>0</v>
      </c>
      <c r="Y22" s="71">
        <v>0</v>
      </c>
      <c r="Z22" s="72">
        <v>0</v>
      </c>
      <c r="AA22" s="71">
        <v>0</v>
      </c>
      <c r="AB22" s="72">
        <v>0</v>
      </c>
      <c r="AC22" s="74">
        <v>0</v>
      </c>
      <c r="AD22" s="72">
        <v>0</v>
      </c>
      <c r="AE22" s="74">
        <v>0</v>
      </c>
      <c r="AF22" s="72">
        <v>0</v>
      </c>
      <c r="AG22" s="74">
        <v>0</v>
      </c>
      <c r="AH22" s="72">
        <v>0</v>
      </c>
      <c r="AI22" s="74">
        <v>0</v>
      </c>
      <c r="AJ22" s="72">
        <v>0</v>
      </c>
      <c r="AK22" s="74">
        <v>0</v>
      </c>
      <c r="AL22" s="72">
        <v>0</v>
      </c>
      <c r="AM22" s="71">
        <v>0</v>
      </c>
      <c r="AN22" s="75">
        <v>0</v>
      </c>
      <c r="AO22" s="76">
        <f t="shared" si="0"/>
        <v>0</v>
      </c>
      <c r="AP22" s="77">
        <f t="shared" si="1"/>
        <v>0</v>
      </c>
      <c r="AQ22" s="77">
        <f t="shared" si="2"/>
        <v>0</v>
      </c>
      <c r="AR22" s="78">
        <f t="shared" si="3"/>
        <v>0</v>
      </c>
      <c r="AS22" s="79">
        <f t="shared" si="4"/>
        <v>0</v>
      </c>
      <c r="AT22" s="80">
        <f t="shared" si="5"/>
        <v>0</v>
      </c>
      <c r="AU22" s="80">
        <f t="shared" si="6"/>
        <v>0</v>
      </c>
      <c r="AV22" s="80">
        <f t="shared" si="7"/>
        <v>0</v>
      </c>
      <c r="AW22" s="80">
        <f t="shared" si="8"/>
        <v>0</v>
      </c>
      <c r="AX22" s="80">
        <f t="shared" si="9"/>
        <v>0</v>
      </c>
      <c r="AY22" s="76">
        <f t="shared" si="10"/>
        <v>0</v>
      </c>
      <c r="AZ22" s="81">
        <f t="shared" si="11"/>
        <v>0</v>
      </c>
      <c r="BA22" s="78">
        <f t="shared" si="12"/>
        <v>0</v>
      </c>
      <c r="BB22" s="79">
        <f>V22 - U22</f>
        <v>0</v>
      </c>
      <c r="BC22" s="82">
        <f>X22 - W22</f>
        <v>0</v>
      </c>
      <c r="BD22" s="82">
        <f>Z22 - Y22</f>
        <v>0</v>
      </c>
      <c r="BE22" s="82">
        <f>AB22 - AA22</f>
        <v>0</v>
      </c>
      <c r="BF22" s="82">
        <f>AD22 - AC22</f>
        <v>0</v>
      </c>
      <c r="BG22" s="82">
        <f>AF22 - AE22</f>
        <v>0</v>
      </c>
      <c r="BH22" s="82">
        <f>AH22 - AG22</f>
        <v>0</v>
      </c>
      <c r="BI22" s="82">
        <f>AJ22 - AI22</f>
        <v>0</v>
      </c>
      <c r="BJ22" s="82">
        <f>AL22 - AK22</f>
        <v>0</v>
      </c>
      <c r="BK22" s="82">
        <f>AN22 - AM22</f>
        <v>0</v>
      </c>
      <c r="BL22" s="83">
        <f>ROUNDUP(SUM(BB22:BK22) * 288, 0) / 288</f>
        <v>0</v>
      </c>
      <c r="BM22" s="70">
        <v>0</v>
      </c>
    </row>
    <row r="23" spans="1:65" x14ac:dyDescent="0.25">
      <c r="A23" s="71">
        <v>0</v>
      </c>
      <c r="B23" s="72">
        <v>0</v>
      </c>
      <c r="C23" s="71">
        <v>0</v>
      </c>
      <c r="D23" s="72">
        <v>0</v>
      </c>
      <c r="E23" s="71">
        <v>0</v>
      </c>
      <c r="F23" s="72">
        <v>0</v>
      </c>
      <c r="G23" s="71">
        <v>0</v>
      </c>
      <c r="H23" s="72">
        <v>0</v>
      </c>
      <c r="I23" s="71">
        <v>0</v>
      </c>
      <c r="J23" s="72">
        <v>0</v>
      </c>
      <c r="K23" s="71">
        <v>0</v>
      </c>
      <c r="L23" s="72">
        <v>0</v>
      </c>
      <c r="M23" s="71">
        <v>0</v>
      </c>
      <c r="N23" s="72">
        <v>0</v>
      </c>
      <c r="O23" s="71">
        <v>0</v>
      </c>
      <c r="P23" s="72">
        <v>0</v>
      </c>
      <c r="Q23" s="71">
        <v>0</v>
      </c>
      <c r="R23" s="72">
        <v>0</v>
      </c>
      <c r="S23" s="71">
        <v>0</v>
      </c>
      <c r="T23" s="72">
        <v>0</v>
      </c>
      <c r="U23" s="73">
        <v>0</v>
      </c>
      <c r="V23" s="72">
        <v>0</v>
      </c>
      <c r="W23" s="71">
        <v>0</v>
      </c>
      <c r="X23" s="72">
        <v>0</v>
      </c>
      <c r="Y23" s="71">
        <v>0</v>
      </c>
      <c r="Z23" s="72">
        <v>0</v>
      </c>
      <c r="AA23" s="71">
        <v>0</v>
      </c>
      <c r="AB23" s="72">
        <v>0</v>
      </c>
      <c r="AC23" s="74">
        <v>0</v>
      </c>
      <c r="AD23" s="72">
        <v>0</v>
      </c>
      <c r="AE23" s="74">
        <v>0</v>
      </c>
      <c r="AF23" s="72">
        <v>0</v>
      </c>
      <c r="AG23" s="74">
        <v>0</v>
      </c>
      <c r="AH23" s="72">
        <v>0</v>
      </c>
      <c r="AI23" s="74">
        <v>0</v>
      </c>
      <c r="AJ23" s="72">
        <v>0</v>
      </c>
      <c r="AK23" s="74">
        <v>0</v>
      </c>
      <c r="AL23" s="72">
        <v>0</v>
      </c>
      <c r="AM23" s="71">
        <v>0</v>
      </c>
      <c r="AN23" s="75">
        <v>0</v>
      </c>
      <c r="AO23" s="76">
        <f t="shared" si="0"/>
        <v>0</v>
      </c>
      <c r="AP23" s="77">
        <f t="shared" si="1"/>
        <v>0</v>
      </c>
      <c r="AQ23" s="77">
        <f t="shared" si="2"/>
        <v>0</v>
      </c>
      <c r="AR23" s="78">
        <f t="shared" si="3"/>
        <v>0</v>
      </c>
      <c r="AS23" s="79">
        <f t="shared" si="4"/>
        <v>0</v>
      </c>
      <c r="AT23" s="80">
        <f t="shared" si="5"/>
        <v>0</v>
      </c>
      <c r="AU23" s="80">
        <f t="shared" si="6"/>
        <v>0</v>
      </c>
      <c r="AV23" s="80">
        <f t="shared" si="7"/>
        <v>0</v>
      </c>
      <c r="AW23" s="80">
        <f t="shared" si="8"/>
        <v>0</v>
      </c>
      <c r="AX23" s="80">
        <f t="shared" si="9"/>
        <v>0</v>
      </c>
      <c r="AY23" s="76">
        <f t="shared" si="10"/>
        <v>0</v>
      </c>
      <c r="AZ23" s="81">
        <f t="shared" si="11"/>
        <v>0</v>
      </c>
      <c r="BA23" s="78">
        <f t="shared" si="12"/>
        <v>0</v>
      </c>
      <c r="BB23" s="79">
        <f>V23 - U23</f>
        <v>0</v>
      </c>
      <c r="BC23" s="82">
        <f>X23 - W23</f>
        <v>0</v>
      </c>
      <c r="BD23" s="82">
        <f>Z23 - Y23</f>
        <v>0</v>
      </c>
      <c r="BE23" s="82">
        <f>AB23 - AA23</f>
        <v>0</v>
      </c>
      <c r="BF23" s="82">
        <f>AD23 - AC23</f>
        <v>0</v>
      </c>
      <c r="BG23" s="82">
        <f>AF23 - AE23</f>
        <v>0</v>
      </c>
      <c r="BH23" s="82">
        <f>AH23 - AG23</f>
        <v>0</v>
      </c>
      <c r="BI23" s="82">
        <f>AJ23 - AI23</f>
        <v>0</v>
      </c>
      <c r="BJ23" s="82">
        <f>AL23 - AK23</f>
        <v>0</v>
      </c>
      <c r="BK23" s="82">
        <f>AN23 - AM23</f>
        <v>0</v>
      </c>
      <c r="BL23" s="83">
        <f>ROUNDUP(SUM(BB23:BK23) * 288, 0) / 288</f>
        <v>0</v>
      </c>
      <c r="BM23" s="70">
        <v>0</v>
      </c>
    </row>
    <row r="24" spans="1:65" x14ac:dyDescent="0.25">
      <c r="A24" s="71">
        <v>0</v>
      </c>
      <c r="B24" s="72">
        <v>0</v>
      </c>
      <c r="C24" s="71">
        <v>0</v>
      </c>
      <c r="D24" s="72">
        <v>0</v>
      </c>
      <c r="E24" s="71">
        <v>0</v>
      </c>
      <c r="F24" s="72">
        <v>0</v>
      </c>
      <c r="G24" s="71">
        <v>0</v>
      </c>
      <c r="H24" s="72">
        <v>0</v>
      </c>
      <c r="I24" s="71">
        <v>0</v>
      </c>
      <c r="J24" s="72">
        <v>0</v>
      </c>
      <c r="K24" s="71">
        <v>0</v>
      </c>
      <c r="L24" s="72">
        <v>0</v>
      </c>
      <c r="M24" s="71">
        <v>0</v>
      </c>
      <c r="N24" s="72">
        <v>0</v>
      </c>
      <c r="O24" s="71">
        <v>0</v>
      </c>
      <c r="P24" s="72">
        <v>0</v>
      </c>
      <c r="Q24" s="71">
        <v>0</v>
      </c>
      <c r="R24" s="72">
        <v>0</v>
      </c>
      <c r="S24" s="71">
        <v>0</v>
      </c>
      <c r="T24" s="72">
        <v>0</v>
      </c>
      <c r="U24" s="73">
        <v>0</v>
      </c>
      <c r="V24" s="72">
        <v>0</v>
      </c>
      <c r="W24" s="71">
        <v>0</v>
      </c>
      <c r="X24" s="72">
        <v>0</v>
      </c>
      <c r="Y24" s="71">
        <v>0</v>
      </c>
      <c r="Z24" s="72">
        <v>0</v>
      </c>
      <c r="AA24" s="71">
        <v>0</v>
      </c>
      <c r="AB24" s="72">
        <v>0</v>
      </c>
      <c r="AC24" s="74">
        <v>0</v>
      </c>
      <c r="AD24" s="72">
        <v>0</v>
      </c>
      <c r="AE24" s="74">
        <v>0</v>
      </c>
      <c r="AF24" s="72">
        <v>0</v>
      </c>
      <c r="AG24" s="74">
        <v>0</v>
      </c>
      <c r="AH24" s="72">
        <v>0</v>
      </c>
      <c r="AI24" s="74">
        <v>0</v>
      </c>
      <c r="AJ24" s="72">
        <v>0</v>
      </c>
      <c r="AK24" s="74">
        <v>0</v>
      </c>
      <c r="AL24" s="72">
        <v>0</v>
      </c>
      <c r="AM24" s="71">
        <v>0</v>
      </c>
      <c r="AN24" s="75">
        <v>0</v>
      </c>
      <c r="AO24" s="76">
        <f t="shared" si="0"/>
        <v>0</v>
      </c>
      <c r="AP24" s="77">
        <f t="shared" si="1"/>
        <v>0</v>
      </c>
      <c r="AQ24" s="77">
        <f t="shared" si="2"/>
        <v>0</v>
      </c>
      <c r="AR24" s="78">
        <f t="shared" si="3"/>
        <v>0</v>
      </c>
      <c r="AS24" s="79">
        <f t="shared" si="4"/>
        <v>0</v>
      </c>
      <c r="AT24" s="80">
        <f t="shared" si="5"/>
        <v>0</v>
      </c>
      <c r="AU24" s="80">
        <f t="shared" si="6"/>
        <v>0</v>
      </c>
      <c r="AV24" s="80">
        <f t="shared" si="7"/>
        <v>0</v>
      </c>
      <c r="AW24" s="80">
        <f t="shared" si="8"/>
        <v>0</v>
      </c>
      <c r="AX24" s="80">
        <f t="shared" si="9"/>
        <v>0</v>
      </c>
      <c r="AY24" s="76">
        <f t="shared" si="10"/>
        <v>0</v>
      </c>
      <c r="AZ24" s="81">
        <f t="shared" si="11"/>
        <v>0</v>
      </c>
      <c r="BA24" s="78">
        <f t="shared" si="12"/>
        <v>0</v>
      </c>
      <c r="BB24" s="79">
        <f>V24 - U24</f>
        <v>0</v>
      </c>
      <c r="BC24" s="82">
        <f>X24 - W24</f>
        <v>0</v>
      </c>
      <c r="BD24" s="82">
        <f>Z24 - Y24</f>
        <v>0</v>
      </c>
      <c r="BE24" s="82">
        <f>AB24 - AA24</f>
        <v>0</v>
      </c>
      <c r="BF24" s="82">
        <f>AD24 - AC24</f>
        <v>0</v>
      </c>
      <c r="BG24" s="82">
        <f>AF24 - AE24</f>
        <v>0</v>
      </c>
      <c r="BH24" s="82">
        <f>AH24 - AG24</f>
        <v>0</v>
      </c>
      <c r="BI24" s="82">
        <f>AJ24 - AI24</f>
        <v>0</v>
      </c>
      <c r="BJ24" s="82">
        <f>AL24 - AK24</f>
        <v>0</v>
      </c>
      <c r="BK24" s="82">
        <f>AN24 - AM24</f>
        <v>0</v>
      </c>
      <c r="BL24" s="83">
        <f>ROUNDUP(SUM(BB24:BK24) * 288, 0) / 288</f>
        <v>0</v>
      </c>
      <c r="BM24" s="70">
        <v>0</v>
      </c>
    </row>
    <row r="25" spans="1:65" x14ac:dyDescent="0.25">
      <c r="A25" s="71">
        <v>0</v>
      </c>
      <c r="B25" s="72">
        <v>0</v>
      </c>
      <c r="C25" s="71">
        <v>0</v>
      </c>
      <c r="D25" s="72">
        <v>0</v>
      </c>
      <c r="E25" s="71">
        <v>0</v>
      </c>
      <c r="F25" s="72">
        <v>0</v>
      </c>
      <c r="G25" s="71">
        <v>0</v>
      </c>
      <c r="H25" s="72">
        <v>0</v>
      </c>
      <c r="I25" s="71">
        <v>0</v>
      </c>
      <c r="J25" s="72">
        <v>0</v>
      </c>
      <c r="K25" s="71">
        <v>0</v>
      </c>
      <c r="L25" s="72">
        <v>0</v>
      </c>
      <c r="M25" s="71">
        <v>0</v>
      </c>
      <c r="N25" s="72">
        <v>0</v>
      </c>
      <c r="O25" s="71">
        <v>0</v>
      </c>
      <c r="P25" s="72">
        <v>0</v>
      </c>
      <c r="Q25" s="71">
        <v>0</v>
      </c>
      <c r="R25" s="72">
        <v>0</v>
      </c>
      <c r="S25" s="71">
        <v>0</v>
      </c>
      <c r="T25" s="72">
        <v>0</v>
      </c>
      <c r="U25" s="73">
        <v>0</v>
      </c>
      <c r="V25" s="72">
        <v>0</v>
      </c>
      <c r="W25" s="71">
        <v>0</v>
      </c>
      <c r="X25" s="72">
        <v>0</v>
      </c>
      <c r="Y25" s="71">
        <v>0</v>
      </c>
      <c r="Z25" s="72">
        <v>0</v>
      </c>
      <c r="AA25" s="71">
        <v>0</v>
      </c>
      <c r="AB25" s="72">
        <v>0</v>
      </c>
      <c r="AC25" s="74">
        <v>0</v>
      </c>
      <c r="AD25" s="72">
        <v>0</v>
      </c>
      <c r="AE25" s="74">
        <v>0</v>
      </c>
      <c r="AF25" s="72">
        <v>0</v>
      </c>
      <c r="AG25" s="74">
        <v>0</v>
      </c>
      <c r="AH25" s="72">
        <v>0</v>
      </c>
      <c r="AI25" s="74">
        <v>0</v>
      </c>
      <c r="AJ25" s="72">
        <v>0</v>
      </c>
      <c r="AK25" s="74">
        <v>0</v>
      </c>
      <c r="AL25" s="72">
        <v>0</v>
      </c>
      <c r="AM25" s="71">
        <v>0</v>
      </c>
      <c r="AN25" s="75">
        <v>0</v>
      </c>
      <c r="AO25" s="76">
        <f t="shared" si="0"/>
        <v>0</v>
      </c>
      <c r="AP25" s="77">
        <f t="shared" si="1"/>
        <v>0</v>
      </c>
      <c r="AQ25" s="77">
        <f t="shared" si="2"/>
        <v>0</v>
      </c>
      <c r="AR25" s="78">
        <f t="shared" si="3"/>
        <v>0</v>
      </c>
      <c r="AS25" s="79">
        <f t="shared" si="4"/>
        <v>0</v>
      </c>
      <c r="AT25" s="80">
        <f t="shared" si="5"/>
        <v>0</v>
      </c>
      <c r="AU25" s="80">
        <f t="shared" si="6"/>
        <v>0</v>
      </c>
      <c r="AV25" s="80">
        <f t="shared" si="7"/>
        <v>0</v>
      </c>
      <c r="AW25" s="80">
        <f t="shared" si="8"/>
        <v>0</v>
      </c>
      <c r="AX25" s="80">
        <f t="shared" si="9"/>
        <v>0</v>
      </c>
      <c r="AY25" s="76">
        <f t="shared" si="10"/>
        <v>0</v>
      </c>
      <c r="AZ25" s="81">
        <f t="shared" si="11"/>
        <v>0</v>
      </c>
      <c r="BA25" s="78">
        <f t="shared" si="12"/>
        <v>0</v>
      </c>
      <c r="BB25" s="79">
        <f>V25 - U25</f>
        <v>0</v>
      </c>
      <c r="BC25" s="82">
        <f>X25 - W25</f>
        <v>0</v>
      </c>
      <c r="BD25" s="82">
        <f>Z25 - Y25</f>
        <v>0</v>
      </c>
      <c r="BE25" s="82">
        <f>AB25 - AA25</f>
        <v>0</v>
      </c>
      <c r="BF25" s="82">
        <f>AD25 - AC25</f>
        <v>0</v>
      </c>
      <c r="BG25" s="82">
        <f>AF25 - AE25</f>
        <v>0</v>
      </c>
      <c r="BH25" s="82">
        <f>AH25 - AG25</f>
        <v>0</v>
      </c>
      <c r="BI25" s="82">
        <f>AJ25 - AI25</f>
        <v>0</v>
      </c>
      <c r="BJ25" s="82">
        <f>AL25 - AK25</f>
        <v>0</v>
      </c>
      <c r="BK25" s="82">
        <f>AN25 - AM25</f>
        <v>0</v>
      </c>
      <c r="BL25" s="83">
        <f>ROUNDUP(SUM(BB25:BK25) * 288, 0) / 288</f>
        <v>0</v>
      </c>
      <c r="BM25" s="70">
        <v>0</v>
      </c>
    </row>
    <row r="26" spans="1:65" x14ac:dyDescent="0.25">
      <c r="A26" s="71">
        <v>0</v>
      </c>
      <c r="B26" s="72">
        <v>0</v>
      </c>
      <c r="C26" s="71">
        <v>0</v>
      </c>
      <c r="D26" s="72">
        <v>0</v>
      </c>
      <c r="E26" s="71">
        <v>0</v>
      </c>
      <c r="F26" s="72">
        <v>0</v>
      </c>
      <c r="G26" s="71">
        <v>0</v>
      </c>
      <c r="H26" s="72">
        <v>0</v>
      </c>
      <c r="I26" s="71">
        <v>0</v>
      </c>
      <c r="J26" s="72">
        <v>0</v>
      </c>
      <c r="K26" s="71">
        <v>0</v>
      </c>
      <c r="L26" s="72">
        <v>0</v>
      </c>
      <c r="M26" s="71">
        <v>0</v>
      </c>
      <c r="N26" s="72">
        <v>0</v>
      </c>
      <c r="O26" s="71">
        <v>0</v>
      </c>
      <c r="P26" s="72">
        <v>0</v>
      </c>
      <c r="Q26" s="71">
        <v>0</v>
      </c>
      <c r="R26" s="72">
        <v>0</v>
      </c>
      <c r="S26" s="71">
        <v>0</v>
      </c>
      <c r="T26" s="72">
        <v>0</v>
      </c>
      <c r="U26" s="73">
        <v>0</v>
      </c>
      <c r="V26" s="72">
        <v>0</v>
      </c>
      <c r="W26" s="71">
        <v>0</v>
      </c>
      <c r="X26" s="72">
        <v>0</v>
      </c>
      <c r="Y26" s="71">
        <v>0</v>
      </c>
      <c r="Z26" s="72">
        <v>0</v>
      </c>
      <c r="AA26" s="71">
        <v>0</v>
      </c>
      <c r="AB26" s="72">
        <v>0</v>
      </c>
      <c r="AC26" s="74">
        <v>0</v>
      </c>
      <c r="AD26" s="72">
        <v>0</v>
      </c>
      <c r="AE26" s="74">
        <v>0</v>
      </c>
      <c r="AF26" s="72">
        <v>0</v>
      </c>
      <c r="AG26" s="74">
        <v>0</v>
      </c>
      <c r="AH26" s="72">
        <v>0</v>
      </c>
      <c r="AI26" s="74">
        <v>0</v>
      </c>
      <c r="AJ26" s="72">
        <v>0</v>
      </c>
      <c r="AK26" s="74">
        <v>0</v>
      </c>
      <c r="AL26" s="72">
        <v>0</v>
      </c>
      <c r="AM26" s="71">
        <v>0</v>
      </c>
      <c r="AN26" s="75">
        <v>0</v>
      </c>
      <c r="AO26" s="76">
        <f t="shared" si="0"/>
        <v>0</v>
      </c>
      <c r="AP26" s="77">
        <f t="shared" si="1"/>
        <v>0</v>
      </c>
      <c r="AQ26" s="77">
        <f t="shared" si="2"/>
        <v>0</v>
      </c>
      <c r="AR26" s="78">
        <f t="shared" si="3"/>
        <v>0</v>
      </c>
      <c r="AS26" s="79">
        <f t="shared" si="4"/>
        <v>0</v>
      </c>
      <c r="AT26" s="80">
        <f t="shared" si="5"/>
        <v>0</v>
      </c>
      <c r="AU26" s="80">
        <f t="shared" si="6"/>
        <v>0</v>
      </c>
      <c r="AV26" s="80">
        <f t="shared" si="7"/>
        <v>0</v>
      </c>
      <c r="AW26" s="80">
        <f t="shared" si="8"/>
        <v>0</v>
      </c>
      <c r="AX26" s="80">
        <f t="shared" si="9"/>
        <v>0</v>
      </c>
      <c r="AY26" s="76">
        <f t="shared" si="10"/>
        <v>0</v>
      </c>
      <c r="AZ26" s="81">
        <f t="shared" si="11"/>
        <v>0</v>
      </c>
      <c r="BA26" s="78">
        <f t="shared" si="12"/>
        <v>0</v>
      </c>
      <c r="BB26" s="79">
        <f>V26 - U26</f>
        <v>0</v>
      </c>
      <c r="BC26" s="82">
        <f>X26 - W26</f>
        <v>0</v>
      </c>
      <c r="BD26" s="82">
        <f>Z26 - Y26</f>
        <v>0</v>
      </c>
      <c r="BE26" s="82">
        <f>AB26 - AA26</f>
        <v>0</v>
      </c>
      <c r="BF26" s="82">
        <f>AD26 - AC26</f>
        <v>0</v>
      </c>
      <c r="BG26" s="82">
        <f>AF26 - AE26</f>
        <v>0</v>
      </c>
      <c r="BH26" s="82">
        <f>AH26 - AG26</f>
        <v>0</v>
      </c>
      <c r="BI26" s="82">
        <f>AJ26 - AI26</f>
        <v>0</v>
      </c>
      <c r="BJ26" s="82">
        <f>AL26 - AK26</f>
        <v>0</v>
      </c>
      <c r="BK26" s="82">
        <f>AN26 - AM26</f>
        <v>0</v>
      </c>
      <c r="BL26" s="83">
        <f>ROUNDUP(SUM(BB26:BK26) * 288, 0) / 288</f>
        <v>0</v>
      </c>
      <c r="BM26" s="70">
        <v>0</v>
      </c>
    </row>
    <row r="27" spans="1:65" x14ac:dyDescent="0.25">
      <c r="A27" s="71">
        <v>0</v>
      </c>
      <c r="B27" s="72">
        <v>0</v>
      </c>
      <c r="C27" s="71">
        <v>0</v>
      </c>
      <c r="D27" s="72">
        <v>0</v>
      </c>
      <c r="E27" s="71">
        <v>0</v>
      </c>
      <c r="F27" s="72">
        <v>0</v>
      </c>
      <c r="G27" s="71">
        <v>0</v>
      </c>
      <c r="H27" s="72">
        <v>0</v>
      </c>
      <c r="I27" s="71">
        <v>0</v>
      </c>
      <c r="J27" s="72">
        <v>0</v>
      </c>
      <c r="K27" s="71">
        <v>0</v>
      </c>
      <c r="L27" s="72">
        <v>0</v>
      </c>
      <c r="M27" s="71">
        <v>0</v>
      </c>
      <c r="N27" s="72">
        <v>0</v>
      </c>
      <c r="O27" s="71">
        <v>0</v>
      </c>
      <c r="P27" s="72">
        <v>0</v>
      </c>
      <c r="Q27" s="71">
        <v>0</v>
      </c>
      <c r="R27" s="72">
        <v>0</v>
      </c>
      <c r="S27" s="71">
        <v>0</v>
      </c>
      <c r="T27" s="72">
        <v>0</v>
      </c>
      <c r="U27" s="73">
        <v>0</v>
      </c>
      <c r="V27" s="72">
        <v>0</v>
      </c>
      <c r="W27" s="71">
        <v>0</v>
      </c>
      <c r="X27" s="72">
        <v>0</v>
      </c>
      <c r="Y27" s="71">
        <v>0</v>
      </c>
      <c r="Z27" s="72">
        <v>0</v>
      </c>
      <c r="AA27" s="71">
        <v>0</v>
      </c>
      <c r="AB27" s="72">
        <v>0</v>
      </c>
      <c r="AC27" s="74">
        <v>0</v>
      </c>
      <c r="AD27" s="72">
        <v>0</v>
      </c>
      <c r="AE27" s="74">
        <v>0</v>
      </c>
      <c r="AF27" s="72">
        <v>0</v>
      </c>
      <c r="AG27" s="74">
        <v>0</v>
      </c>
      <c r="AH27" s="72">
        <v>0</v>
      </c>
      <c r="AI27" s="74">
        <v>0</v>
      </c>
      <c r="AJ27" s="72">
        <v>0</v>
      </c>
      <c r="AK27" s="74">
        <v>0</v>
      </c>
      <c r="AL27" s="72">
        <v>0</v>
      </c>
      <c r="AM27" s="71">
        <v>0</v>
      </c>
      <c r="AN27" s="75">
        <v>0</v>
      </c>
      <c r="AO27" s="76">
        <f t="shared" si="0"/>
        <v>0</v>
      </c>
      <c r="AP27" s="77">
        <f t="shared" si="1"/>
        <v>0</v>
      </c>
      <c r="AQ27" s="77">
        <f t="shared" si="2"/>
        <v>0</v>
      </c>
      <c r="AR27" s="78">
        <f t="shared" si="3"/>
        <v>0</v>
      </c>
      <c r="AS27" s="79">
        <f t="shared" si="4"/>
        <v>0</v>
      </c>
      <c r="AT27" s="80">
        <f t="shared" si="5"/>
        <v>0</v>
      </c>
      <c r="AU27" s="80">
        <f t="shared" si="6"/>
        <v>0</v>
      </c>
      <c r="AV27" s="80">
        <f t="shared" si="7"/>
        <v>0</v>
      </c>
      <c r="AW27" s="80">
        <f t="shared" si="8"/>
        <v>0</v>
      </c>
      <c r="AX27" s="80">
        <f t="shared" si="9"/>
        <v>0</v>
      </c>
      <c r="AY27" s="76">
        <f t="shared" si="10"/>
        <v>0</v>
      </c>
      <c r="AZ27" s="81">
        <f t="shared" si="11"/>
        <v>0</v>
      </c>
      <c r="BA27" s="78">
        <f t="shared" si="12"/>
        <v>0</v>
      </c>
      <c r="BB27" s="79">
        <f>V27 - U27</f>
        <v>0</v>
      </c>
      <c r="BC27" s="82">
        <f>X27 - W27</f>
        <v>0</v>
      </c>
      <c r="BD27" s="82">
        <f>Z27 - Y27</f>
        <v>0</v>
      </c>
      <c r="BE27" s="82">
        <f>AB27 - AA27</f>
        <v>0</v>
      </c>
      <c r="BF27" s="82">
        <f>AD27 - AC27</f>
        <v>0</v>
      </c>
      <c r="BG27" s="82">
        <f>AF27 - AE27</f>
        <v>0</v>
      </c>
      <c r="BH27" s="82">
        <f>AH27 - AG27</f>
        <v>0</v>
      </c>
      <c r="BI27" s="82">
        <f>AJ27 - AI27</f>
        <v>0</v>
      </c>
      <c r="BJ27" s="82">
        <f>AL27 - AK27</f>
        <v>0</v>
      </c>
      <c r="BK27" s="82">
        <f>AN27 - AM27</f>
        <v>0</v>
      </c>
      <c r="BL27" s="83">
        <f>ROUNDUP(SUM(BB27:BK27) * 288, 0) / 288</f>
        <v>0</v>
      </c>
      <c r="BM27" s="70">
        <v>0</v>
      </c>
    </row>
    <row r="28" spans="1:65" x14ac:dyDescent="0.25">
      <c r="A28" s="71">
        <v>0</v>
      </c>
      <c r="B28" s="72">
        <v>0</v>
      </c>
      <c r="C28" s="71">
        <v>0</v>
      </c>
      <c r="D28" s="72">
        <v>0</v>
      </c>
      <c r="E28" s="71">
        <v>0</v>
      </c>
      <c r="F28" s="72">
        <v>0</v>
      </c>
      <c r="G28" s="71">
        <v>0</v>
      </c>
      <c r="H28" s="72">
        <v>0</v>
      </c>
      <c r="I28" s="71">
        <v>0</v>
      </c>
      <c r="J28" s="72">
        <v>0</v>
      </c>
      <c r="K28" s="71">
        <v>0</v>
      </c>
      <c r="L28" s="72">
        <v>0</v>
      </c>
      <c r="M28" s="71">
        <v>0</v>
      </c>
      <c r="N28" s="72">
        <v>0</v>
      </c>
      <c r="O28" s="71">
        <v>0</v>
      </c>
      <c r="P28" s="72">
        <v>0</v>
      </c>
      <c r="Q28" s="71">
        <v>0</v>
      </c>
      <c r="R28" s="72">
        <v>0</v>
      </c>
      <c r="S28" s="71">
        <v>0</v>
      </c>
      <c r="T28" s="72">
        <v>0</v>
      </c>
      <c r="U28" s="73">
        <v>0</v>
      </c>
      <c r="V28" s="72">
        <v>0</v>
      </c>
      <c r="W28" s="71">
        <v>0</v>
      </c>
      <c r="X28" s="72">
        <v>0</v>
      </c>
      <c r="Y28" s="71">
        <v>0</v>
      </c>
      <c r="Z28" s="72">
        <v>0</v>
      </c>
      <c r="AA28" s="71">
        <v>0</v>
      </c>
      <c r="AB28" s="72">
        <v>0</v>
      </c>
      <c r="AC28" s="74">
        <v>0</v>
      </c>
      <c r="AD28" s="72">
        <v>0</v>
      </c>
      <c r="AE28" s="74">
        <v>0</v>
      </c>
      <c r="AF28" s="72">
        <v>0</v>
      </c>
      <c r="AG28" s="74">
        <v>0</v>
      </c>
      <c r="AH28" s="72">
        <v>0</v>
      </c>
      <c r="AI28" s="74">
        <v>0</v>
      </c>
      <c r="AJ28" s="72">
        <v>0</v>
      </c>
      <c r="AK28" s="74">
        <v>0</v>
      </c>
      <c r="AL28" s="72">
        <v>0</v>
      </c>
      <c r="AM28" s="71">
        <v>0</v>
      </c>
      <c r="AN28" s="75">
        <v>0</v>
      </c>
      <c r="AO28" s="76">
        <f t="shared" si="0"/>
        <v>0</v>
      </c>
      <c r="AP28" s="77">
        <f t="shared" si="1"/>
        <v>0</v>
      </c>
      <c r="AQ28" s="77">
        <f t="shared" si="2"/>
        <v>0</v>
      </c>
      <c r="AR28" s="78">
        <f t="shared" si="3"/>
        <v>0</v>
      </c>
      <c r="AS28" s="79">
        <f t="shared" si="4"/>
        <v>0</v>
      </c>
      <c r="AT28" s="80">
        <f t="shared" si="5"/>
        <v>0</v>
      </c>
      <c r="AU28" s="80">
        <f t="shared" si="6"/>
        <v>0</v>
      </c>
      <c r="AV28" s="80">
        <f t="shared" si="7"/>
        <v>0</v>
      </c>
      <c r="AW28" s="80">
        <f t="shared" si="8"/>
        <v>0</v>
      </c>
      <c r="AX28" s="80">
        <f t="shared" si="9"/>
        <v>0</v>
      </c>
      <c r="AY28" s="76">
        <f t="shared" si="10"/>
        <v>0</v>
      </c>
      <c r="AZ28" s="81">
        <f t="shared" si="11"/>
        <v>0</v>
      </c>
      <c r="BA28" s="78">
        <f t="shared" si="12"/>
        <v>0</v>
      </c>
      <c r="BB28" s="79">
        <f>V28 - U28</f>
        <v>0</v>
      </c>
      <c r="BC28" s="82">
        <f>X28 - W28</f>
        <v>0</v>
      </c>
      <c r="BD28" s="82">
        <f>Z28 - Y28</f>
        <v>0</v>
      </c>
      <c r="BE28" s="82">
        <f>AB28 - AA28</f>
        <v>0</v>
      </c>
      <c r="BF28" s="82">
        <f>AD28 - AC28</f>
        <v>0</v>
      </c>
      <c r="BG28" s="82">
        <f>AF28 - AE28</f>
        <v>0</v>
      </c>
      <c r="BH28" s="82">
        <f>AH28 - AG28</f>
        <v>0</v>
      </c>
      <c r="BI28" s="82">
        <f>AJ28 - AI28</f>
        <v>0</v>
      </c>
      <c r="BJ28" s="82">
        <f>AL28 - AK28</f>
        <v>0</v>
      </c>
      <c r="BK28" s="82">
        <f>AN28 - AM28</f>
        <v>0</v>
      </c>
      <c r="BL28" s="83">
        <f>ROUNDUP(SUM(BB28:BK28) * 288, 0) / 288</f>
        <v>0</v>
      </c>
      <c r="BM28" s="70">
        <v>0</v>
      </c>
    </row>
    <row r="29" spans="1:65" x14ac:dyDescent="0.25">
      <c r="A29" s="71">
        <v>0</v>
      </c>
      <c r="B29" s="72">
        <v>0</v>
      </c>
      <c r="C29" s="71">
        <v>0</v>
      </c>
      <c r="D29" s="72">
        <v>0</v>
      </c>
      <c r="E29" s="71">
        <v>0</v>
      </c>
      <c r="F29" s="72">
        <v>0</v>
      </c>
      <c r="G29" s="71">
        <v>0</v>
      </c>
      <c r="H29" s="72">
        <v>0</v>
      </c>
      <c r="I29" s="71">
        <v>0</v>
      </c>
      <c r="J29" s="72">
        <v>0</v>
      </c>
      <c r="K29" s="71">
        <v>0</v>
      </c>
      <c r="L29" s="72">
        <v>0</v>
      </c>
      <c r="M29" s="71">
        <v>0</v>
      </c>
      <c r="N29" s="72">
        <v>0</v>
      </c>
      <c r="O29" s="71">
        <v>0</v>
      </c>
      <c r="P29" s="72">
        <v>0</v>
      </c>
      <c r="Q29" s="71">
        <v>0</v>
      </c>
      <c r="R29" s="72">
        <v>0</v>
      </c>
      <c r="S29" s="71">
        <v>0</v>
      </c>
      <c r="T29" s="72">
        <v>0</v>
      </c>
      <c r="U29" s="73">
        <v>0</v>
      </c>
      <c r="V29" s="72">
        <v>0</v>
      </c>
      <c r="W29" s="71">
        <v>0</v>
      </c>
      <c r="X29" s="72">
        <v>0</v>
      </c>
      <c r="Y29" s="71">
        <v>0</v>
      </c>
      <c r="Z29" s="72">
        <v>0</v>
      </c>
      <c r="AA29" s="71">
        <v>0</v>
      </c>
      <c r="AB29" s="72">
        <v>0</v>
      </c>
      <c r="AC29" s="74">
        <v>0</v>
      </c>
      <c r="AD29" s="72">
        <v>0</v>
      </c>
      <c r="AE29" s="74">
        <v>0</v>
      </c>
      <c r="AF29" s="72">
        <v>0</v>
      </c>
      <c r="AG29" s="74">
        <v>0</v>
      </c>
      <c r="AH29" s="72">
        <v>0</v>
      </c>
      <c r="AI29" s="74">
        <v>0</v>
      </c>
      <c r="AJ29" s="72">
        <v>0</v>
      </c>
      <c r="AK29" s="74">
        <v>0</v>
      </c>
      <c r="AL29" s="72">
        <v>0</v>
      </c>
      <c r="AM29" s="71">
        <v>0</v>
      </c>
      <c r="AN29" s="75">
        <v>0</v>
      </c>
      <c r="AO29" s="76">
        <f t="shared" si="0"/>
        <v>0</v>
      </c>
      <c r="AP29" s="77">
        <f t="shared" si="1"/>
        <v>0</v>
      </c>
      <c r="AQ29" s="77">
        <f t="shared" si="2"/>
        <v>0</v>
      </c>
      <c r="AR29" s="78">
        <f t="shared" si="3"/>
        <v>0</v>
      </c>
      <c r="AS29" s="79">
        <f t="shared" si="4"/>
        <v>0</v>
      </c>
      <c r="AT29" s="80">
        <f t="shared" si="5"/>
        <v>0</v>
      </c>
      <c r="AU29" s="80">
        <f t="shared" si="6"/>
        <v>0</v>
      </c>
      <c r="AV29" s="80">
        <f t="shared" si="7"/>
        <v>0</v>
      </c>
      <c r="AW29" s="80">
        <f t="shared" si="8"/>
        <v>0</v>
      </c>
      <c r="AX29" s="80">
        <f t="shared" si="9"/>
        <v>0</v>
      </c>
      <c r="AY29" s="76">
        <f t="shared" si="10"/>
        <v>0</v>
      </c>
      <c r="AZ29" s="81">
        <f t="shared" si="11"/>
        <v>0</v>
      </c>
      <c r="BA29" s="78">
        <f t="shared" si="12"/>
        <v>0</v>
      </c>
      <c r="BB29" s="79">
        <f>V29 - U29</f>
        <v>0</v>
      </c>
      <c r="BC29" s="82">
        <f>X29 - W29</f>
        <v>0</v>
      </c>
      <c r="BD29" s="82">
        <f>Z29 - Y29</f>
        <v>0</v>
      </c>
      <c r="BE29" s="82">
        <f>AB29 - AA29</f>
        <v>0</v>
      </c>
      <c r="BF29" s="82">
        <f>AD29 - AC29</f>
        <v>0</v>
      </c>
      <c r="BG29" s="82">
        <f>AF29 - AE29</f>
        <v>0</v>
      </c>
      <c r="BH29" s="82">
        <f>AH29 - AG29</f>
        <v>0</v>
      </c>
      <c r="BI29" s="82">
        <f>AJ29 - AI29</f>
        <v>0</v>
      </c>
      <c r="BJ29" s="82">
        <f>AL29 - AK29</f>
        <v>0</v>
      </c>
      <c r="BK29" s="82">
        <f>AN29 - AM29</f>
        <v>0</v>
      </c>
      <c r="BL29" s="83">
        <f>ROUNDUP(SUM(BB29:BK29) * 288, 0) / 288</f>
        <v>0</v>
      </c>
      <c r="BM29" s="70">
        <v>0</v>
      </c>
    </row>
    <row r="30" spans="1:65" x14ac:dyDescent="0.25">
      <c r="A30" s="71">
        <v>0</v>
      </c>
      <c r="B30" s="72">
        <v>0</v>
      </c>
      <c r="C30" s="71">
        <v>0</v>
      </c>
      <c r="D30" s="72">
        <v>0</v>
      </c>
      <c r="E30" s="71">
        <v>0</v>
      </c>
      <c r="F30" s="72">
        <v>0</v>
      </c>
      <c r="G30" s="71">
        <v>0</v>
      </c>
      <c r="H30" s="72">
        <v>0</v>
      </c>
      <c r="I30" s="71">
        <v>0</v>
      </c>
      <c r="J30" s="72">
        <v>0</v>
      </c>
      <c r="K30" s="71">
        <v>0</v>
      </c>
      <c r="L30" s="72">
        <v>0</v>
      </c>
      <c r="M30" s="71">
        <v>0</v>
      </c>
      <c r="N30" s="72">
        <v>0</v>
      </c>
      <c r="O30" s="71">
        <v>0</v>
      </c>
      <c r="P30" s="72">
        <v>0</v>
      </c>
      <c r="Q30" s="71">
        <v>0</v>
      </c>
      <c r="R30" s="72">
        <v>0</v>
      </c>
      <c r="S30" s="71">
        <v>0</v>
      </c>
      <c r="T30" s="72">
        <v>0</v>
      </c>
      <c r="U30" s="73">
        <v>0</v>
      </c>
      <c r="V30" s="72">
        <v>0</v>
      </c>
      <c r="W30" s="71">
        <v>0</v>
      </c>
      <c r="X30" s="72">
        <v>0</v>
      </c>
      <c r="Y30" s="71">
        <v>0</v>
      </c>
      <c r="Z30" s="72">
        <v>0</v>
      </c>
      <c r="AA30" s="71">
        <v>0</v>
      </c>
      <c r="AB30" s="72">
        <v>0</v>
      </c>
      <c r="AC30" s="74">
        <v>0</v>
      </c>
      <c r="AD30" s="72">
        <v>0</v>
      </c>
      <c r="AE30" s="74">
        <v>0</v>
      </c>
      <c r="AF30" s="72">
        <v>0</v>
      </c>
      <c r="AG30" s="74">
        <v>0</v>
      </c>
      <c r="AH30" s="72">
        <v>0</v>
      </c>
      <c r="AI30" s="74">
        <v>0</v>
      </c>
      <c r="AJ30" s="72">
        <v>0</v>
      </c>
      <c r="AK30" s="74">
        <v>0</v>
      </c>
      <c r="AL30" s="72">
        <v>0</v>
      </c>
      <c r="AM30" s="71">
        <v>0</v>
      </c>
      <c r="AN30" s="75">
        <v>0</v>
      </c>
      <c r="AO30" s="76">
        <f t="shared" si="0"/>
        <v>0</v>
      </c>
      <c r="AP30" s="77">
        <f t="shared" si="1"/>
        <v>0</v>
      </c>
      <c r="AQ30" s="77">
        <f t="shared" si="2"/>
        <v>0</v>
      </c>
      <c r="AR30" s="78">
        <f t="shared" si="3"/>
        <v>0</v>
      </c>
      <c r="AS30" s="79">
        <f t="shared" si="4"/>
        <v>0</v>
      </c>
      <c r="AT30" s="80">
        <f t="shared" si="5"/>
        <v>0</v>
      </c>
      <c r="AU30" s="80">
        <f t="shared" si="6"/>
        <v>0</v>
      </c>
      <c r="AV30" s="80">
        <f t="shared" si="7"/>
        <v>0</v>
      </c>
      <c r="AW30" s="80">
        <f t="shared" si="8"/>
        <v>0</v>
      </c>
      <c r="AX30" s="80">
        <f t="shared" si="9"/>
        <v>0</v>
      </c>
      <c r="AY30" s="76">
        <f t="shared" si="10"/>
        <v>0</v>
      </c>
      <c r="AZ30" s="81">
        <f t="shared" si="11"/>
        <v>0</v>
      </c>
      <c r="BA30" s="78">
        <f t="shared" si="12"/>
        <v>0</v>
      </c>
      <c r="BB30" s="79">
        <f>V30 - U30</f>
        <v>0</v>
      </c>
      <c r="BC30" s="82">
        <f>X30 - W30</f>
        <v>0</v>
      </c>
      <c r="BD30" s="82">
        <f>Z30 - Y30</f>
        <v>0</v>
      </c>
      <c r="BE30" s="82">
        <f>AB30 - AA30</f>
        <v>0</v>
      </c>
      <c r="BF30" s="82">
        <f>AD30 - AC30</f>
        <v>0</v>
      </c>
      <c r="BG30" s="82">
        <f>AF30 - AE30</f>
        <v>0</v>
      </c>
      <c r="BH30" s="82">
        <f>AH30 - AG30</f>
        <v>0</v>
      </c>
      <c r="BI30" s="82">
        <f>AJ30 - AI30</f>
        <v>0</v>
      </c>
      <c r="BJ30" s="82">
        <f>AL30 - AK30</f>
        <v>0</v>
      </c>
      <c r="BK30" s="82">
        <f>AN30 - AM30</f>
        <v>0</v>
      </c>
      <c r="BL30" s="83">
        <f>ROUNDUP(SUM(BB30:BK30) * 288, 0) / 288</f>
        <v>0</v>
      </c>
      <c r="BM30" s="70">
        <v>0</v>
      </c>
    </row>
    <row r="31" spans="1:65" x14ac:dyDescent="0.25">
      <c r="A31" s="71">
        <v>0</v>
      </c>
      <c r="B31" s="72">
        <v>0</v>
      </c>
      <c r="C31" s="71">
        <v>0</v>
      </c>
      <c r="D31" s="72">
        <v>0</v>
      </c>
      <c r="E31" s="71">
        <v>0</v>
      </c>
      <c r="F31" s="72">
        <v>0</v>
      </c>
      <c r="G31" s="71">
        <v>0</v>
      </c>
      <c r="H31" s="72">
        <v>0</v>
      </c>
      <c r="I31" s="71">
        <v>0</v>
      </c>
      <c r="J31" s="72">
        <v>0</v>
      </c>
      <c r="K31" s="71">
        <v>0</v>
      </c>
      <c r="L31" s="72">
        <v>0</v>
      </c>
      <c r="M31" s="71">
        <v>0</v>
      </c>
      <c r="N31" s="72">
        <v>0</v>
      </c>
      <c r="O31" s="71">
        <v>0</v>
      </c>
      <c r="P31" s="72">
        <v>0</v>
      </c>
      <c r="Q31" s="71">
        <v>0</v>
      </c>
      <c r="R31" s="72">
        <v>0</v>
      </c>
      <c r="S31" s="71">
        <v>0</v>
      </c>
      <c r="T31" s="72">
        <v>0</v>
      </c>
      <c r="U31" s="73">
        <v>0</v>
      </c>
      <c r="V31" s="72">
        <v>0</v>
      </c>
      <c r="W31" s="71">
        <v>0</v>
      </c>
      <c r="X31" s="72">
        <v>0</v>
      </c>
      <c r="Y31" s="71">
        <v>0</v>
      </c>
      <c r="Z31" s="72">
        <v>0</v>
      </c>
      <c r="AA31" s="71">
        <v>0</v>
      </c>
      <c r="AB31" s="72">
        <v>0</v>
      </c>
      <c r="AC31" s="74">
        <v>0</v>
      </c>
      <c r="AD31" s="72">
        <v>0</v>
      </c>
      <c r="AE31" s="74">
        <v>0</v>
      </c>
      <c r="AF31" s="72">
        <v>0</v>
      </c>
      <c r="AG31" s="74">
        <v>0</v>
      </c>
      <c r="AH31" s="72">
        <v>0</v>
      </c>
      <c r="AI31" s="74">
        <v>0</v>
      </c>
      <c r="AJ31" s="72">
        <v>0</v>
      </c>
      <c r="AK31" s="74">
        <v>0</v>
      </c>
      <c r="AL31" s="72">
        <v>0</v>
      </c>
      <c r="AM31" s="71">
        <v>0</v>
      </c>
      <c r="AN31" s="75">
        <v>0</v>
      </c>
      <c r="AO31" s="76">
        <f t="shared" si="0"/>
        <v>0</v>
      </c>
      <c r="AP31" s="77">
        <f t="shared" si="1"/>
        <v>0</v>
      </c>
      <c r="AQ31" s="77">
        <f t="shared" si="2"/>
        <v>0</v>
      </c>
      <c r="AR31" s="78">
        <f t="shared" si="3"/>
        <v>0</v>
      </c>
      <c r="AS31" s="79">
        <f t="shared" si="4"/>
        <v>0</v>
      </c>
      <c r="AT31" s="80">
        <f t="shared" si="5"/>
        <v>0</v>
      </c>
      <c r="AU31" s="80">
        <f t="shared" si="6"/>
        <v>0</v>
      </c>
      <c r="AV31" s="80">
        <f t="shared" si="7"/>
        <v>0</v>
      </c>
      <c r="AW31" s="80">
        <f t="shared" si="8"/>
        <v>0</v>
      </c>
      <c r="AX31" s="80">
        <f t="shared" si="9"/>
        <v>0</v>
      </c>
      <c r="AY31" s="76">
        <f t="shared" si="10"/>
        <v>0</v>
      </c>
      <c r="AZ31" s="81">
        <f t="shared" si="11"/>
        <v>0</v>
      </c>
      <c r="BA31" s="78">
        <f t="shared" si="12"/>
        <v>0</v>
      </c>
      <c r="BB31" s="79">
        <f>V31 - U31</f>
        <v>0</v>
      </c>
      <c r="BC31" s="82">
        <f>X31 - W31</f>
        <v>0</v>
      </c>
      <c r="BD31" s="82">
        <f>Z31 - Y31</f>
        <v>0</v>
      </c>
      <c r="BE31" s="82">
        <f>AB31 - AA31</f>
        <v>0</v>
      </c>
      <c r="BF31" s="82">
        <f>AD31 - AC31</f>
        <v>0</v>
      </c>
      <c r="BG31" s="82">
        <f>AF31 - AE31</f>
        <v>0</v>
      </c>
      <c r="BH31" s="82">
        <f>AH31 - AG31</f>
        <v>0</v>
      </c>
      <c r="BI31" s="82">
        <f>AJ31 - AI31</f>
        <v>0</v>
      </c>
      <c r="BJ31" s="82">
        <f>AL31 - AK31</f>
        <v>0</v>
      </c>
      <c r="BK31" s="82">
        <f>AN31 - AM31</f>
        <v>0</v>
      </c>
      <c r="BL31" s="83">
        <f>ROUNDUP(SUM(BB31:BK31) * 288, 0) / 288</f>
        <v>0</v>
      </c>
      <c r="BM31" s="70">
        <v>0</v>
      </c>
    </row>
    <row r="32" spans="1:65" x14ac:dyDescent="0.25">
      <c r="A32" s="71">
        <v>0</v>
      </c>
      <c r="B32" s="72">
        <v>0</v>
      </c>
      <c r="C32" s="71">
        <v>0</v>
      </c>
      <c r="D32" s="72">
        <v>0</v>
      </c>
      <c r="E32" s="71">
        <v>0</v>
      </c>
      <c r="F32" s="72">
        <v>0</v>
      </c>
      <c r="G32" s="71">
        <v>0</v>
      </c>
      <c r="H32" s="72">
        <v>0</v>
      </c>
      <c r="I32" s="71">
        <v>0</v>
      </c>
      <c r="J32" s="72">
        <v>0</v>
      </c>
      <c r="K32" s="71">
        <v>0</v>
      </c>
      <c r="L32" s="72">
        <v>0</v>
      </c>
      <c r="M32" s="71">
        <v>0</v>
      </c>
      <c r="N32" s="72">
        <v>0</v>
      </c>
      <c r="O32" s="71">
        <v>0</v>
      </c>
      <c r="P32" s="72">
        <v>0</v>
      </c>
      <c r="Q32" s="71">
        <v>0</v>
      </c>
      <c r="R32" s="72">
        <v>0</v>
      </c>
      <c r="S32" s="71">
        <v>0</v>
      </c>
      <c r="T32" s="72">
        <v>0</v>
      </c>
      <c r="U32" s="73">
        <v>0</v>
      </c>
      <c r="V32" s="72">
        <v>0</v>
      </c>
      <c r="W32" s="71">
        <v>0</v>
      </c>
      <c r="X32" s="72">
        <v>0</v>
      </c>
      <c r="Y32" s="71">
        <v>0</v>
      </c>
      <c r="Z32" s="72">
        <v>0</v>
      </c>
      <c r="AA32" s="71">
        <v>0</v>
      </c>
      <c r="AB32" s="72">
        <v>0</v>
      </c>
      <c r="AC32" s="74">
        <v>0</v>
      </c>
      <c r="AD32" s="72">
        <v>0</v>
      </c>
      <c r="AE32" s="74">
        <v>0</v>
      </c>
      <c r="AF32" s="72">
        <v>0</v>
      </c>
      <c r="AG32" s="74">
        <v>0</v>
      </c>
      <c r="AH32" s="72">
        <v>0</v>
      </c>
      <c r="AI32" s="74">
        <v>0</v>
      </c>
      <c r="AJ32" s="72">
        <v>0</v>
      </c>
      <c r="AK32" s="74">
        <v>0</v>
      </c>
      <c r="AL32" s="72">
        <v>0</v>
      </c>
      <c r="AM32" s="71">
        <v>0</v>
      </c>
      <c r="AN32" s="75">
        <v>0</v>
      </c>
      <c r="AO32" s="76">
        <f t="shared" si="0"/>
        <v>0</v>
      </c>
      <c r="AP32" s="77">
        <f t="shared" si="1"/>
        <v>0</v>
      </c>
      <c r="AQ32" s="77">
        <f t="shared" si="2"/>
        <v>0</v>
      </c>
      <c r="AR32" s="78">
        <f t="shared" si="3"/>
        <v>0</v>
      </c>
      <c r="AS32" s="79">
        <f t="shared" si="4"/>
        <v>0</v>
      </c>
      <c r="AT32" s="80">
        <f t="shared" si="5"/>
        <v>0</v>
      </c>
      <c r="AU32" s="80">
        <f t="shared" si="6"/>
        <v>0</v>
      </c>
      <c r="AV32" s="80">
        <f t="shared" si="7"/>
        <v>0</v>
      </c>
      <c r="AW32" s="80">
        <f t="shared" si="8"/>
        <v>0</v>
      </c>
      <c r="AX32" s="80">
        <f t="shared" si="9"/>
        <v>0</v>
      </c>
      <c r="AY32" s="76">
        <f t="shared" si="10"/>
        <v>0</v>
      </c>
      <c r="AZ32" s="81">
        <f t="shared" si="11"/>
        <v>0</v>
      </c>
      <c r="BA32" s="78">
        <f t="shared" si="12"/>
        <v>0</v>
      </c>
      <c r="BB32" s="79">
        <f>V32 - U32</f>
        <v>0</v>
      </c>
      <c r="BC32" s="82">
        <f>X32 - W32</f>
        <v>0</v>
      </c>
      <c r="BD32" s="82">
        <f>Z32 - Y32</f>
        <v>0</v>
      </c>
      <c r="BE32" s="82">
        <f>AB32 - AA32</f>
        <v>0</v>
      </c>
      <c r="BF32" s="82">
        <f>AD32 - AC32</f>
        <v>0</v>
      </c>
      <c r="BG32" s="82">
        <f>AF32 - AE32</f>
        <v>0</v>
      </c>
      <c r="BH32" s="82">
        <f>AH32 - AG32</f>
        <v>0</v>
      </c>
      <c r="BI32" s="82">
        <f>AJ32 - AI32</f>
        <v>0</v>
      </c>
      <c r="BJ32" s="82">
        <f>AL32 - AK32</f>
        <v>0</v>
      </c>
      <c r="BK32" s="82">
        <f>AN32 - AM32</f>
        <v>0</v>
      </c>
      <c r="BL32" s="83">
        <f>ROUNDUP(SUM(BB32:BK32) * 288, 0) / 288</f>
        <v>0</v>
      </c>
      <c r="BM32" s="70">
        <v>0</v>
      </c>
    </row>
    <row r="33" spans="1:65" x14ac:dyDescent="0.25">
      <c r="A33" s="71">
        <v>0</v>
      </c>
      <c r="B33" s="72">
        <v>0</v>
      </c>
      <c r="C33" s="71">
        <v>0</v>
      </c>
      <c r="D33" s="72">
        <v>0</v>
      </c>
      <c r="E33" s="71">
        <v>0</v>
      </c>
      <c r="F33" s="72">
        <v>0</v>
      </c>
      <c r="G33" s="71">
        <v>0</v>
      </c>
      <c r="H33" s="72">
        <v>0</v>
      </c>
      <c r="I33" s="71">
        <v>0</v>
      </c>
      <c r="J33" s="72">
        <v>0</v>
      </c>
      <c r="K33" s="71">
        <v>0</v>
      </c>
      <c r="L33" s="72">
        <v>0</v>
      </c>
      <c r="M33" s="71">
        <v>0</v>
      </c>
      <c r="N33" s="72">
        <v>0</v>
      </c>
      <c r="O33" s="71">
        <v>0</v>
      </c>
      <c r="P33" s="72">
        <v>0</v>
      </c>
      <c r="Q33" s="71">
        <v>0</v>
      </c>
      <c r="R33" s="72">
        <v>0</v>
      </c>
      <c r="S33" s="71">
        <v>0</v>
      </c>
      <c r="T33" s="72">
        <v>0</v>
      </c>
      <c r="U33" s="73">
        <v>0</v>
      </c>
      <c r="V33" s="72">
        <v>0</v>
      </c>
      <c r="W33" s="71">
        <v>0</v>
      </c>
      <c r="X33" s="72">
        <v>0</v>
      </c>
      <c r="Y33" s="71">
        <v>0</v>
      </c>
      <c r="Z33" s="72">
        <v>0</v>
      </c>
      <c r="AA33" s="71">
        <v>0</v>
      </c>
      <c r="AB33" s="72">
        <v>0</v>
      </c>
      <c r="AC33" s="74">
        <v>0</v>
      </c>
      <c r="AD33" s="72">
        <v>0</v>
      </c>
      <c r="AE33" s="74">
        <v>0</v>
      </c>
      <c r="AF33" s="72">
        <v>0</v>
      </c>
      <c r="AG33" s="74">
        <v>0</v>
      </c>
      <c r="AH33" s="72">
        <v>0</v>
      </c>
      <c r="AI33" s="74">
        <v>0</v>
      </c>
      <c r="AJ33" s="72">
        <v>0</v>
      </c>
      <c r="AK33" s="74">
        <v>0</v>
      </c>
      <c r="AL33" s="72">
        <v>0</v>
      </c>
      <c r="AM33" s="71">
        <v>0</v>
      </c>
      <c r="AN33" s="75">
        <v>0</v>
      </c>
      <c r="AO33" s="76">
        <f t="shared" si="0"/>
        <v>0</v>
      </c>
      <c r="AP33" s="77">
        <f t="shared" si="1"/>
        <v>0</v>
      </c>
      <c r="AQ33" s="77">
        <f t="shared" si="2"/>
        <v>0</v>
      </c>
      <c r="AR33" s="78">
        <f t="shared" si="3"/>
        <v>0</v>
      </c>
      <c r="AS33" s="79">
        <f t="shared" si="4"/>
        <v>0</v>
      </c>
      <c r="AT33" s="80">
        <f t="shared" si="5"/>
        <v>0</v>
      </c>
      <c r="AU33" s="80">
        <f t="shared" si="6"/>
        <v>0</v>
      </c>
      <c r="AV33" s="80">
        <f t="shared" si="7"/>
        <v>0</v>
      </c>
      <c r="AW33" s="80">
        <f t="shared" si="8"/>
        <v>0</v>
      </c>
      <c r="AX33" s="80">
        <f t="shared" si="9"/>
        <v>0</v>
      </c>
      <c r="AY33" s="76">
        <f t="shared" si="10"/>
        <v>0</v>
      </c>
      <c r="AZ33" s="81">
        <f t="shared" si="11"/>
        <v>0</v>
      </c>
      <c r="BA33" s="78">
        <f t="shared" si="12"/>
        <v>0</v>
      </c>
      <c r="BB33" s="79">
        <f>V33 - U33</f>
        <v>0</v>
      </c>
      <c r="BC33" s="82">
        <f>X33 - W33</f>
        <v>0</v>
      </c>
      <c r="BD33" s="82">
        <f>Z33 - Y33</f>
        <v>0</v>
      </c>
      <c r="BE33" s="82">
        <f>AB33 - AA33</f>
        <v>0</v>
      </c>
      <c r="BF33" s="82">
        <f>AD33 - AC33</f>
        <v>0</v>
      </c>
      <c r="BG33" s="82">
        <f>AF33 - AE33</f>
        <v>0</v>
      </c>
      <c r="BH33" s="82">
        <f>AH33 - AG33</f>
        <v>0</v>
      </c>
      <c r="BI33" s="82">
        <f>AJ33 - AI33</f>
        <v>0</v>
      </c>
      <c r="BJ33" s="82">
        <f>AL33 - AK33</f>
        <v>0</v>
      </c>
      <c r="BK33" s="82">
        <f>AN33 - AM33</f>
        <v>0</v>
      </c>
      <c r="BL33" s="83">
        <f>ROUNDUP(SUM(BB33:BK33) * 288, 0) / 288</f>
        <v>0</v>
      </c>
      <c r="BM33" s="70">
        <v>0</v>
      </c>
    </row>
    <row r="34" spans="1:65" x14ac:dyDescent="0.25">
      <c r="A34" s="71">
        <v>0</v>
      </c>
      <c r="B34" s="72">
        <v>0</v>
      </c>
      <c r="C34" s="71">
        <v>0</v>
      </c>
      <c r="D34" s="72">
        <v>0</v>
      </c>
      <c r="E34" s="71">
        <v>0</v>
      </c>
      <c r="F34" s="72">
        <v>0</v>
      </c>
      <c r="G34" s="71">
        <v>0</v>
      </c>
      <c r="H34" s="72">
        <v>0</v>
      </c>
      <c r="I34" s="71">
        <v>0</v>
      </c>
      <c r="J34" s="72">
        <v>0</v>
      </c>
      <c r="K34" s="71">
        <v>0</v>
      </c>
      <c r="L34" s="72">
        <v>0</v>
      </c>
      <c r="M34" s="71">
        <v>0</v>
      </c>
      <c r="N34" s="72">
        <v>0</v>
      </c>
      <c r="O34" s="71">
        <v>0</v>
      </c>
      <c r="P34" s="72">
        <v>0</v>
      </c>
      <c r="Q34" s="71">
        <v>0</v>
      </c>
      <c r="R34" s="72">
        <v>0</v>
      </c>
      <c r="S34" s="71">
        <v>0</v>
      </c>
      <c r="T34" s="72">
        <v>0</v>
      </c>
      <c r="U34" s="73">
        <v>0</v>
      </c>
      <c r="V34" s="72">
        <v>0</v>
      </c>
      <c r="W34" s="71">
        <v>0</v>
      </c>
      <c r="X34" s="72">
        <v>0</v>
      </c>
      <c r="Y34" s="71">
        <v>0</v>
      </c>
      <c r="Z34" s="72">
        <v>0</v>
      </c>
      <c r="AA34" s="71">
        <v>0</v>
      </c>
      <c r="AB34" s="72">
        <v>0</v>
      </c>
      <c r="AC34" s="74">
        <v>0</v>
      </c>
      <c r="AD34" s="72">
        <v>0</v>
      </c>
      <c r="AE34" s="74">
        <v>0</v>
      </c>
      <c r="AF34" s="72">
        <v>0</v>
      </c>
      <c r="AG34" s="74">
        <v>0</v>
      </c>
      <c r="AH34" s="72">
        <v>0</v>
      </c>
      <c r="AI34" s="74">
        <v>0</v>
      </c>
      <c r="AJ34" s="72">
        <v>0</v>
      </c>
      <c r="AK34" s="74">
        <v>0</v>
      </c>
      <c r="AL34" s="72">
        <v>0</v>
      </c>
      <c r="AM34" s="71">
        <v>0</v>
      </c>
      <c r="AN34" s="75">
        <v>0</v>
      </c>
      <c r="AO34" s="76">
        <f t="shared" si="0"/>
        <v>0</v>
      </c>
      <c r="AP34" s="77">
        <f t="shared" si="1"/>
        <v>0</v>
      </c>
      <c r="AQ34" s="77">
        <f t="shared" si="2"/>
        <v>0</v>
      </c>
      <c r="AR34" s="78">
        <f t="shared" si="3"/>
        <v>0</v>
      </c>
      <c r="AS34" s="79">
        <f t="shared" si="4"/>
        <v>0</v>
      </c>
      <c r="AT34" s="80">
        <f t="shared" si="5"/>
        <v>0</v>
      </c>
      <c r="AU34" s="80">
        <f t="shared" si="6"/>
        <v>0</v>
      </c>
      <c r="AV34" s="80">
        <f t="shared" si="7"/>
        <v>0</v>
      </c>
      <c r="AW34" s="80">
        <f t="shared" si="8"/>
        <v>0</v>
      </c>
      <c r="AX34" s="80">
        <f t="shared" si="9"/>
        <v>0</v>
      </c>
      <c r="AY34" s="76">
        <f t="shared" si="10"/>
        <v>0</v>
      </c>
      <c r="AZ34" s="81">
        <f t="shared" si="11"/>
        <v>0</v>
      </c>
      <c r="BA34" s="78">
        <f t="shared" si="12"/>
        <v>0</v>
      </c>
      <c r="BB34" s="79">
        <f>V34 - U34</f>
        <v>0</v>
      </c>
      <c r="BC34" s="82">
        <f>X34 - W34</f>
        <v>0</v>
      </c>
      <c r="BD34" s="82">
        <f>Z34 - Y34</f>
        <v>0</v>
      </c>
      <c r="BE34" s="82">
        <f>AB34 - AA34</f>
        <v>0</v>
      </c>
      <c r="BF34" s="82">
        <f>AD34 - AC34</f>
        <v>0</v>
      </c>
      <c r="BG34" s="82">
        <f>AF34 - AE34</f>
        <v>0</v>
      </c>
      <c r="BH34" s="82">
        <f>AH34 - AG34</f>
        <v>0</v>
      </c>
      <c r="BI34" s="82">
        <f>AJ34 - AI34</f>
        <v>0</v>
      </c>
      <c r="BJ34" s="82">
        <f>AL34 - AK34</f>
        <v>0</v>
      </c>
      <c r="BK34" s="82">
        <f>AN34 - AM34</f>
        <v>0</v>
      </c>
      <c r="BL34" s="83">
        <f>ROUNDUP(SUM(BB34:BK34) * 288, 0) / 288</f>
        <v>0</v>
      </c>
      <c r="BM34" s="70">
        <v>0</v>
      </c>
    </row>
    <row r="35" spans="1:65" x14ac:dyDescent="0.25">
      <c r="A35" s="84">
        <v>0</v>
      </c>
      <c r="B35" s="85">
        <v>0</v>
      </c>
      <c r="C35" s="84">
        <v>0</v>
      </c>
      <c r="D35" s="85">
        <v>0</v>
      </c>
      <c r="E35" s="84">
        <v>0</v>
      </c>
      <c r="F35" s="85">
        <v>0</v>
      </c>
      <c r="G35" s="84">
        <v>0</v>
      </c>
      <c r="H35" s="85">
        <v>0</v>
      </c>
      <c r="I35" s="84">
        <v>0</v>
      </c>
      <c r="J35" s="85">
        <v>0</v>
      </c>
      <c r="K35" s="84">
        <v>0</v>
      </c>
      <c r="L35" s="85">
        <v>0</v>
      </c>
      <c r="M35" s="84">
        <v>0</v>
      </c>
      <c r="N35" s="85">
        <v>0</v>
      </c>
      <c r="O35" s="84">
        <v>0</v>
      </c>
      <c r="P35" s="85">
        <v>0</v>
      </c>
      <c r="Q35" s="84">
        <v>0</v>
      </c>
      <c r="R35" s="85">
        <v>0</v>
      </c>
      <c r="S35" s="84">
        <v>0</v>
      </c>
      <c r="T35" s="85">
        <v>0</v>
      </c>
      <c r="U35" s="86">
        <v>0</v>
      </c>
      <c r="V35" s="85">
        <v>0</v>
      </c>
      <c r="W35" s="84">
        <v>0</v>
      </c>
      <c r="X35" s="85">
        <v>0</v>
      </c>
      <c r="Y35" s="84">
        <v>0</v>
      </c>
      <c r="Z35" s="85">
        <v>0</v>
      </c>
      <c r="AA35" s="84">
        <v>0</v>
      </c>
      <c r="AB35" s="85">
        <v>0</v>
      </c>
      <c r="AC35" s="87">
        <v>0</v>
      </c>
      <c r="AD35" s="85">
        <v>0</v>
      </c>
      <c r="AE35" s="87">
        <v>0</v>
      </c>
      <c r="AF35" s="85">
        <v>0</v>
      </c>
      <c r="AG35" s="87">
        <v>0</v>
      </c>
      <c r="AH35" s="85">
        <v>0</v>
      </c>
      <c r="AI35" s="87">
        <v>0</v>
      </c>
      <c r="AJ35" s="85">
        <v>0</v>
      </c>
      <c r="AK35" s="87">
        <v>0</v>
      </c>
      <c r="AL35" s="85">
        <v>0</v>
      </c>
      <c r="AM35" s="84">
        <v>0</v>
      </c>
      <c r="AN35" s="88">
        <v>0</v>
      </c>
      <c r="AO35" s="89">
        <f t="shared" si="0"/>
        <v>0</v>
      </c>
      <c r="AP35" s="90">
        <f t="shared" si="1"/>
        <v>0</v>
      </c>
      <c r="AQ35" s="90">
        <f t="shared" si="2"/>
        <v>0</v>
      </c>
      <c r="AR35" s="91">
        <f t="shared" si="3"/>
        <v>0</v>
      </c>
      <c r="AS35" s="92">
        <f t="shared" si="4"/>
        <v>0</v>
      </c>
      <c r="AT35" s="93">
        <f t="shared" si="5"/>
        <v>0</v>
      </c>
      <c r="AU35" s="93">
        <f t="shared" si="6"/>
        <v>0</v>
      </c>
      <c r="AV35" s="93">
        <f t="shared" si="7"/>
        <v>0</v>
      </c>
      <c r="AW35" s="93">
        <f t="shared" si="8"/>
        <v>0</v>
      </c>
      <c r="AX35" s="93">
        <f t="shared" si="9"/>
        <v>0</v>
      </c>
      <c r="AY35" s="89">
        <f t="shared" si="10"/>
        <v>0</v>
      </c>
      <c r="AZ35" s="94">
        <f t="shared" si="11"/>
        <v>0</v>
      </c>
      <c r="BA35" s="91">
        <f t="shared" si="12"/>
        <v>0</v>
      </c>
      <c r="BB35" s="79">
        <f>V35 - U35</f>
        <v>0</v>
      </c>
      <c r="BC35" s="82">
        <f>X35 - W35</f>
        <v>0</v>
      </c>
      <c r="BD35" s="82">
        <f>Z35 - Y35</f>
        <v>0</v>
      </c>
      <c r="BE35" s="82">
        <f>AB35 - AA35</f>
        <v>0</v>
      </c>
      <c r="BF35" s="82">
        <f>AD35 - AC35</f>
        <v>0</v>
      </c>
      <c r="BG35" s="82">
        <f>AF35 - AE35</f>
        <v>0</v>
      </c>
      <c r="BH35" s="82">
        <f>AH35 - AG35</f>
        <v>0</v>
      </c>
      <c r="BI35" s="82">
        <f>AJ35 - AI35</f>
        <v>0</v>
      </c>
      <c r="BJ35" s="82">
        <f>AL35 - AK35</f>
        <v>0</v>
      </c>
      <c r="BK35" s="82">
        <f>AN35 - AM35</f>
        <v>0</v>
      </c>
      <c r="BL35" s="95">
        <f>ROUNDUP(SUM(BB35:BK35) * 288, 0) / 288</f>
        <v>0</v>
      </c>
      <c r="BM35" s="70">
        <v>0</v>
      </c>
    </row>
    <row r="36" spans="1:65" x14ac:dyDescent="0.25">
      <c r="A36" s="84">
        <v>0</v>
      </c>
      <c r="B36" s="85">
        <v>0</v>
      </c>
      <c r="C36" s="84">
        <v>0</v>
      </c>
      <c r="D36" s="85">
        <v>0</v>
      </c>
      <c r="E36" s="84">
        <v>0</v>
      </c>
      <c r="F36" s="85">
        <v>0</v>
      </c>
      <c r="G36" s="84">
        <v>0</v>
      </c>
      <c r="H36" s="85">
        <v>0</v>
      </c>
      <c r="I36" s="84">
        <v>0</v>
      </c>
      <c r="J36" s="85">
        <v>0</v>
      </c>
      <c r="K36" s="84">
        <v>0</v>
      </c>
      <c r="L36" s="85">
        <v>0</v>
      </c>
      <c r="M36" s="84">
        <v>0</v>
      </c>
      <c r="N36" s="85">
        <v>0</v>
      </c>
      <c r="O36" s="84">
        <v>0</v>
      </c>
      <c r="P36" s="85">
        <v>0</v>
      </c>
      <c r="Q36" s="84">
        <v>0</v>
      </c>
      <c r="R36" s="85">
        <v>0</v>
      </c>
      <c r="S36" s="84">
        <v>0</v>
      </c>
      <c r="T36" s="85">
        <v>0</v>
      </c>
      <c r="U36" s="86">
        <v>0</v>
      </c>
      <c r="V36" s="85">
        <v>0</v>
      </c>
      <c r="W36" s="84">
        <v>0</v>
      </c>
      <c r="X36" s="85">
        <v>0</v>
      </c>
      <c r="Y36" s="84">
        <v>0</v>
      </c>
      <c r="Z36" s="85">
        <v>0</v>
      </c>
      <c r="AA36" s="84">
        <v>0</v>
      </c>
      <c r="AB36" s="85">
        <v>0</v>
      </c>
      <c r="AC36" s="87">
        <v>0</v>
      </c>
      <c r="AD36" s="85">
        <v>0</v>
      </c>
      <c r="AE36" s="87">
        <v>0</v>
      </c>
      <c r="AF36" s="85">
        <v>0</v>
      </c>
      <c r="AG36" s="87">
        <v>0</v>
      </c>
      <c r="AH36" s="85">
        <v>0</v>
      </c>
      <c r="AI36" s="87">
        <v>0</v>
      </c>
      <c r="AJ36" s="85">
        <v>0</v>
      </c>
      <c r="AK36" s="87">
        <v>0</v>
      </c>
      <c r="AL36" s="85">
        <v>0</v>
      </c>
      <c r="AM36" s="84">
        <v>0</v>
      </c>
      <c r="AN36" s="88">
        <v>0</v>
      </c>
      <c r="AO36" s="89">
        <f t="shared" si="0"/>
        <v>0</v>
      </c>
      <c r="AP36" s="90">
        <f t="shared" si="1"/>
        <v>0</v>
      </c>
      <c r="AQ36" s="90">
        <f t="shared" si="2"/>
        <v>0</v>
      </c>
      <c r="AR36" s="91">
        <f t="shared" si="3"/>
        <v>0</v>
      </c>
      <c r="AS36" s="92">
        <f t="shared" si="4"/>
        <v>0</v>
      </c>
      <c r="AT36" s="93">
        <f t="shared" si="5"/>
        <v>0</v>
      </c>
      <c r="AU36" s="93">
        <f t="shared" si="6"/>
        <v>0</v>
      </c>
      <c r="AV36" s="93">
        <f t="shared" si="7"/>
        <v>0</v>
      </c>
      <c r="AW36" s="93">
        <f t="shared" si="8"/>
        <v>0</v>
      </c>
      <c r="AX36" s="93">
        <f t="shared" si="9"/>
        <v>0</v>
      </c>
      <c r="AY36" s="89">
        <f t="shared" si="10"/>
        <v>0</v>
      </c>
      <c r="AZ36" s="94">
        <f t="shared" si="11"/>
        <v>0</v>
      </c>
      <c r="BA36" s="91">
        <f t="shared" si="12"/>
        <v>0</v>
      </c>
      <c r="BB36" s="79">
        <f>V36 - U36</f>
        <v>0</v>
      </c>
      <c r="BC36" s="82">
        <f>X36 - W36</f>
        <v>0</v>
      </c>
      <c r="BD36" s="82">
        <f>Z36 - Y36</f>
        <v>0</v>
      </c>
      <c r="BE36" s="82">
        <f>AB36 - AA36</f>
        <v>0</v>
      </c>
      <c r="BF36" s="82">
        <f>AD36 - AC36</f>
        <v>0</v>
      </c>
      <c r="BG36" s="82">
        <f>AF36 - AE36</f>
        <v>0</v>
      </c>
      <c r="BH36" s="82">
        <f>AH36 - AG36</f>
        <v>0</v>
      </c>
      <c r="BI36" s="82">
        <f>AJ36 - AI36</f>
        <v>0</v>
      </c>
      <c r="BJ36" s="82">
        <f>AL36 - AK36</f>
        <v>0</v>
      </c>
      <c r="BK36" s="82">
        <f>AN36 - AM36</f>
        <v>0</v>
      </c>
      <c r="BL36" s="95">
        <f>ROUNDUP(SUM(BB36:BK36) * 288, 0) / 288</f>
        <v>0</v>
      </c>
      <c r="BM36" s="70">
        <v>0</v>
      </c>
    </row>
    <row r="37" spans="1:65" x14ac:dyDescent="0.25">
      <c r="A37" s="84">
        <v>0</v>
      </c>
      <c r="B37" s="85">
        <v>0</v>
      </c>
      <c r="C37" s="84">
        <v>0</v>
      </c>
      <c r="D37" s="85">
        <v>0</v>
      </c>
      <c r="E37" s="84">
        <v>0</v>
      </c>
      <c r="F37" s="85">
        <v>0</v>
      </c>
      <c r="G37" s="84">
        <v>0</v>
      </c>
      <c r="H37" s="85">
        <v>0</v>
      </c>
      <c r="I37" s="84">
        <v>0</v>
      </c>
      <c r="J37" s="85">
        <v>0</v>
      </c>
      <c r="K37" s="84">
        <v>0</v>
      </c>
      <c r="L37" s="85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6">
        <v>0</v>
      </c>
      <c r="V37" s="85">
        <v>0</v>
      </c>
      <c r="W37" s="84">
        <v>0</v>
      </c>
      <c r="X37" s="85">
        <v>0</v>
      </c>
      <c r="Y37" s="84">
        <v>0</v>
      </c>
      <c r="Z37" s="85">
        <v>0</v>
      </c>
      <c r="AA37" s="84">
        <v>0</v>
      </c>
      <c r="AB37" s="85">
        <v>0</v>
      </c>
      <c r="AC37" s="87">
        <v>0</v>
      </c>
      <c r="AD37" s="85">
        <v>0</v>
      </c>
      <c r="AE37" s="87">
        <v>0</v>
      </c>
      <c r="AF37" s="85">
        <v>0</v>
      </c>
      <c r="AG37" s="87">
        <v>0</v>
      </c>
      <c r="AH37" s="85">
        <v>0</v>
      </c>
      <c r="AI37" s="87">
        <v>0</v>
      </c>
      <c r="AJ37" s="85">
        <v>0</v>
      </c>
      <c r="AK37" s="87">
        <v>0</v>
      </c>
      <c r="AL37" s="85">
        <v>0</v>
      </c>
      <c r="AM37" s="84">
        <v>0</v>
      </c>
      <c r="AN37" s="88">
        <v>0</v>
      </c>
      <c r="AO37" s="89">
        <f t="shared" si="0"/>
        <v>0</v>
      </c>
      <c r="AP37" s="90">
        <f t="shared" si="1"/>
        <v>0</v>
      </c>
      <c r="AQ37" s="90">
        <f t="shared" si="2"/>
        <v>0</v>
      </c>
      <c r="AR37" s="91">
        <f t="shared" si="3"/>
        <v>0</v>
      </c>
      <c r="AS37" s="92">
        <f t="shared" si="4"/>
        <v>0</v>
      </c>
      <c r="AT37" s="93">
        <f t="shared" si="5"/>
        <v>0</v>
      </c>
      <c r="AU37" s="93">
        <f t="shared" si="6"/>
        <v>0</v>
      </c>
      <c r="AV37" s="93">
        <f t="shared" si="7"/>
        <v>0</v>
      </c>
      <c r="AW37" s="93">
        <f t="shared" si="8"/>
        <v>0</v>
      </c>
      <c r="AX37" s="93">
        <f t="shared" si="9"/>
        <v>0</v>
      </c>
      <c r="AY37" s="89">
        <f t="shared" si="10"/>
        <v>0</v>
      </c>
      <c r="AZ37" s="94">
        <f t="shared" si="11"/>
        <v>0</v>
      </c>
      <c r="BA37" s="91">
        <f t="shared" si="12"/>
        <v>0</v>
      </c>
      <c r="BB37" s="79">
        <f>V37 - U37</f>
        <v>0</v>
      </c>
      <c r="BC37" s="82">
        <f>X37 - W37</f>
        <v>0</v>
      </c>
      <c r="BD37" s="82">
        <f>Z37 - Y37</f>
        <v>0</v>
      </c>
      <c r="BE37" s="82">
        <f>AB37 - AA37</f>
        <v>0</v>
      </c>
      <c r="BF37" s="82">
        <f>AD37 - AC37</f>
        <v>0</v>
      </c>
      <c r="BG37" s="82">
        <f>AF37 - AE37</f>
        <v>0</v>
      </c>
      <c r="BH37" s="82">
        <f>AH37 - AG37</f>
        <v>0</v>
      </c>
      <c r="BI37" s="82">
        <f>AJ37 - AI37</f>
        <v>0</v>
      </c>
      <c r="BJ37" s="82">
        <f>AL37 - AK37</f>
        <v>0</v>
      </c>
      <c r="BK37" s="82">
        <f>AN37 - AM37</f>
        <v>0</v>
      </c>
      <c r="BL37" s="95">
        <f>ROUNDUP(SUM(BB37:BK37) * 288, 0) / 288</f>
        <v>0</v>
      </c>
      <c r="BM37" s="70">
        <v>0</v>
      </c>
    </row>
    <row r="38" spans="1:65" x14ac:dyDescent="0.25">
      <c r="A38" s="84">
        <v>0</v>
      </c>
      <c r="B38" s="85">
        <v>0</v>
      </c>
      <c r="C38" s="84">
        <v>0</v>
      </c>
      <c r="D38" s="85">
        <v>0</v>
      </c>
      <c r="E38" s="84">
        <v>0</v>
      </c>
      <c r="F38" s="85">
        <v>0</v>
      </c>
      <c r="G38" s="84">
        <v>0</v>
      </c>
      <c r="H38" s="85">
        <v>0</v>
      </c>
      <c r="I38" s="84">
        <v>0</v>
      </c>
      <c r="J38" s="85">
        <v>0</v>
      </c>
      <c r="K38" s="84">
        <v>0</v>
      </c>
      <c r="L38" s="85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6">
        <v>0</v>
      </c>
      <c r="V38" s="85">
        <v>0</v>
      </c>
      <c r="W38" s="84">
        <v>0</v>
      </c>
      <c r="X38" s="85">
        <v>0</v>
      </c>
      <c r="Y38" s="84">
        <v>0</v>
      </c>
      <c r="Z38" s="85">
        <v>0</v>
      </c>
      <c r="AA38" s="84">
        <v>0</v>
      </c>
      <c r="AB38" s="85">
        <v>0</v>
      </c>
      <c r="AC38" s="87">
        <v>0</v>
      </c>
      <c r="AD38" s="85">
        <v>0</v>
      </c>
      <c r="AE38" s="87">
        <v>0</v>
      </c>
      <c r="AF38" s="85">
        <v>0</v>
      </c>
      <c r="AG38" s="87">
        <v>0</v>
      </c>
      <c r="AH38" s="85">
        <v>0</v>
      </c>
      <c r="AI38" s="87">
        <v>0</v>
      </c>
      <c r="AJ38" s="85">
        <v>0</v>
      </c>
      <c r="AK38" s="87">
        <v>0</v>
      </c>
      <c r="AL38" s="85">
        <v>0</v>
      </c>
      <c r="AM38" s="84">
        <v>0</v>
      </c>
      <c r="AN38" s="88">
        <v>0</v>
      </c>
      <c r="AO38" s="89">
        <f t="shared" si="0"/>
        <v>0</v>
      </c>
      <c r="AP38" s="90">
        <f t="shared" si="1"/>
        <v>0</v>
      </c>
      <c r="AQ38" s="90">
        <f>IF(AND(Z38*24&gt;=11,Z38*24&lt;=13.5),IF((AA38-Z38)*24&gt;=1,1,IF(AND(Z38*24&gt;=18.5,Z38*24&lt;=22),6,0)),IF(BM38&lt;&gt;"",IF(BM46&lt;&gt;"",IF(AND(AV38*24=24,AS46*24=0,BM38+1=BM46),26,0),0),0))</f>
        <v>0</v>
      </c>
      <c r="AR38" s="91">
        <f>IF(AND(AB38*24&gt;=11,AB38*24&lt;=13.5),IF((AM38-AB38)*24&gt;=1,1,IF(AND(AB38*24&gt;=18.5,AB38*24&lt;=22),6,0)),IF(BM38&lt;&gt;"",IF(BM46&lt;&gt;"",IF(AND(AX38*24=24,AS46*24=0,BM38+1=BM46),26,0),0),0))</f>
        <v>0</v>
      </c>
      <c r="AS38" s="92">
        <f t="shared" si="4"/>
        <v>0</v>
      </c>
      <c r="AT38" s="93">
        <f t="shared" si="5"/>
        <v>0</v>
      </c>
      <c r="AU38" s="93">
        <f t="shared" si="6"/>
        <v>0</v>
      </c>
      <c r="AV38" s="93">
        <f t="shared" si="7"/>
        <v>0</v>
      </c>
      <c r="AW38" s="93">
        <f t="shared" si="8"/>
        <v>0</v>
      </c>
      <c r="AX38" s="93">
        <f t="shared" si="9"/>
        <v>0</v>
      </c>
      <c r="AY38" s="89">
        <f t="shared" si="10"/>
        <v>0</v>
      </c>
      <c r="AZ38" s="94">
        <f t="shared" si="11"/>
        <v>0</v>
      </c>
      <c r="BA38" s="91">
        <f t="shared" si="12"/>
        <v>0</v>
      </c>
      <c r="BB38" s="79">
        <f>V38 - U38</f>
        <v>0</v>
      </c>
      <c r="BC38" s="82">
        <f>X38 - W38</f>
        <v>0</v>
      </c>
      <c r="BD38" s="82">
        <f>Z38 - Y38</f>
        <v>0</v>
      </c>
      <c r="BE38" s="82">
        <f>AB38 - AA38</f>
        <v>0</v>
      </c>
      <c r="BF38" s="82">
        <f>AD38 - AC38</f>
        <v>0</v>
      </c>
      <c r="BG38" s="82">
        <f>AF38 - AE38</f>
        <v>0</v>
      </c>
      <c r="BH38" s="82">
        <f>AH38 - AG38</f>
        <v>0</v>
      </c>
      <c r="BI38" s="82">
        <f>AJ38 - AI38</f>
        <v>0</v>
      </c>
      <c r="BJ38" s="82">
        <f>AL38 - AK38</f>
        <v>0</v>
      </c>
      <c r="BK38" s="82">
        <f>AN38 - AM38</f>
        <v>0</v>
      </c>
      <c r="BL38" s="95">
        <f>ROUNDUP(SUM(BB38:BK38) * 288, 0) / 288</f>
        <v>0</v>
      </c>
      <c r="BM38" s="70">
        <v>0</v>
      </c>
    </row>
    <row r="39" spans="1:65" s="167" customFormat="1" x14ac:dyDescent="0.25">
      <c r="A39" s="84">
        <v>0</v>
      </c>
      <c r="B39" s="85">
        <v>0</v>
      </c>
      <c r="C39" s="84">
        <v>0</v>
      </c>
      <c r="D39" s="85">
        <v>0</v>
      </c>
      <c r="E39" s="84">
        <v>0</v>
      </c>
      <c r="F39" s="85">
        <v>0</v>
      </c>
      <c r="G39" s="84">
        <v>0</v>
      </c>
      <c r="H39" s="85">
        <v>0</v>
      </c>
      <c r="I39" s="84">
        <v>0</v>
      </c>
      <c r="J39" s="85">
        <v>0</v>
      </c>
      <c r="K39" s="84">
        <v>0</v>
      </c>
      <c r="L39" s="85">
        <v>0</v>
      </c>
      <c r="M39" s="84">
        <v>0</v>
      </c>
      <c r="N39" s="85">
        <v>0</v>
      </c>
      <c r="O39" s="84">
        <v>0</v>
      </c>
      <c r="P39" s="85">
        <v>0</v>
      </c>
      <c r="Q39" s="84">
        <v>0</v>
      </c>
      <c r="R39" s="85">
        <v>0</v>
      </c>
      <c r="S39" s="84">
        <v>0</v>
      </c>
      <c r="T39" s="85">
        <v>0</v>
      </c>
      <c r="U39" s="86">
        <v>0</v>
      </c>
      <c r="V39" s="85">
        <v>0</v>
      </c>
      <c r="W39" s="84">
        <v>0</v>
      </c>
      <c r="X39" s="85">
        <v>0</v>
      </c>
      <c r="Y39" s="84">
        <v>0</v>
      </c>
      <c r="Z39" s="85">
        <v>0</v>
      </c>
      <c r="AA39" s="84">
        <v>0</v>
      </c>
      <c r="AB39" s="85">
        <v>0</v>
      </c>
      <c r="AC39" s="87">
        <v>0</v>
      </c>
      <c r="AD39" s="85">
        <v>0</v>
      </c>
      <c r="AE39" s="87">
        <v>0</v>
      </c>
      <c r="AF39" s="85">
        <v>0</v>
      </c>
      <c r="AG39" s="87">
        <v>0</v>
      </c>
      <c r="AH39" s="85">
        <v>0</v>
      </c>
      <c r="AI39" s="87">
        <v>0</v>
      </c>
      <c r="AJ39" s="85">
        <v>0</v>
      </c>
      <c r="AK39" s="87">
        <v>0</v>
      </c>
      <c r="AL39" s="85">
        <v>0</v>
      </c>
      <c r="AM39" s="84">
        <v>0</v>
      </c>
      <c r="AN39" s="88">
        <v>0</v>
      </c>
      <c r="AO39" s="89">
        <f t="shared" ref="AO39:AO45" si="13">IF(AND(V39*24&gt;=11,V39*24&lt;=13.5),IF((W39-V39)*24&gt;=1,1,IF(AND(V39*24&gt;=18.5,V39*24&lt;=22),6,0)),0)</f>
        <v>0</v>
      </c>
      <c r="AP39" s="90">
        <f t="shared" ref="AP39:AP45" si="14">IF(AND(X39*24&gt;=11,X39*24&lt;=13.5),IF((Y39-X39)*24&gt;=1,1,IF(AND(X39*24&gt;=18.5,X39*24&lt;=22),6,0)),0)</f>
        <v>0</v>
      </c>
      <c r="AQ39" s="90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1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2">
        <f t="shared" ref="AS39:AS45" si="17">IF(U39*24&gt;11,0,U39)</f>
        <v>0</v>
      </c>
      <c r="AT39" s="93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3">
        <f t="shared" ref="AU39:AU45" si="19">IF(U39&gt;0,IF(AS39&gt;0,IF(AND(AN39&gt;0,AN39=AT39),0,IF(AND(AB39&gt;0,AB39=AT39),AM39,IF(AND(Z39&gt;0,Z39=AT39),AA39,IF(AND(X39&gt;0,X39=AT39),Y39,W39)))),U39),0)</f>
        <v>0</v>
      </c>
      <c r="AV39" s="93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3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3">
        <f t="shared" ref="AX39:AX45" si="22">IF(AW39&gt;0,IF(AND(AN39&gt;0, AN39*24&gt;18.5),AN39,IF(AND(AB39&gt;0,AB39*24&gt;18.5),AB39,IF(AND(Z39&gt;0,Z39*24&gt;18.5),Z39,IF(AND(X39&gt;0,X39*24&gt;18.5),X39,V39)))),0)</f>
        <v>0</v>
      </c>
      <c r="AY39" s="89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4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1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79">
        <f>V39 - U39</f>
        <v>0</v>
      </c>
      <c r="BC39" s="82">
        <f>X39 - W39</f>
        <v>0</v>
      </c>
      <c r="BD39" s="82">
        <f>Z39 - Y39</f>
        <v>0</v>
      </c>
      <c r="BE39" s="82">
        <f>AB39 - AA39</f>
        <v>0</v>
      </c>
      <c r="BF39" s="82">
        <f>AD39 - AC39</f>
        <v>0</v>
      </c>
      <c r="BG39" s="82">
        <f>AF39 - AE39</f>
        <v>0</v>
      </c>
      <c r="BH39" s="82">
        <f>AH39 - AG39</f>
        <v>0</v>
      </c>
      <c r="BI39" s="82">
        <f>AJ39 - AI39</f>
        <v>0</v>
      </c>
      <c r="BJ39" s="82">
        <f>AL39 - AK39</f>
        <v>0</v>
      </c>
      <c r="BK39" s="82">
        <f>AN39 - AM39</f>
        <v>0</v>
      </c>
      <c r="BL39" s="95">
        <f>ROUNDUP(SUM(BB39:BK39) * 288, 0) / 288</f>
        <v>0</v>
      </c>
      <c r="BM39" s="70">
        <v>0</v>
      </c>
    </row>
    <row r="40" spans="1:65" s="167" customFormat="1" x14ac:dyDescent="0.25">
      <c r="A40" s="84">
        <v>0</v>
      </c>
      <c r="B40" s="85">
        <v>0</v>
      </c>
      <c r="C40" s="84">
        <v>0</v>
      </c>
      <c r="D40" s="85">
        <v>0</v>
      </c>
      <c r="E40" s="84">
        <v>0</v>
      </c>
      <c r="F40" s="85">
        <v>0</v>
      </c>
      <c r="G40" s="84">
        <v>0</v>
      </c>
      <c r="H40" s="85">
        <v>0</v>
      </c>
      <c r="I40" s="84">
        <v>0</v>
      </c>
      <c r="J40" s="85">
        <v>0</v>
      </c>
      <c r="K40" s="84">
        <v>0</v>
      </c>
      <c r="L40" s="85">
        <v>0</v>
      </c>
      <c r="M40" s="84">
        <v>0</v>
      </c>
      <c r="N40" s="85">
        <v>0</v>
      </c>
      <c r="O40" s="84">
        <v>0</v>
      </c>
      <c r="P40" s="85">
        <v>0</v>
      </c>
      <c r="Q40" s="84">
        <v>0</v>
      </c>
      <c r="R40" s="85">
        <v>0</v>
      </c>
      <c r="S40" s="84">
        <v>0</v>
      </c>
      <c r="T40" s="85">
        <v>0</v>
      </c>
      <c r="U40" s="86">
        <v>0</v>
      </c>
      <c r="V40" s="85">
        <v>0</v>
      </c>
      <c r="W40" s="84">
        <v>0</v>
      </c>
      <c r="X40" s="85">
        <v>0</v>
      </c>
      <c r="Y40" s="84">
        <v>0</v>
      </c>
      <c r="Z40" s="85">
        <v>0</v>
      </c>
      <c r="AA40" s="84">
        <v>0</v>
      </c>
      <c r="AB40" s="85">
        <v>0</v>
      </c>
      <c r="AC40" s="87">
        <v>0</v>
      </c>
      <c r="AD40" s="85">
        <v>0</v>
      </c>
      <c r="AE40" s="87">
        <v>0</v>
      </c>
      <c r="AF40" s="85">
        <v>0</v>
      </c>
      <c r="AG40" s="87">
        <v>0</v>
      </c>
      <c r="AH40" s="85">
        <v>0</v>
      </c>
      <c r="AI40" s="87">
        <v>0</v>
      </c>
      <c r="AJ40" s="85">
        <v>0</v>
      </c>
      <c r="AK40" s="87">
        <v>0</v>
      </c>
      <c r="AL40" s="85">
        <v>0</v>
      </c>
      <c r="AM40" s="84">
        <v>0</v>
      </c>
      <c r="AN40" s="88">
        <v>0</v>
      </c>
      <c r="AO40" s="89">
        <f t="shared" si="13"/>
        <v>0</v>
      </c>
      <c r="AP40" s="90">
        <f t="shared" si="14"/>
        <v>0</v>
      </c>
      <c r="AQ40" s="90">
        <f t="shared" si="15"/>
        <v>0</v>
      </c>
      <c r="AR40" s="91">
        <f t="shared" si="16"/>
        <v>0</v>
      </c>
      <c r="AS40" s="92">
        <f t="shared" si="17"/>
        <v>0</v>
      </c>
      <c r="AT40" s="93">
        <f t="shared" si="18"/>
        <v>0</v>
      </c>
      <c r="AU40" s="93">
        <f t="shared" si="19"/>
        <v>0</v>
      </c>
      <c r="AV40" s="93">
        <f t="shared" si="20"/>
        <v>0</v>
      </c>
      <c r="AW40" s="93">
        <f t="shared" si="21"/>
        <v>0</v>
      </c>
      <c r="AX40" s="93">
        <f t="shared" si="22"/>
        <v>0</v>
      </c>
      <c r="AY40" s="89">
        <f t="shared" si="23"/>
        <v>0</v>
      </c>
      <c r="AZ40" s="94">
        <f t="shared" si="24"/>
        <v>0</v>
      </c>
      <c r="BA40" s="91">
        <f t="shared" si="25"/>
        <v>0</v>
      </c>
      <c r="BB40" s="79">
        <f>V40 - U40</f>
        <v>0</v>
      </c>
      <c r="BC40" s="82">
        <f>X40 - W40</f>
        <v>0</v>
      </c>
      <c r="BD40" s="82">
        <f>Z40 - Y40</f>
        <v>0</v>
      </c>
      <c r="BE40" s="82">
        <f>AB40 - AA40</f>
        <v>0</v>
      </c>
      <c r="BF40" s="82">
        <f>AD40 - AC40</f>
        <v>0</v>
      </c>
      <c r="BG40" s="82">
        <f>AF40 - AE40</f>
        <v>0</v>
      </c>
      <c r="BH40" s="82">
        <f>AH40 - AG40</f>
        <v>0</v>
      </c>
      <c r="BI40" s="82">
        <f>AJ40 - AI40</f>
        <v>0</v>
      </c>
      <c r="BJ40" s="82">
        <f>AL40 - AK40</f>
        <v>0</v>
      </c>
      <c r="BK40" s="82">
        <f>AN40 - AM40</f>
        <v>0</v>
      </c>
      <c r="BL40" s="95">
        <f>ROUNDUP(SUM(BB40:BK40) * 288, 0) / 288</f>
        <v>0</v>
      </c>
      <c r="BM40" s="70">
        <v>0</v>
      </c>
    </row>
    <row r="41" spans="1:65" s="167" customFormat="1" x14ac:dyDescent="0.25">
      <c r="A41" s="84">
        <v>0</v>
      </c>
      <c r="B41" s="85">
        <v>0</v>
      </c>
      <c r="C41" s="84">
        <v>0</v>
      </c>
      <c r="D41" s="85">
        <v>0</v>
      </c>
      <c r="E41" s="84">
        <v>0</v>
      </c>
      <c r="F41" s="85">
        <v>0</v>
      </c>
      <c r="G41" s="84">
        <v>0</v>
      </c>
      <c r="H41" s="85">
        <v>0</v>
      </c>
      <c r="I41" s="84">
        <v>0</v>
      </c>
      <c r="J41" s="85">
        <v>0</v>
      </c>
      <c r="K41" s="84">
        <v>0</v>
      </c>
      <c r="L41" s="85">
        <v>0</v>
      </c>
      <c r="M41" s="84">
        <v>0</v>
      </c>
      <c r="N41" s="85">
        <v>0</v>
      </c>
      <c r="O41" s="84">
        <v>0</v>
      </c>
      <c r="P41" s="85">
        <v>0</v>
      </c>
      <c r="Q41" s="84">
        <v>0</v>
      </c>
      <c r="R41" s="85">
        <v>0</v>
      </c>
      <c r="S41" s="84">
        <v>0</v>
      </c>
      <c r="T41" s="85">
        <v>0</v>
      </c>
      <c r="U41" s="86">
        <v>0</v>
      </c>
      <c r="V41" s="85">
        <v>0</v>
      </c>
      <c r="W41" s="84">
        <v>0</v>
      </c>
      <c r="X41" s="85">
        <v>0</v>
      </c>
      <c r="Y41" s="84">
        <v>0</v>
      </c>
      <c r="Z41" s="85">
        <v>0</v>
      </c>
      <c r="AA41" s="84">
        <v>0</v>
      </c>
      <c r="AB41" s="85">
        <v>0</v>
      </c>
      <c r="AC41" s="87">
        <v>0</v>
      </c>
      <c r="AD41" s="85">
        <v>0</v>
      </c>
      <c r="AE41" s="87">
        <v>0</v>
      </c>
      <c r="AF41" s="85">
        <v>0</v>
      </c>
      <c r="AG41" s="87">
        <v>0</v>
      </c>
      <c r="AH41" s="85">
        <v>0</v>
      </c>
      <c r="AI41" s="87">
        <v>0</v>
      </c>
      <c r="AJ41" s="85">
        <v>0</v>
      </c>
      <c r="AK41" s="87">
        <v>0</v>
      </c>
      <c r="AL41" s="85">
        <v>0</v>
      </c>
      <c r="AM41" s="84">
        <v>0</v>
      </c>
      <c r="AN41" s="88">
        <v>0</v>
      </c>
      <c r="AO41" s="89">
        <f t="shared" si="13"/>
        <v>0</v>
      </c>
      <c r="AP41" s="90">
        <f t="shared" si="14"/>
        <v>0</v>
      </c>
      <c r="AQ41" s="90">
        <f t="shared" si="15"/>
        <v>0</v>
      </c>
      <c r="AR41" s="91">
        <f t="shared" si="16"/>
        <v>0</v>
      </c>
      <c r="AS41" s="92">
        <f t="shared" si="17"/>
        <v>0</v>
      </c>
      <c r="AT41" s="93">
        <f t="shared" si="18"/>
        <v>0</v>
      </c>
      <c r="AU41" s="93">
        <f t="shared" si="19"/>
        <v>0</v>
      </c>
      <c r="AV41" s="93">
        <f t="shared" si="20"/>
        <v>0</v>
      </c>
      <c r="AW41" s="93">
        <f t="shared" si="21"/>
        <v>0</v>
      </c>
      <c r="AX41" s="93">
        <f t="shared" si="22"/>
        <v>0</v>
      </c>
      <c r="AY41" s="89">
        <f t="shared" si="23"/>
        <v>0</v>
      </c>
      <c r="AZ41" s="94">
        <f t="shared" si="24"/>
        <v>0</v>
      </c>
      <c r="BA41" s="91">
        <f t="shared" si="25"/>
        <v>0</v>
      </c>
      <c r="BB41" s="79">
        <f>V41 - U41</f>
        <v>0</v>
      </c>
      <c r="BC41" s="82">
        <f>X41 - W41</f>
        <v>0</v>
      </c>
      <c r="BD41" s="82">
        <f>Z41 - Y41</f>
        <v>0</v>
      </c>
      <c r="BE41" s="82">
        <f>AB41 - AA41</f>
        <v>0</v>
      </c>
      <c r="BF41" s="82">
        <f>AD41 - AC41</f>
        <v>0</v>
      </c>
      <c r="BG41" s="82">
        <f>AF41 - AE41</f>
        <v>0</v>
      </c>
      <c r="BH41" s="82">
        <f>AH41 - AG41</f>
        <v>0</v>
      </c>
      <c r="BI41" s="82">
        <f>AJ41 - AI41</f>
        <v>0</v>
      </c>
      <c r="BJ41" s="82">
        <f>AL41 - AK41</f>
        <v>0</v>
      </c>
      <c r="BK41" s="82">
        <f>AN41 - AM41</f>
        <v>0</v>
      </c>
      <c r="BL41" s="95">
        <f>ROUNDUP(SUM(BB41:BK41) * 288, 0) / 288</f>
        <v>0</v>
      </c>
      <c r="BM41" s="70">
        <v>0</v>
      </c>
    </row>
    <row r="42" spans="1:65" s="167" customFormat="1" x14ac:dyDescent="0.25">
      <c r="A42" s="84">
        <v>0</v>
      </c>
      <c r="B42" s="85">
        <v>0</v>
      </c>
      <c r="C42" s="84">
        <v>0</v>
      </c>
      <c r="D42" s="85">
        <v>0</v>
      </c>
      <c r="E42" s="84">
        <v>0</v>
      </c>
      <c r="F42" s="85">
        <v>0</v>
      </c>
      <c r="G42" s="84">
        <v>0</v>
      </c>
      <c r="H42" s="85">
        <v>0</v>
      </c>
      <c r="I42" s="84">
        <v>0</v>
      </c>
      <c r="J42" s="85">
        <v>0</v>
      </c>
      <c r="K42" s="84">
        <v>0</v>
      </c>
      <c r="L42" s="85">
        <v>0</v>
      </c>
      <c r="M42" s="84">
        <v>0</v>
      </c>
      <c r="N42" s="85">
        <v>0</v>
      </c>
      <c r="O42" s="84">
        <v>0</v>
      </c>
      <c r="P42" s="85">
        <v>0</v>
      </c>
      <c r="Q42" s="84">
        <v>0</v>
      </c>
      <c r="R42" s="85">
        <v>0</v>
      </c>
      <c r="S42" s="84">
        <v>0</v>
      </c>
      <c r="T42" s="85">
        <v>0</v>
      </c>
      <c r="U42" s="86">
        <v>0</v>
      </c>
      <c r="V42" s="85">
        <v>0</v>
      </c>
      <c r="W42" s="84">
        <v>0</v>
      </c>
      <c r="X42" s="85">
        <v>0</v>
      </c>
      <c r="Y42" s="84">
        <v>0</v>
      </c>
      <c r="Z42" s="85">
        <v>0</v>
      </c>
      <c r="AA42" s="84">
        <v>0</v>
      </c>
      <c r="AB42" s="85">
        <v>0</v>
      </c>
      <c r="AC42" s="87">
        <v>0</v>
      </c>
      <c r="AD42" s="85">
        <v>0</v>
      </c>
      <c r="AE42" s="87">
        <v>0</v>
      </c>
      <c r="AF42" s="85">
        <v>0</v>
      </c>
      <c r="AG42" s="87">
        <v>0</v>
      </c>
      <c r="AH42" s="85">
        <v>0</v>
      </c>
      <c r="AI42" s="87">
        <v>0</v>
      </c>
      <c r="AJ42" s="85">
        <v>0</v>
      </c>
      <c r="AK42" s="87">
        <v>0</v>
      </c>
      <c r="AL42" s="85">
        <v>0</v>
      </c>
      <c r="AM42" s="84">
        <v>0</v>
      </c>
      <c r="AN42" s="88">
        <v>0</v>
      </c>
      <c r="AO42" s="89">
        <f t="shared" si="13"/>
        <v>0</v>
      </c>
      <c r="AP42" s="90">
        <f t="shared" si="14"/>
        <v>0</v>
      </c>
      <c r="AQ42" s="90">
        <f t="shared" si="15"/>
        <v>0</v>
      </c>
      <c r="AR42" s="91">
        <f t="shared" si="16"/>
        <v>0</v>
      </c>
      <c r="AS42" s="92">
        <f t="shared" si="17"/>
        <v>0</v>
      </c>
      <c r="AT42" s="93">
        <f t="shared" si="18"/>
        <v>0</v>
      </c>
      <c r="AU42" s="93">
        <f t="shared" si="19"/>
        <v>0</v>
      </c>
      <c r="AV42" s="93">
        <f t="shared" si="20"/>
        <v>0</v>
      </c>
      <c r="AW42" s="93">
        <f t="shared" si="21"/>
        <v>0</v>
      </c>
      <c r="AX42" s="93">
        <f t="shared" si="22"/>
        <v>0</v>
      </c>
      <c r="AY42" s="89">
        <f t="shared" si="23"/>
        <v>0</v>
      </c>
      <c r="AZ42" s="94">
        <f t="shared" si="24"/>
        <v>0</v>
      </c>
      <c r="BA42" s="91">
        <f t="shared" si="25"/>
        <v>0</v>
      </c>
      <c r="BB42" s="79">
        <f>V42 - U42</f>
        <v>0</v>
      </c>
      <c r="BC42" s="82">
        <f>X42 - W42</f>
        <v>0</v>
      </c>
      <c r="BD42" s="82">
        <f>Z42 - Y42</f>
        <v>0</v>
      </c>
      <c r="BE42" s="82">
        <f>AB42 - AA42</f>
        <v>0</v>
      </c>
      <c r="BF42" s="82">
        <f>AD42 - AC42</f>
        <v>0</v>
      </c>
      <c r="BG42" s="82">
        <f>AF42 - AE42</f>
        <v>0</v>
      </c>
      <c r="BH42" s="82">
        <f>AH42 - AG42</f>
        <v>0</v>
      </c>
      <c r="BI42" s="82">
        <f>AJ42 - AI42</f>
        <v>0</v>
      </c>
      <c r="BJ42" s="82">
        <f>AL42 - AK42</f>
        <v>0</v>
      </c>
      <c r="BK42" s="82">
        <f>AN42 - AM42</f>
        <v>0</v>
      </c>
      <c r="BL42" s="95">
        <f>ROUNDUP(SUM(BB42:BK42) * 288, 0) / 288</f>
        <v>0</v>
      </c>
      <c r="BM42" s="70">
        <v>0</v>
      </c>
    </row>
    <row r="43" spans="1:65" s="167" customFormat="1" x14ac:dyDescent="0.25">
      <c r="A43" s="84">
        <v>0</v>
      </c>
      <c r="B43" s="85">
        <v>0</v>
      </c>
      <c r="C43" s="84">
        <v>0</v>
      </c>
      <c r="D43" s="85">
        <v>0</v>
      </c>
      <c r="E43" s="84">
        <v>0</v>
      </c>
      <c r="F43" s="85">
        <v>0</v>
      </c>
      <c r="G43" s="84">
        <v>0</v>
      </c>
      <c r="H43" s="85">
        <v>0</v>
      </c>
      <c r="I43" s="84">
        <v>0</v>
      </c>
      <c r="J43" s="85">
        <v>0</v>
      </c>
      <c r="K43" s="84">
        <v>0</v>
      </c>
      <c r="L43" s="85">
        <v>0</v>
      </c>
      <c r="M43" s="84">
        <v>0</v>
      </c>
      <c r="N43" s="85">
        <v>0</v>
      </c>
      <c r="O43" s="84">
        <v>0</v>
      </c>
      <c r="P43" s="85">
        <v>0</v>
      </c>
      <c r="Q43" s="84">
        <v>0</v>
      </c>
      <c r="R43" s="85">
        <v>0</v>
      </c>
      <c r="S43" s="84">
        <v>0</v>
      </c>
      <c r="T43" s="85">
        <v>0</v>
      </c>
      <c r="U43" s="86">
        <v>0</v>
      </c>
      <c r="V43" s="85">
        <v>0</v>
      </c>
      <c r="W43" s="84">
        <v>0</v>
      </c>
      <c r="X43" s="85">
        <v>0</v>
      </c>
      <c r="Y43" s="84">
        <v>0</v>
      </c>
      <c r="Z43" s="85">
        <v>0</v>
      </c>
      <c r="AA43" s="84">
        <v>0</v>
      </c>
      <c r="AB43" s="85">
        <v>0</v>
      </c>
      <c r="AC43" s="87">
        <v>0</v>
      </c>
      <c r="AD43" s="85">
        <v>0</v>
      </c>
      <c r="AE43" s="87">
        <v>0</v>
      </c>
      <c r="AF43" s="85">
        <v>0</v>
      </c>
      <c r="AG43" s="87">
        <v>0</v>
      </c>
      <c r="AH43" s="85">
        <v>0</v>
      </c>
      <c r="AI43" s="87">
        <v>0</v>
      </c>
      <c r="AJ43" s="85">
        <v>0</v>
      </c>
      <c r="AK43" s="87">
        <v>0</v>
      </c>
      <c r="AL43" s="85">
        <v>0</v>
      </c>
      <c r="AM43" s="84">
        <v>0</v>
      </c>
      <c r="AN43" s="88">
        <v>0</v>
      </c>
      <c r="AO43" s="89">
        <f t="shared" si="13"/>
        <v>0</v>
      </c>
      <c r="AP43" s="90">
        <f t="shared" si="14"/>
        <v>0</v>
      </c>
      <c r="AQ43" s="90">
        <f t="shared" si="15"/>
        <v>0</v>
      </c>
      <c r="AR43" s="91">
        <f t="shared" si="16"/>
        <v>0</v>
      </c>
      <c r="AS43" s="92">
        <f t="shared" si="17"/>
        <v>0</v>
      </c>
      <c r="AT43" s="93">
        <f t="shared" si="18"/>
        <v>0</v>
      </c>
      <c r="AU43" s="93">
        <f t="shared" si="19"/>
        <v>0</v>
      </c>
      <c r="AV43" s="93">
        <f t="shared" si="20"/>
        <v>0</v>
      </c>
      <c r="AW43" s="93">
        <f t="shared" si="21"/>
        <v>0</v>
      </c>
      <c r="AX43" s="93">
        <f t="shared" si="22"/>
        <v>0</v>
      </c>
      <c r="AY43" s="89">
        <f t="shared" si="23"/>
        <v>0</v>
      </c>
      <c r="AZ43" s="94">
        <f t="shared" si="24"/>
        <v>0</v>
      </c>
      <c r="BA43" s="91">
        <f t="shared" si="25"/>
        <v>0</v>
      </c>
      <c r="BB43" s="79">
        <f>V43 - U43</f>
        <v>0</v>
      </c>
      <c r="BC43" s="82">
        <f>X43 - W43</f>
        <v>0</v>
      </c>
      <c r="BD43" s="82">
        <f>Z43 - Y43</f>
        <v>0</v>
      </c>
      <c r="BE43" s="82">
        <f>AB43 - AA43</f>
        <v>0</v>
      </c>
      <c r="BF43" s="82">
        <f>AD43 - AC43</f>
        <v>0</v>
      </c>
      <c r="BG43" s="82">
        <f>AF43 - AE43</f>
        <v>0</v>
      </c>
      <c r="BH43" s="82">
        <f>AH43 - AG43</f>
        <v>0</v>
      </c>
      <c r="BI43" s="82">
        <f>AJ43 - AI43</f>
        <v>0</v>
      </c>
      <c r="BJ43" s="82">
        <f>AL43 - AK43</f>
        <v>0</v>
      </c>
      <c r="BK43" s="82">
        <f>AN43 - AM43</f>
        <v>0</v>
      </c>
      <c r="BL43" s="95">
        <f>ROUNDUP(SUM(BB43:BK43) * 288, 0) / 288</f>
        <v>0</v>
      </c>
      <c r="BM43" s="70">
        <v>0</v>
      </c>
    </row>
    <row r="44" spans="1:65" s="167" customFormat="1" x14ac:dyDescent="0.25">
      <c r="A44" s="84">
        <v>0</v>
      </c>
      <c r="B44" s="85">
        <v>0</v>
      </c>
      <c r="C44" s="84">
        <v>0</v>
      </c>
      <c r="D44" s="85">
        <v>0</v>
      </c>
      <c r="E44" s="84">
        <v>0</v>
      </c>
      <c r="F44" s="85">
        <v>0</v>
      </c>
      <c r="G44" s="84">
        <v>0</v>
      </c>
      <c r="H44" s="85">
        <v>0</v>
      </c>
      <c r="I44" s="84">
        <v>0</v>
      </c>
      <c r="J44" s="85">
        <v>0</v>
      </c>
      <c r="K44" s="84">
        <v>0</v>
      </c>
      <c r="L44" s="85">
        <v>0</v>
      </c>
      <c r="M44" s="84">
        <v>0</v>
      </c>
      <c r="N44" s="85">
        <v>0</v>
      </c>
      <c r="O44" s="84">
        <v>0</v>
      </c>
      <c r="P44" s="85">
        <v>0</v>
      </c>
      <c r="Q44" s="84">
        <v>0</v>
      </c>
      <c r="R44" s="85">
        <v>0</v>
      </c>
      <c r="S44" s="84">
        <v>0</v>
      </c>
      <c r="T44" s="85">
        <v>0</v>
      </c>
      <c r="U44" s="86">
        <v>0</v>
      </c>
      <c r="V44" s="85">
        <v>0</v>
      </c>
      <c r="W44" s="84">
        <v>0</v>
      </c>
      <c r="X44" s="85">
        <v>0</v>
      </c>
      <c r="Y44" s="84">
        <v>0</v>
      </c>
      <c r="Z44" s="85">
        <v>0</v>
      </c>
      <c r="AA44" s="84">
        <v>0</v>
      </c>
      <c r="AB44" s="85">
        <v>0</v>
      </c>
      <c r="AC44" s="87">
        <v>0</v>
      </c>
      <c r="AD44" s="85">
        <v>0</v>
      </c>
      <c r="AE44" s="87">
        <v>0</v>
      </c>
      <c r="AF44" s="85">
        <v>0</v>
      </c>
      <c r="AG44" s="87">
        <v>0</v>
      </c>
      <c r="AH44" s="85">
        <v>0</v>
      </c>
      <c r="AI44" s="87">
        <v>0</v>
      </c>
      <c r="AJ44" s="85">
        <v>0</v>
      </c>
      <c r="AK44" s="87">
        <v>0</v>
      </c>
      <c r="AL44" s="85">
        <v>0</v>
      </c>
      <c r="AM44" s="84">
        <v>0</v>
      </c>
      <c r="AN44" s="88">
        <v>0</v>
      </c>
      <c r="AO44" s="89">
        <f t="shared" si="13"/>
        <v>0</v>
      </c>
      <c r="AP44" s="90">
        <f t="shared" si="14"/>
        <v>0</v>
      </c>
      <c r="AQ44" s="90">
        <f t="shared" si="15"/>
        <v>0</v>
      </c>
      <c r="AR44" s="91">
        <f t="shared" si="16"/>
        <v>0</v>
      </c>
      <c r="AS44" s="92">
        <f t="shared" si="17"/>
        <v>0</v>
      </c>
      <c r="AT44" s="93">
        <f t="shared" si="18"/>
        <v>0</v>
      </c>
      <c r="AU44" s="93">
        <f t="shared" si="19"/>
        <v>0</v>
      </c>
      <c r="AV44" s="93">
        <f t="shared" si="20"/>
        <v>0</v>
      </c>
      <c r="AW44" s="93">
        <f t="shared" si="21"/>
        <v>0</v>
      </c>
      <c r="AX44" s="93">
        <f t="shared" si="22"/>
        <v>0</v>
      </c>
      <c r="AY44" s="89">
        <f t="shared" si="23"/>
        <v>0</v>
      </c>
      <c r="AZ44" s="94">
        <f t="shared" si="24"/>
        <v>0</v>
      </c>
      <c r="BA44" s="91">
        <f t="shared" si="25"/>
        <v>0</v>
      </c>
      <c r="BB44" s="79">
        <f>V44 - U44</f>
        <v>0</v>
      </c>
      <c r="BC44" s="82">
        <f>X44 - W44</f>
        <v>0</v>
      </c>
      <c r="BD44" s="82">
        <f>Z44 - Y44</f>
        <v>0</v>
      </c>
      <c r="BE44" s="82">
        <f>AB44 - AA44</f>
        <v>0</v>
      </c>
      <c r="BF44" s="82">
        <f>AD44 - AC44</f>
        <v>0</v>
      </c>
      <c r="BG44" s="82">
        <f>AF44 - AE44</f>
        <v>0</v>
      </c>
      <c r="BH44" s="82">
        <f>AH44 - AG44</f>
        <v>0</v>
      </c>
      <c r="BI44" s="82">
        <f>AJ44 - AI44</f>
        <v>0</v>
      </c>
      <c r="BJ44" s="82">
        <f>AL44 - AK44</f>
        <v>0</v>
      </c>
      <c r="BK44" s="82">
        <f>AN44 - AM44</f>
        <v>0</v>
      </c>
      <c r="BL44" s="95">
        <f>ROUNDUP(SUM(BB44:BK44) * 288, 0) / 288</f>
        <v>0</v>
      </c>
      <c r="BM44" s="70">
        <v>0</v>
      </c>
    </row>
    <row r="45" spans="1:65" s="167" customFormat="1" x14ac:dyDescent="0.25">
      <c r="A45" s="84">
        <v>0</v>
      </c>
      <c r="B45" s="85">
        <v>0</v>
      </c>
      <c r="C45" s="84">
        <v>0</v>
      </c>
      <c r="D45" s="85">
        <v>0</v>
      </c>
      <c r="E45" s="84">
        <v>0</v>
      </c>
      <c r="F45" s="85">
        <v>0</v>
      </c>
      <c r="G45" s="84">
        <v>0</v>
      </c>
      <c r="H45" s="85">
        <v>0</v>
      </c>
      <c r="I45" s="84">
        <v>0</v>
      </c>
      <c r="J45" s="85">
        <v>0</v>
      </c>
      <c r="K45" s="84">
        <v>0</v>
      </c>
      <c r="L45" s="85">
        <v>0</v>
      </c>
      <c r="M45" s="84">
        <v>0</v>
      </c>
      <c r="N45" s="85">
        <v>0</v>
      </c>
      <c r="O45" s="84">
        <v>0</v>
      </c>
      <c r="P45" s="85">
        <v>0</v>
      </c>
      <c r="Q45" s="84">
        <v>0</v>
      </c>
      <c r="R45" s="85">
        <v>0</v>
      </c>
      <c r="S45" s="84">
        <v>0</v>
      </c>
      <c r="T45" s="85">
        <v>0</v>
      </c>
      <c r="U45" s="86">
        <v>0</v>
      </c>
      <c r="V45" s="85">
        <v>0</v>
      </c>
      <c r="W45" s="84">
        <v>0</v>
      </c>
      <c r="X45" s="85">
        <v>0</v>
      </c>
      <c r="Y45" s="84">
        <v>0</v>
      </c>
      <c r="Z45" s="85">
        <v>0</v>
      </c>
      <c r="AA45" s="84">
        <v>0</v>
      </c>
      <c r="AB45" s="85">
        <v>0</v>
      </c>
      <c r="AC45" s="87">
        <v>0</v>
      </c>
      <c r="AD45" s="85">
        <v>0</v>
      </c>
      <c r="AE45" s="87">
        <v>0</v>
      </c>
      <c r="AF45" s="85">
        <v>0</v>
      </c>
      <c r="AG45" s="87">
        <v>0</v>
      </c>
      <c r="AH45" s="85">
        <v>0</v>
      </c>
      <c r="AI45" s="87">
        <v>0</v>
      </c>
      <c r="AJ45" s="85">
        <v>0</v>
      </c>
      <c r="AK45" s="87">
        <v>0</v>
      </c>
      <c r="AL45" s="85">
        <v>0</v>
      </c>
      <c r="AM45" s="84">
        <v>0</v>
      </c>
      <c r="AN45" s="88">
        <v>0</v>
      </c>
      <c r="AO45" s="89">
        <f t="shared" si="13"/>
        <v>0</v>
      </c>
      <c r="AP45" s="90">
        <f t="shared" si="14"/>
        <v>0</v>
      </c>
      <c r="AQ45" s="90">
        <f t="shared" si="15"/>
        <v>0</v>
      </c>
      <c r="AR45" s="91">
        <f t="shared" si="16"/>
        <v>0</v>
      </c>
      <c r="AS45" s="92">
        <f t="shared" si="17"/>
        <v>0</v>
      </c>
      <c r="AT45" s="93">
        <f t="shared" si="18"/>
        <v>0</v>
      </c>
      <c r="AU45" s="93">
        <f t="shared" si="19"/>
        <v>0</v>
      </c>
      <c r="AV45" s="93">
        <f t="shared" si="20"/>
        <v>0</v>
      </c>
      <c r="AW45" s="93">
        <f t="shared" si="21"/>
        <v>0</v>
      </c>
      <c r="AX45" s="93">
        <f t="shared" si="22"/>
        <v>0</v>
      </c>
      <c r="AY45" s="89">
        <f t="shared" si="23"/>
        <v>0</v>
      </c>
      <c r="AZ45" s="94">
        <f t="shared" si="24"/>
        <v>0</v>
      </c>
      <c r="BA45" s="91">
        <f t="shared" si="25"/>
        <v>0</v>
      </c>
      <c r="BB45" s="79">
        <f>V45 - U45</f>
        <v>0</v>
      </c>
      <c r="BC45" s="82">
        <f>X45 - W45</f>
        <v>0</v>
      </c>
      <c r="BD45" s="82">
        <f>Z45 - Y45</f>
        <v>0</v>
      </c>
      <c r="BE45" s="82">
        <f>AB45 - AA45</f>
        <v>0</v>
      </c>
      <c r="BF45" s="82">
        <f>AD45 - AC45</f>
        <v>0</v>
      </c>
      <c r="BG45" s="82">
        <f>AF45 - AE45</f>
        <v>0</v>
      </c>
      <c r="BH45" s="82">
        <f>AH45 - AG45</f>
        <v>0</v>
      </c>
      <c r="BI45" s="82">
        <f>AJ45 - AI45</f>
        <v>0</v>
      </c>
      <c r="BJ45" s="82">
        <f>AL45 - AK45</f>
        <v>0</v>
      </c>
      <c r="BK45" s="82">
        <f>AN45 - AM45</f>
        <v>0</v>
      </c>
      <c r="BL45" s="95">
        <f>ROUNDUP(SUM(BB45:BK45) * 288, 0) / 288</f>
        <v>0</v>
      </c>
      <c r="BM45" s="70">
        <v>0</v>
      </c>
    </row>
    <row r="46" spans="1:65" x14ac:dyDescent="0.25">
      <c r="A46" s="96">
        <v>0</v>
      </c>
      <c r="B46" s="97">
        <v>0</v>
      </c>
      <c r="C46" s="96">
        <v>0</v>
      </c>
      <c r="D46" s="97">
        <v>0</v>
      </c>
      <c r="E46" s="96">
        <v>0</v>
      </c>
      <c r="F46" s="97">
        <v>0</v>
      </c>
      <c r="G46" s="96">
        <v>0</v>
      </c>
      <c r="H46" s="97">
        <v>0</v>
      </c>
      <c r="I46" s="96">
        <v>0</v>
      </c>
      <c r="J46" s="97">
        <v>0</v>
      </c>
      <c r="K46" s="96">
        <v>0</v>
      </c>
      <c r="L46" s="97">
        <v>0</v>
      </c>
      <c r="M46" s="96">
        <v>0</v>
      </c>
      <c r="N46" s="97">
        <v>0</v>
      </c>
      <c r="O46" s="96">
        <v>0</v>
      </c>
      <c r="P46" s="97">
        <v>0</v>
      </c>
      <c r="Q46" s="96">
        <v>0</v>
      </c>
      <c r="R46" s="97">
        <v>0</v>
      </c>
      <c r="S46" s="96">
        <v>0</v>
      </c>
      <c r="T46" s="97">
        <v>0</v>
      </c>
      <c r="U46" s="98">
        <v>0</v>
      </c>
      <c r="V46" s="97">
        <v>0</v>
      </c>
      <c r="W46" s="96">
        <v>0</v>
      </c>
      <c r="X46" s="97">
        <v>0</v>
      </c>
      <c r="Y46" s="96">
        <v>0</v>
      </c>
      <c r="Z46" s="97">
        <v>0</v>
      </c>
      <c r="AA46" s="96">
        <v>0</v>
      </c>
      <c r="AB46" s="97">
        <v>0</v>
      </c>
      <c r="AC46" s="99">
        <v>0</v>
      </c>
      <c r="AD46" s="97">
        <v>0</v>
      </c>
      <c r="AE46" s="99">
        <v>0</v>
      </c>
      <c r="AF46" s="97">
        <v>0</v>
      </c>
      <c r="AG46" s="99">
        <v>0</v>
      </c>
      <c r="AH46" s="97">
        <v>0</v>
      </c>
      <c r="AI46" s="99">
        <v>0</v>
      </c>
      <c r="AJ46" s="97">
        <v>0</v>
      </c>
      <c r="AK46" s="99">
        <v>0</v>
      </c>
      <c r="AL46" s="97">
        <v>0</v>
      </c>
      <c r="AM46" s="96">
        <v>0</v>
      </c>
      <c r="AN46" s="100">
        <v>0</v>
      </c>
      <c r="AO46" s="101">
        <f t="shared" si="0"/>
        <v>0</v>
      </c>
      <c r="AP46" s="102">
        <f t="shared" si="1"/>
        <v>0</v>
      </c>
      <c r="AQ46" s="102">
        <f t="shared" si="2"/>
        <v>0</v>
      </c>
      <c r="AR46" s="103">
        <f t="shared" si="3"/>
        <v>0</v>
      </c>
      <c r="AS46" s="104">
        <f t="shared" si="4"/>
        <v>0</v>
      </c>
      <c r="AT46" s="105">
        <f t="shared" si="5"/>
        <v>0</v>
      </c>
      <c r="AU46" s="105">
        <f t="shared" si="6"/>
        <v>0</v>
      </c>
      <c r="AV46" s="105">
        <f t="shared" si="7"/>
        <v>0</v>
      </c>
      <c r="AW46" s="105">
        <f t="shared" si="8"/>
        <v>0</v>
      </c>
      <c r="AX46" s="105">
        <f t="shared" si="9"/>
        <v>0</v>
      </c>
      <c r="AY46" s="101">
        <f t="shared" si="10"/>
        <v>0</v>
      </c>
      <c r="AZ46" s="106">
        <f t="shared" si="11"/>
        <v>0</v>
      </c>
      <c r="BA46" s="103">
        <f t="shared" si="12"/>
        <v>0</v>
      </c>
      <c r="BB46" s="104">
        <f>V46 - U46</f>
        <v>0</v>
      </c>
      <c r="BC46" s="107">
        <f>X46 - W46</f>
        <v>0</v>
      </c>
      <c r="BD46" s="107">
        <f>Z46 - Y46</f>
        <v>0</v>
      </c>
      <c r="BE46" s="107">
        <f>AB46 - AA46</f>
        <v>0</v>
      </c>
      <c r="BF46" s="107">
        <f>AD46 - AC46</f>
        <v>0</v>
      </c>
      <c r="BG46" s="107">
        <f>AF46 - AE46</f>
        <v>0</v>
      </c>
      <c r="BH46" s="107">
        <f>AH46 - AG46</f>
        <v>0</v>
      </c>
      <c r="BI46" s="107">
        <f>AJ46 - AI46</f>
        <v>0</v>
      </c>
      <c r="BJ46" s="107">
        <f>AL46 - AK46</f>
        <v>0</v>
      </c>
      <c r="BK46" s="108">
        <f>AN46 - AM46</f>
        <v>0</v>
      </c>
      <c r="BL46" s="109">
        <f>ROUNDUP(SUM(BB46:BK46) * 288, 0) / 288</f>
        <v>0</v>
      </c>
      <c r="BM46" s="70">
        <v>0</v>
      </c>
    </row>
    <row r="47" spans="1:65" x14ac:dyDescent="0.25">
      <c r="A47" s="71"/>
      <c r="B47" s="72"/>
      <c r="C47" s="71"/>
      <c r="D47" s="72"/>
      <c r="E47" s="71"/>
      <c r="F47" s="72"/>
      <c r="G47" s="71"/>
      <c r="H47" s="72"/>
      <c r="I47" s="71"/>
      <c r="J47" s="72"/>
      <c r="K47" s="71"/>
      <c r="L47" s="72"/>
      <c r="M47" s="71"/>
      <c r="N47" s="72"/>
      <c r="O47" s="71"/>
      <c r="P47" s="72"/>
      <c r="Q47" s="71"/>
      <c r="R47" s="72"/>
      <c r="S47" s="71"/>
      <c r="T47" s="72"/>
      <c r="U47" s="73">
        <f>A47</f>
        <v>0</v>
      </c>
      <c r="V47" s="72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1">
        <f>IF(AND(V47&gt;0,V47=B47),C47,IF(V47=D47,E47,IF(V47=F47,G47,IF(V47=H47,I47,IF(V47=J47,K47,IF(V47=L47,M47,IF(V47=N47,O47,IF(V47=P47,Q47,S47))))))))</f>
        <v>0</v>
      </c>
      <c r="X47" s="72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1">
        <f>IF(AND(X47&gt;0,X47=D47),E47,IF(X47=F47,G47,IF(X47=H47,I47,IF(X47=J47,K47,IF(X47=L47,M47,IF(X47=N47,O47,IF(X47=P47,Q47,S47)))))))</f>
        <v>0</v>
      </c>
      <c r="Z47" s="72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1">
        <f>IF(AND(Z47&gt;0,Z47=F47),G47,IF(Z47=H47,I47,IF(Z47=J47,K47,IF(Z47=L47,M47,IF(Z47=N47,O47,IF(Z47=P47,Q47,S47))))))</f>
        <v>0</v>
      </c>
      <c r="AB47" s="72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4">
        <f>IF(AND(AB47&gt;0,AB47=H47),I47,IF(AB47=J47,K47,IF(AB47=L47,M47,IF(AB47=N47,O47,IF(AB47=P47,Q47,S47)))))</f>
        <v>0</v>
      </c>
      <c r="AD47" s="72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4">
        <f>IF(AND(AD47&gt;0,AD47=J47),K47,IF(AD47=L47,M47,IF(AD47=N47,O47,IF(AD47=P47,Q47,S47))))</f>
        <v>0</v>
      </c>
      <c r="AF47" s="72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4">
        <f>IF(AND(AF47&gt;0,AF47=L47),M47,IF(AF47=N47,O47,IF(AF47=P47,Q47,S47)))</f>
        <v>0</v>
      </c>
      <c r="AH47" s="72">
        <f>IF(AG47=M47,IF(AND(O47&gt;0,(O47-N47)&lt;$U$50),P47,N47),IF(AG47=O47,IF(AND(Q47&gt;0,(Q47-P47)&lt;$U$50),R47,P47),IF(AG47=Q47,IF(AND(S47&gt;0,(S47-R47)&lt;$U$50),T47,R47))))</f>
        <v>0</v>
      </c>
      <c r="AI47" s="74">
        <f>IF(AND(AH47&gt;0,AH47=N47),O47,IF(AH47=P47,Q47,S47))</f>
        <v>0</v>
      </c>
      <c r="AJ47" s="72">
        <f>IF(AI47=O47,IF(AND(Q47&gt;0,(Q47-P47)&lt;$U$50),R47,P47),IF(AI47=Q47,IF(AND(S47&gt;0,(S47-R47)&lt;$U$50),T47,R47)))</f>
        <v>0</v>
      </c>
      <c r="AK47" s="74">
        <f>IF(AND(AJ47&gt;0,AJ47=P47),Q47,S47)</f>
        <v>0</v>
      </c>
      <c r="AL47" s="72">
        <f>IF(AK47=Q47,IF(AND(S47&gt;0,(S47-R47)&lt;$U$50),T47,R47))</f>
        <v>0</v>
      </c>
      <c r="AM47" s="71">
        <f>IF(AND(AL47&gt;0,AL47=R47),S47,0)</f>
        <v>0</v>
      </c>
      <c r="AN47" s="75">
        <f>IF(AM47=S47,T47,0)</f>
        <v>0</v>
      </c>
      <c r="AO47" s="76">
        <f t="shared" si="0"/>
        <v>0</v>
      </c>
      <c r="AP47" s="77">
        <f t="shared" si="1"/>
        <v>0</v>
      </c>
      <c r="AQ47" s="77">
        <f t="shared" si="2"/>
        <v>0</v>
      </c>
      <c r="AR47" s="78">
        <f t="shared" si="3"/>
        <v>0</v>
      </c>
      <c r="AS47" s="79">
        <f t="shared" si="4"/>
        <v>0</v>
      </c>
      <c r="AT47" s="80">
        <f t="shared" si="5"/>
        <v>0</v>
      </c>
      <c r="AU47" s="80">
        <f t="shared" si="6"/>
        <v>0</v>
      </c>
      <c r="AV47" s="80">
        <f t="shared" si="7"/>
        <v>0</v>
      </c>
      <c r="AW47" s="80">
        <f t="shared" si="8"/>
        <v>0</v>
      </c>
      <c r="AX47" s="80">
        <f t="shared" si="9"/>
        <v>0</v>
      </c>
      <c r="AY47" s="110">
        <f t="shared" si="10"/>
        <v>0</v>
      </c>
      <c r="AZ47" s="111">
        <f t="shared" si="11"/>
        <v>0</v>
      </c>
      <c r="BA47" s="112">
        <f t="shared" si="12"/>
        <v>0</v>
      </c>
      <c r="BB47" s="63">
        <f>V47 - U47</f>
        <v>0</v>
      </c>
      <c r="BC47" s="113">
        <f>X47 - W47</f>
        <v>0</v>
      </c>
      <c r="BD47" s="113">
        <f>Z47 - Y47</f>
        <v>0</v>
      </c>
      <c r="BE47" s="113">
        <f>AB47 - AA47</f>
        <v>0</v>
      </c>
      <c r="BF47" s="113">
        <f>AD47 - AC47</f>
        <v>0</v>
      </c>
      <c r="BG47" s="113">
        <f>AF47 - AE47</f>
        <v>0</v>
      </c>
      <c r="BH47" s="113">
        <f>AH47 - AG47</f>
        <v>0</v>
      </c>
      <c r="BI47" s="113">
        <f>AJ47 - AI47</f>
        <v>0</v>
      </c>
      <c r="BJ47" s="113">
        <f>AL47 - AK47</f>
        <v>0</v>
      </c>
      <c r="BK47" s="113">
        <f>AN47 - AM47</f>
        <v>0</v>
      </c>
      <c r="BL47" s="69">
        <f>ROUNDUP(SUM(BB47:BK47) * 288, 0) / 288</f>
        <v>0</v>
      </c>
      <c r="BM47" s="70"/>
    </row>
    <row r="48" spans="1:65" x14ac:dyDescent="0.25">
      <c r="A48" s="71"/>
      <c r="B48" s="72"/>
      <c r="C48" s="71"/>
      <c r="D48" s="72"/>
      <c r="E48" s="71"/>
      <c r="F48" s="72"/>
      <c r="G48" s="71"/>
      <c r="H48" s="72"/>
      <c r="I48" s="71"/>
      <c r="J48" s="72"/>
      <c r="K48" s="71"/>
      <c r="L48" s="72"/>
      <c r="M48" s="71"/>
      <c r="N48" s="72"/>
      <c r="O48" s="71"/>
      <c r="P48" s="72"/>
      <c r="Q48" s="71"/>
      <c r="R48" s="72"/>
      <c r="S48" s="71"/>
      <c r="T48" s="72"/>
      <c r="U48" s="73">
        <f>A48</f>
        <v>0</v>
      </c>
      <c r="V48" s="72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1">
        <f>IF(AND(V48&gt;0,V48=B48),C48,IF(V48=D48,E48,IF(V48=F48,G48,IF(V48=H48,I48,IF(V48=J48,K48,IF(V48=L48,M48,IF(V48=N48,O48,IF(V48=P48,Q48,S48))))))))</f>
        <v>0</v>
      </c>
      <c r="X48" s="72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1">
        <f>IF(AND(X48&gt;0,X48=D48),E48,IF(X48=F48,G48,IF(X48=H48,I48,IF(X48=J48,K48,IF(X48=L48,M48,IF(X48=N48,O48,IF(X48=P48,Q48,S48)))))))</f>
        <v>0</v>
      </c>
      <c r="Z48" s="72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1">
        <f>IF(AND(Z48&gt;0,Z48=F48),G48,IF(Z48=H48,I48,IF(Z48=J48,K48,IF(Z48=L48,M48,IF(Z48=N48,O48,IF(Z48=P48,Q48,S48))))))</f>
        <v>0</v>
      </c>
      <c r="AB48" s="72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4">
        <f>IF(AND(AB48&gt;0,AB48=H48),I48,IF(AB48=J48,K48,IF(AB48=L48,M48,IF(AB48=N48,O48,IF(AB48=P48,Q48,S48)))))</f>
        <v>0</v>
      </c>
      <c r="AD48" s="72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4">
        <f>IF(AND(AD48&gt;0,AD48=J48),K48,IF(AD48=L48,M48,IF(AD48=N48,O48,IF(AD48=P48,Q48,S48))))</f>
        <v>0</v>
      </c>
      <c r="AF48" s="72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4">
        <f>IF(AND(AF48&gt;0,AF48=L48),M48,IF(AF48=N48,O48,IF(AF48=P48,Q48,S48)))</f>
        <v>0</v>
      </c>
      <c r="AH48" s="72">
        <f>IF(AG48=M48,IF(AND(O48&gt;0,(O48-N48)&lt;$U$50),P48,N48),IF(AG48=O48,IF(AND(Q48&gt;0,(Q48-P48)&lt;$U$50),R48,P48),IF(AG48=Q48,IF(AND(S48&gt;0,(S48-R48)&lt;$U$50),T48,R48))))</f>
        <v>0</v>
      </c>
      <c r="AI48" s="74">
        <f>IF(AND(AH48&gt;0,AH48=N48),O48,IF(AH48=P48,Q48,S48))</f>
        <v>0</v>
      </c>
      <c r="AJ48" s="72">
        <f>IF(AI48=O48,IF(AND(Q48&gt;0,(Q48-P48)&lt;$U$50),R48,P48),IF(AI48=Q48,IF(AND(S48&gt;0,(S48-R48)&lt;$U$50),T48,R48)))</f>
        <v>0</v>
      </c>
      <c r="AK48" s="74">
        <f>IF(AND(AJ48&gt;0,AJ48=P48),Q48,S48)</f>
        <v>0</v>
      </c>
      <c r="AL48" s="72">
        <f>IF(AK48=Q48,IF(AND(S48&gt;0,(S48-R48)&lt;$U$50),T48,R48))</f>
        <v>0</v>
      </c>
      <c r="AM48" s="71">
        <f>IF(AND(AL48&gt;0,AL48=R48),S48,0)</f>
        <v>0</v>
      </c>
      <c r="AN48" s="75">
        <f>IF(AM48=S48,T48,0)</f>
        <v>0</v>
      </c>
      <c r="AO48" s="76">
        <f t="shared" si="0"/>
        <v>0</v>
      </c>
      <c r="AP48" s="77">
        <f t="shared" si="1"/>
        <v>0</v>
      </c>
      <c r="AQ48" s="77">
        <f t="shared" si="2"/>
        <v>0</v>
      </c>
      <c r="AR48" s="78">
        <f t="shared" si="3"/>
        <v>0</v>
      </c>
      <c r="AS48" s="79">
        <f t="shared" si="4"/>
        <v>0</v>
      </c>
      <c r="AT48" s="80">
        <f t="shared" si="5"/>
        <v>0</v>
      </c>
      <c r="AU48" s="80">
        <f t="shared" si="6"/>
        <v>0</v>
      </c>
      <c r="AV48" s="80">
        <f t="shared" si="7"/>
        <v>0</v>
      </c>
      <c r="AW48" s="80">
        <f t="shared" si="8"/>
        <v>0</v>
      </c>
      <c r="AX48" s="80">
        <f t="shared" si="9"/>
        <v>0</v>
      </c>
      <c r="AY48" s="76">
        <f t="shared" si="10"/>
        <v>0</v>
      </c>
      <c r="AZ48" s="81">
        <f t="shared" si="11"/>
        <v>0</v>
      </c>
      <c r="BA48" s="78">
        <f t="shared" si="12"/>
        <v>0</v>
      </c>
      <c r="BB48" s="79">
        <f>V48 - U48</f>
        <v>0</v>
      </c>
      <c r="BC48" s="82">
        <f>X48 - W48</f>
        <v>0</v>
      </c>
      <c r="BD48" s="82">
        <f>Z48 - Y48</f>
        <v>0</v>
      </c>
      <c r="BE48" s="82">
        <f>AB48 - AA48</f>
        <v>0</v>
      </c>
      <c r="BF48" s="82">
        <f>AD48 - AC48</f>
        <v>0</v>
      </c>
      <c r="BG48" s="82">
        <f>AF48 - AE48</f>
        <v>0</v>
      </c>
      <c r="BH48" s="82">
        <f>AH48 - AG48</f>
        <v>0</v>
      </c>
      <c r="BI48" s="82">
        <f>AJ48 - AI48</f>
        <v>0</v>
      </c>
      <c r="BJ48" s="82">
        <f>AL48 - AK48</f>
        <v>0</v>
      </c>
      <c r="BK48" s="82">
        <f>AN48 - AM48</f>
        <v>0</v>
      </c>
      <c r="BL48" s="83">
        <f>ROUNDUP(SUM(BB48:BK48) * 288, 0) / 288</f>
        <v>0</v>
      </c>
      <c r="BM48" s="70"/>
    </row>
    <row r="49" spans="1:65" ht="15.75" thickBot="1" x14ac:dyDescent="0.3">
      <c r="A49" s="96"/>
      <c r="B49" s="97"/>
      <c r="C49" s="96"/>
      <c r="D49" s="97"/>
      <c r="E49" s="96"/>
      <c r="F49" s="97"/>
      <c r="G49" s="96"/>
      <c r="H49" s="97"/>
      <c r="I49" s="96"/>
      <c r="J49" s="97"/>
      <c r="K49" s="96"/>
      <c r="L49" s="97"/>
      <c r="M49" s="96"/>
      <c r="N49" s="97"/>
      <c r="O49" s="96"/>
      <c r="P49" s="97"/>
      <c r="Q49" s="96"/>
      <c r="R49" s="97"/>
      <c r="S49" s="96"/>
      <c r="T49" s="97"/>
      <c r="U49" s="98">
        <f>A49</f>
        <v>0</v>
      </c>
      <c r="V49" s="97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6">
        <f>IF(AND(V49&gt;0,V49=B49),C49,IF(V49=D49,E49,IF(V49=F49,G49,IF(V49=H49,I49,IF(V49=J49,K49,IF(V49=L49,M49,IF(V49=N49,O49,IF(V49=P49,Q49,S49))))))))</f>
        <v>0</v>
      </c>
      <c r="X49" s="97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6">
        <f>IF(AND(X49&gt;0,X49=D49),E49,IF(X49=F49,G49,IF(X49=H49,I49,IF(X49=J49,K49,IF(X49=L49,M49,IF(X49=N49,O49,IF(X49=P49,Q49,S49)))))))</f>
        <v>0</v>
      </c>
      <c r="Z49" s="97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6">
        <f>IF(AND(Z49&gt;0,Z49=F49),G49,IF(Z49=H49,I49,IF(Z49=J49,K49,IF(Z49=L49,M49,IF(Z49=N49,O49,IF(Z49=P49,Q49,S49))))))</f>
        <v>0</v>
      </c>
      <c r="AB49" s="97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99">
        <f>IF(AND(AB49&gt;0,AB49=H49),I49,IF(AB49=J49,K49,IF(AB49=L49,M49,IF(AB49=N49,O49,IF(AB49=P49,Q49,S49)))))</f>
        <v>0</v>
      </c>
      <c r="AD49" s="97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99">
        <f>IF(AND(AD49&gt;0,AD49=J49),K49,IF(AD49=L49,M49,IF(AD49=N49,O49,IF(AD49=P49,Q49,S49))))</f>
        <v>0</v>
      </c>
      <c r="AF49" s="97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99">
        <f>IF(AND(AF49&gt;0,AF49=L49),M49,IF(AF49=N49,O49,IF(AF49=P49,Q49,S49)))</f>
        <v>0</v>
      </c>
      <c r="AH49" s="97">
        <f>IF(AG49=M49,IF(AND(O49&gt;0,(O49-N49)&lt;$U$50),P49,N49),IF(AG49=O49,IF(AND(Q49&gt;0,(Q49-P49)&lt;$U$50),R49,P49),IF(AG49=Q49,IF(AND(S49&gt;0,(S49-R49)&lt;$U$50),T49,R49))))</f>
        <v>0</v>
      </c>
      <c r="AI49" s="99">
        <f>IF(AND(AH49&gt;0,AH49=N49),O49,IF(AH49=P49,Q49,S49))</f>
        <v>0</v>
      </c>
      <c r="AJ49" s="97">
        <f>IF(AI49=O49,IF(AND(Q49&gt;0,(Q49-P49)&lt;$U$50),R49,P49),IF(AI49=Q49,IF(AND(S49&gt;0,(S49-R49)&lt;$U$50),T49,R49)))</f>
        <v>0</v>
      </c>
      <c r="AK49" s="99">
        <f>IF(AND(AJ49&gt;0,AJ49=P49),Q49,S49)</f>
        <v>0</v>
      </c>
      <c r="AL49" s="97">
        <f>IF(AK49=Q49,IF(AND(S49&gt;0,(S49-R49)&lt;$U$50),T49,R49))</f>
        <v>0</v>
      </c>
      <c r="AM49" s="96">
        <f>IF(AND(AL49&gt;0,AL49=R49),S49,0)</f>
        <v>0</v>
      </c>
      <c r="AN49" s="100">
        <f>IF(AM49=S49,T49,0)</f>
        <v>0</v>
      </c>
      <c r="AO49" s="101">
        <f t="shared" si="0"/>
        <v>0</v>
      </c>
      <c r="AP49" s="102">
        <f t="shared" si="1"/>
        <v>0</v>
      </c>
      <c r="AQ49" s="102">
        <f t="shared" si="2"/>
        <v>0</v>
      </c>
      <c r="AR49" s="103">
        <f t="shared" si="3"/>
        <v>0</v>
      </c>
      <c r="AS49" s="104">
        <f t="shared" si="4"/>
        <v>0</v>
      </c>
      <c r="AT49" s="105">
        <f t="shared" si="5"/>
        <v>0</v>
      </c>
      <c r="AU49" s="105">
        <f t="shared" si="6"/>
        <v>0</v>
      </c>
      <c r="AV49" s="105">
        <f t="shared" si="7"/>
        <v>0</v>
      </c>
      <c r="AW49" s="105">
        <f t="shared" si="8"/>
        <v>0</v>
      </c>
      <c r="AX49" s="105">
        <f t="shared" si="9"/>
        <v>0</v>
      </c>
      <c r="AY49" s="89">
        <f t="shared" si="10"/>
        <v>0</v>
      </c>
      <c r="AZ49" s="94">
        <f t="shared" si="11"/>
        <v>0</v>
      </c>
      <c r="BA49" s="91">
        <f t="shared" si="12"/>
        <v>0</v>
      </c>
      <c r="BB49" s="79">
        <f>V49 - U49</f>
        <v>0</v>
      </c>
      <c r="BC49" s="82">
        <f>X49 - W49</f>
        <v>0</v>
      </c>
      <c r="BD49" s="82">
        <f>Z49 - Y49</f>
        <v>0</v>
      </c>
      <c r="BE49" s="82">
        <f>AB49 - AA49</f>
        <v>0</v>
      </c>
      <c r="BF49" s="82">
        <f>AD49 - AC49</f>
        <v>0</v>
      </c>
      <c r="BG49" s="82">
        <f>AF49 - AE49</f>
        <v>0</v>
      </c>
      <c r="BH49" s="82">
        <f>AH49 - AG49</f>
        <v>0</v>
      </c>
      <c r="BI49" s="82">
        <f>AJ49 - AI49</f>
        <v>0</v>
      </c>
      <c r="BJ49" s="82">
        <f>AL49 - AK49</f>
        <v>0</v>
      </c>
      <c r="BK49" s="82">
        <f>AN49 - AM49</f>
        <v>0</v>
      </c>
      <c r="BL49" s="83">
        <f>ROUNDUP(SUM(BB49:BK49) * 288, 0) / 288</f>
        <v>0</v>
      </c>
      <c r="BM49" s="70"/>
    </row>
    <row r="50" spans="1:65" ht="16.5" thickTop="1" thickBot="1" x14ac:dyDescent="0.3">
      <c r="U50" s="40">
        <v>1.3888888888888888E-2</v>
      </c>
      <c r="AM50" s="114"/>
      <c r="AT50" s="115" t="s">
        <v>70</v>
      </c>
      <c r="AU50" s="115" t="s">
        <v>71</v>
      </c>
      <c r="AV50" s="115" t="s">
        <v>72</v>
      </c>
      <c r="AW50" s="115" t="s">
        <v>73</v>
      </c>
      <c r="AX50" s="115"/>
      <c r="AY50" s="116">
        <f>SUM(AY5:AY49)</f>
        <v>0</v>
      </c>
      <c r="AZ50" s="117">
        <f>SUM(AZ5:AZ49)</f>
        <v>0</v>
      </c>
      <c r="BA50" s="118">
        <f>SUM(BA5:BA49)</f>
        <v>0</v>
      </c>
      <c r="BB50" s="119" t="str">
        <f t="shared" ref="BB50:BL50" si="26">TRUNC(SUM(BB5:BB49)*24,0) &amp; ":" &amp; RIGHT("00"&amp;ROUND(((SUM(BB5:BB49)*24)-TRUNC(SUM(BB5:BB49)*24,0))*60,2),2)</f>
        <v>0:00</v>
      </c>
      <c r="BC50" s="120" t="str">
        <f t="shared" si="26"/>
        <v>0:00</v>
      </c>
      <c r="BD50" s="120" t="str">
        <f t="shared" si="26"/>
        <v>0:00</v>
      </c>
      <c r="BE50" s="120" t="str">
        <f t="shared" si="26"/>
        <v>0:00</v>
      </c>
      <c r="BF50" s="120" t="str">
        <f t="shared" si="26"/>
        <v>0:00</v>
      </c>
      <c r="BG50" s="120" t="str">
        <f t="shared" si="26"/>
        <v>0:00</v>
      </c>
      <c r="BH50" s="120" t="str">
        <f t="shared" si="26"/>
        <v>0:00</v>
      </c>
      <c r="BI50" s="120" t="str">
        <f t="shared" si="26"/>
        <v>0:00</v>
      </c>
      <c r="BJ50" s="120" t="str">
        <f t="shared" si="26"/>
        <v>0:00</v>
      </c>
      <c r="BK50" s="121" t="str">
        <f t="shared" si="26"/>
        <v>0:00</v>
      </c>
      <c r="BL50" s="122" t="str">
        <f t="shared" si="26"/>
        <v>0:00</v>
      </c>
      <c r="BM50" s="123"/>
    </row>
    <row r="52" spans="1:65" x14ac:dyDescent="0.25">
      <c r="C52" s="485"/>
      <c r="D52" s="48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56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4" t="s">
        <v>108</v>
      </c>
      <c r="H1" s="154" t="s">
        <v>12</v>
      </c>
    </row>
    <row r="2" spans="1:8" s="153" customFormat="1" x14ac:dyDescent="0.25">
      <c r="A2" s="153" t="s">
        <v>110</v>
      </c>
      <c r="B2" s="153" t="s">
        <v>109</v>
      </c>
      <c r="C2" s="153">
        <v>0.3</v>
      </c>
      <c r="G2" s="153" t="s">
        <v>149</v>
      </c>
      <c r="H2" s="153" t="s">
        <v>150</v>
      </c>
    </row>
    <row r="3" spans="1:8" s="153" customFormat="1" x14ac:dyDescent="0.25">
      <c r="A3" s="153" t="s">
        <v>111</v>
      </c>
      <c r="B3" s="153" t="s">
        <v>130</v>
      </c>
      <c r="C3" s="153">
        <v>0.2</v>
      </c>
      <c r="G3" s="153" t="s">
        <v>151</v>
      </c>
      <c r="H3" s="153" t="s">
        <v>119</v>
      </c>
    </row>
    <row r="4" spans="1:8" s="153" customFormat="1" x14ac:dyDescent="0.25">
      <c r="A4" s="153" t="s">
        <v>112</v>
      </c>
      <c r="B4" s="153" t="s">
        <v>113</v>
      </c>
      <c r="C4" s="153">
        <v>0.5</v>
      </c>
      <c r="G4" s="153" t="s">
        <v>153</v>
      </c>
      <c r="H4" s="153" t="s">
        <v>154</v>
      </c>
    </row>
    <row r="5" spans="1:8" s="153" customFormat="1" x14ac:dyDescent="0.25">
      <c r="A5" s="153" t="s">
        <v>114</v>
      </c>
      <c r="B5" s="153" t="s">
        <v>123</v>
      </c>
      <c r="C5" s="153">
        <v>0.6</v>
      </c>
      <c r="G5" s="153" t="s">
        <v>153</v>
      </c>
      <c r="H5" s="153" t="s">
        <v>160</v>
      </c>
    </row>
    <row r="6" spans="1:8" s="153" customFormat="1" x14ac:dyDescent="0.25">
      <c r="A6" s="153" t="s">
        <v>115</v>
      </c>
      <c r="B6" s="153" t="s">
        <v>124</v>
      </c>
      <c r="C6" s="153">
        <v>0.35</v>
      </c>
      <c r="G6" s="153" t="s">
        <v>161</v>
      </c>
      <c r="H6" s="153" t="s">
        <v>162</v>
      </c>
    </row>
    <row r="7" spans="1:8" s="153" customFormat="1" x14ac:dyDescent="0.25">
      <c r="A7" s="153" t="s">
        <v>116</v>
      </c>
      <c r="B7" s="153" t="s">
        <v>117</v>
      </c>
      <c r="C7" s="153">
        <v>0.25</v>
      </c>
      <c r="G7" s="153" t="s">
        <v>163</v>
      </c>
      <c r="H7" s="153" t="s">
        <v>164</v>
      </c>
    </row>
    <row r="8" spans="1:8" s="153" customFormat="1" x14ac:dyDescent="0.25">
      <c r="A8" s="153" t="s">
        <v>118</v>
      </c>
      <c r="B8" s="153" t="s">
        <v>119</v>
      </c>
      <c r="C8" s="153">
        <v>0.5</v>
      </c>
      <c r="G8" s="153" t="s">
        <v>165</v>
      </c>
      <c r="H8" s="153" t="s">
        <v>166</v>
      </c>
    </row>
    <row r="9" spans="1:8" s="153" customFormat="1" x14ac:dyDescent="0.25">
      <c r="A9" s="153" t="s">
        <v>125</v>
      </c>
      <c r="B9" s="153" t="s">
        <v>126</v>
      </c>
      <c r="C9" s="153">
        <v>6.5</v>
      </c>
      <c r="G9" s="153" t="s">
        <v>153</v>
      </c>
      <c r="H9" s="153" t="s">
        <v>167</v>
      </c>
    </row>
    <row r="10" spans="1:8" s="153" customFormat="1" x14ac:dyDescent="0.25">
      <c r="A10" s="153" t="s">
        <v>153</v>
      </c>
      <c r="B10" s="153" t="s">
        <v>127</v>
      </c>
      <c r="C10" s="153">
        <v>1.5</v>
      </c>
      <c r="G10" s="153" t="s">
        <v>168</v>
      </c>
      <c r="H10" s="153" t="s">
        <v>169</v>
      </c>
    </row>
    <row r="11" spans="1:8" s="153" customFormat="1" x14ac:dyDescent="0.25">
      <c r="A11" s="153" t="s">
        <v>129</v>
      </c>
      <c r="B11" s="153" t="s">
        <v>128</v>
      </c>
      <c r="C11" s="153">
        <v>2.5</v>
      </c>
      <c r="G11" s="153" t="s">
        <v>170</v>
      </c>
      <c r="H11" s="153" t="s">
        <v>171</v>
      </c>
    </row>
    <row r="12" spans="1:8" s="153" customFormat="1" x14ac:dyDescent="0.25">
      <c r="A12" s="153" t="s">
        <v>131</v>
      </c>
      <c r="B12" s="153" t="s">
        <v>132</v>
      </c>
      <c r="C12" s="153">
        <v>32.5</v>
      </c>
      <c r="G12" s="153" t="s">
        <v>161</v>
      </c>
      <c r="H12" s="153" t="s">
        <v>172</v>
      </c>
    </row>
    <row r="13" spans="1:8" s="153" customFormat="1" x14ac:dyDescent="0.25">
      <c r="A13" s="153" t="s">
        <v>133</v>
      </c>
      <c r="B13" s="153" t="s">
        <v>134</v>
      </c>
      <c r="C13" s="153">
        <v>0.25</v>
      </c>
      <c r="G13" s="153" t="s">
        <v>125</v>
      </c>
      <c r="H13" s="153" t="s">
        <v>173</v>
      </c>
    </row>
    <row r="14" spans="1:8" s="153" customFormat="1" x14ac:dyDescent="0.25">
      <c r="A14" s="153" t="s">
        <v>135</v>
      </c>
      <c r="B14" s="153" t="s">
        <v>136</v>
      </c>
      <c r="C14" s="153">
        <v>1.1000000000000001</v>
      </c>
      <c r="G14" s="153" t="s">
        <v>161</v>
      </c>
      <c r="H14" s="153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318</v>
      </c>
    </row>
    <row r="105" spans="7:8" x14ac:dyDescent="0.25">
      <c r="G105" t="s">
        <v>319</v>
      </c>
      <c r="H105" t="s">
        <v>320</v>
      </c>
    </row>
    <row r="106" spans="7:8" x14ac:dyDescent="0.25">
      <c r="G106" t="s">
        <v>153</v>
      </c>
      <c r="H106" t="s">
        <v>321</v>
      </c>
    </row>
    <row r="107" spans="7:8" x14ac:dyDescent="0.25">
      <c r="G107" t="s">
        <v>322</v>
      </c>
      <c r="H107" t="s">
        <v>323</v>
      </c>
    </row>
    <row r="108" spans="7:8" x14ac:dyDescent="0.25">
      <c r="G108" t="s">
        <v>161</v>
      </c>
      <c r="H108" t="s">
        <v>324</v>
      </c>
    </row>
    <row r="109" spans="7:8" x14ac:dyDescent="0.25">
      <c r="G109" t="s">
        <v>224</v>
      </c>
      <c r="H109" t="s">
        <v>325</v>
      </c>
    </row>
    <row r="110" spans="7:8" x14ac:dyDescent="0.25">
      <c r="G110" t="s">
        <v>189</v>
      </c>
      <c r="H110" t="s">
        <v>326</v>
      </c>
    </row>
    <row r="111" spans="7:8" x14ac:dyDescent="0.25">
      <c r="G111" t="s">
        <v>282</v>
      </c>
      <c r="H111" t="s">
        <v>327</v>
      </c>
    </row>
    <row r="112" spans="7:8" x14ac:dyDescent="0.25">
      <c r="G112" t="s">
        <v>179</v>
      </c>
      <c r="H112" t="s">
        <v>328</v>
      </c>
    </row>
    <row r="113" spans="7:8" x14ac:dyDescent="0.25">
      <c r="G113" t="s">
        <v>179</v>
      </c>
      <c r="H113" t="s">
        <v>329</v>
      </c>
    </row>
    <row r="114" spans="7:8" x14ac:dyDescent="0.25">
      <c r="G114" t="s">
        <v>191</v>
      </c>
      <c r="H114" t="s">
        <v>330</v>
      </c>
    </row>
    <row r="115" spans="7:8" x14ac:dyDescent="0.25">
      <c r="G115" t="s">
        <v>179</v>
      </c>
      <c r="H115" t="s">
        <v>331</v>
      </c>
    </row>
    <row r="116" spans="7:8" x14ac:dyDescent="0.25">
      <c r="G116" t="s">
        <v>196</v>
      </c>
      <c r="H116" t="s">
        <v>332</v>
      </c>
    </row>
    <row r="117" spans="7:8" x14ac:dyDescent="0.25">
      <c r="G117" t="s">
        <v>322</v>
      </c>
      <c r="H117" t="s">
        <v>333</v>
      </c>
    </row>
    <row r="118" spans="7:8" x14ac:dyDescent="0.25">
      <c r="G118" t="s">
        <v>179</v>
      </c>
      <c r="H118" t="s">
        <v>334</v>
      </c>
    </row>
    <row r="119" spans="7:8" x14ac:dyDescent="0.25">
      <c r="G119" t="s">
        <v>224</v>
      </c>
      <c r="H119" t="s">
        <v>343</v>
      </c>
    </row>
    <row r="120" spans="7:8" x14ac:dyDescent="0.25">
      <c r="G120" t="s">
        <v>319</v>
      </c>
      <c r="H120" t="s">
        <v>344</v>
      </c>
    </row>
    <row r="121" spans="7:8" x14ac:dyDescent="0.25">
      <c r="G121" t="s">
        <v>224</v>
      </c>
      <c r="H121" t="s">
        <v>345</v>
      </c>
    </row>
    <row r="122" spans="7:8" x14ac:dyDescent="0.25">
      <c r="G122" t="s">
        <v>161</v>
      </c>
      <c r="H122" t="s">
        <v>346</v>
      </c>
    </row>
    <row r="123" spans="7:8" x14ac:dyDescent="0.25">
      <c r="G123" t="s">
        <v>189</v>
      </c>
      <c r="H123" t="s">
        <v>347</v>
      </c>
    </row>
    <row r="124" spans="7:8" x14ac:dyDescent="0.25">
      <c r="G124" t="s">
        <v>179</v>
      </c>
      <c r="H124" t="s">
        <v>348</v>
      </c>
    </row>
    <row r="125" spans="7:8" x14ac:dyDescent="0.25">
      <c r="G125" t="s">
        <v>196</v>
      </c>
      <c r="H125" t="s">
        <v>349</v>
      </c>
    </row>
    <row r="126" spans="7:8" x14ac:dyDescent="0.25">
      <c r="G126" t="s">
        <v>161</v>
      </c>
      <c r="H126" t="s">
        <v>350</v>
      </c>
    </row>
    <row r="127" spans="7:8" x14ac:dyDescent="0.25">
      <c r="G127" t="s">
        <v>179</v>
      </c>
      <c r="H127" t="s">
        <v>351</v>
      </c>
    </row>
    <row r="128" spans="7:8" x14ac:dyDescent="0.25">
      <c r="G128" t="s">
        <v>228</v>
      </c>
      <c r="H128" t="s">
        <v>352</v>
      </c>
    </row>
    <row r="129" spans="7:8" x14ac:dyDescent="0.25">
      <c r="G129" t="s">
        <v>193</v>
      </c>
      <c r="H129" t="s">
        <v>353</v>
      </c>
    </row>
    <row r="130" spans="7:8" x14ac:dyDescent="0.25">
      <c r="G130" t="s">
        <v>165</v>
      </c>
      <c r="H130" t="s">
        <v>354</v>
      </c>
    </row>
    <row r="131" spans="7:8" x14ac:dyDescent="0.25">
      <c r="G131" t="s">
        <v>165</v>
      </c>
      <c r="H131" t="s">
        <v>355</v>
      </c>
    </row>
    <row r="132" spans="7:8" x14ac:dyDescent="0.25">
      <c r="G132" t="s">
        <v>319</v>
      </c>
      <c r="H132" t="s">
        <v>356</v>
      </c>
    </row>
    <row r="133" spans="7:8" x14ac:dyDescent="0.25">
      <c r="G133" t="s">
        <v>193</v>
      </c>
      <c r="H133" t="s">
        <v>357</v>
      </c>
    </row>
    <row r="134" spans="7:8" x14ac:dyDescent="0.25">
      <c r="G134" t="s">
        <v>161</v>
      </c>
      <c r="H134" t="s">
        <v>358</v>
      </c>
    </row>
    <row r="135" spans="7:8" x14ac:dyDescent="0.25">
      <c r="G135" t="s">
        <v>360</v>
      </c>
      <c r="H135" t="s">
        <v>361</v>
      </c>
    </row>
    <row r="136" spans="7:8" x14ac:dyDescent="0.25">
      <c r="G136" t="s">
        <v>362</v>
      </c>
      <c r="H136" t="s">
        <v>363</v>
      </c>
    </row>
    <row r="137" spans="7:8" x14ac:dyDescent="0.25">
      <c r="G137" t="s">
        <v>153</v>
      </c>
      <c r="H137" t="s">
        <v>364</v>
      </c>
    </row>
    <row r="138" spans="7:8" x14ac:dyDescent="0.25">
      <c r="G138" t="s">
        <v>185</v>
      </c>
      <c r="H138" t="s">
        <v>365</v>
      </c>
    </row>
    <row r="139" spans="7:8" x14ac:dyDescent="0.25">
      <c r="G139" t="s">
        <v>302</v>
      </c>
      <c r="H139" t="s">
        <v>366</v>
      </c>
    </row>
    <row r="140" spans="7:8" x14ac:dyDescent="0.25">
      <c r="G140" t="s">
        <v>179</v>
      </c>
      <c r="H140" t="s">
        <v>367</v>
      </c>
    </row>
    <row r="141" spans="7:8" x14ac:dyDescent="0.25">
      <c r="G141" t="s">
        <v>196</v>
      </c>
      <c r="H141" t="s">
        <v>368</v>
      </c>
    </row>
    <row r="142" spans="7:8" x14ac:dyDescent="0.25">
      <c r="G142" t="s">
        <v>300</v>
      </c>
      <c r="H142" t="s">
        <v>369</v>
      </c>
    </row>
    <row r="143" spans="7:8" x14ac:dyDescent="0.25">
      <c r="G143" t="s">
        <v>319</v>
      </c>
      <c r="H143" t="s">
        <v>370</v>
      </c>
    </row>
    <row r="144" spans="7:8" x14ac:dyDescent="0.25">
      <c r="G144" t="s">
        <v>224</v>
      </c>
      <c r="H144" t="s">
        <v>371</v>
      </c>
    </row>
    <row r="145" spans="7:8" x14ac:dyDescent="0.25">
      <c r="G145" t="s">
        <v>165</v>
      </c>
      <c r="H145" t="s">
        <v>372</v>
      </c>
    </row>
    <row r="146" spans="7:8" x14ac:dyDescent="0.25">
      <c r="G146" t="s">
        <v>319</v>
      </c>
      <c r="H146" t="s">
        <v>373</v>
      </c>
    </row>
    <row r="147" spans="7:8" x14ac:dyDescent="0.25">
      <c r="G147" t="s">
        <v>374</v>
      </c>
      <c r="H147" t="s">
        <v>375</v>
      </c>
    </row>
    <row r="148" spans="7:8" x14ac:dyDescent="0.25">
      <c r="G148" t="s">
        <v>300</v>
      </c>
      <c r="H148" t="s">
        <v>376</v>
      </c>
    </row>
    <row r="149" spans="7:8" x14ac:dyDescent="0.25">
      <c r="G149" t="s">
        <v>228</v>
      </c>
      <c r="H149" t="s">
        <v>377</v>
      </c>
    </row>
    <row r="150" spans="7:8" x14ac:dyDescent="0.25">
      <c r="G150" t="s">
        <v>196</v>
      </c>
      <c r="H150" t="s">
        <v>378</v>
      </c>
    </row>
    <row r="151" spans="7:8" x14ac:dyDescent="0.25">
      <c r="G151" t="s">
        <v>191</v>
      </c>
      <c r="H151" t="s">
        <v>379</v>
      </c>
    </row>
    <row r="152" spans="7:8" x14ac:dyDescent="0.25">
      <c r="G152" t="s">
        <v>228</v>
      </c>
      <c r="H152" t="s">
        <v>380</v>
      </c>
    </row>
    <row r="153" spans="7:8" x14ac:dyDescent="0.25">
      <c r="G153" t="s">
        <v>381</v>
      </c>
      <c r="H153" t="s">
        <v>382</v>
      </c>
    </row>
    <row r="154" spans="7:8" x14ac:dyDescent="0.25">
      <c r="G154" t="s">
        <v>207</v>
      </c>
      <c r="H154" t="s">
        <v>383</v>
      </c>
    </row>
    <row r="155" spans="7:8" x14ac:dyDescent="0.25">
      <c r="G155" t="s">
        <v>300</v>
      </c>
      <c r="H155" t="s">
        <v>384</v>
      </c>
    </row>
    <row r="156" spans="7:8" x14ac:dyDescent="0.25">
      <c r="G156" t="s">
        <v>161</v>
      </c>
      <c r="H156" t="s"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3" hidden="1" customWidth="1"/>
    <col min="2" max="2" width="13.140625" style="23" customWidth="1"/>
    <col min="3" max="3" width="7.28515625" style="23" customWidth="1"/>
    <col min="4" max="4" width="6.7109375" style="179" customWidth="1"/>
    <col min="5" max="5" width="8.140625" style="23" customWidth="1"/>
    <col min="6" max="8" width="8.42578125" style="23" customWidth="1"/>
    <col min="9" max="9" width="5.28515625" style="23" customWidth="1"/>
    <col min="10" max="12" width="8.42578125" style="23" customWidth="1"/>
    <col min="13" max="13" width="5.28515625" style="23" customWidth="1"/>
    <col min="14" max="14" width="8.140625" style="23" customWidth="1"/>
    <col min="15" max="15" width="8.7109375" style="23" customWidth="1"/>
    <col min="16" max="16" width="12.85546875" style="179" customWidth="1"/>
    <col min="17" max="17" width="12.28515625" style="23" hidden="1" customWidth="1"/>
    <col min="18" max="16384" width="11.42578125" style="23"/>
  </cols>
  <sheetData>
    <row r="1" spans="1:17" ht="15" customHeight="1" x14ac:dyDescent="0.25">
      <c r="A1" s="23" t="s">
        <v>267</v>
      </c>
      <c r="B1" s="574" t="s">
        <v>297</v>
      </c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  <c r="P1" s="574"/>
      <c r="Q1" s="23" t="s">
        <v>272</v>
      </c>
    </row>
    <row r="2" spans="1:17" ht="15" customHeight="1" x14ac:dyDescent="0.25">
      <c r="B2" s="575" t="s">
        <v>159</v>
      </c>
      <c r="C2" s="575"/>
      <c r="D2" s="575"/>
      <c r="E2" s="575"/>
      <c r="F2" s="575"/>
      <c r="G2" s="575"/>
      <c r="H2" s="575"/>
      <c r="I2" s="575"/>
      <c r="J2" s="575"/>
      <c r="K2" s="575"/>
      <c r="L2" s="575"/>
      <c r="M2" s="575"/>
      <c r="N2" s="575"/>
      <c r="O2" s="575"/>
      <c r="P2" s="575"/>
    </row>
    <row r="3" spans="1:17" ht="15" customHeight="1" x14ac:dyDescent="0.25">
      <c r="B3" s="229" t="s">
        <v>86</v>
      </c>
      <c r="C3" s="227" t="s">
        <v>158</v>
      </c>
      <c r="D3" s="228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</row>
    <row r="4" spans="1:17" ht="15" customHeight="1" x14ac:dyDescent="0.3">
      <c r="B4" s="229" t="s">
        <v>87</v>
      </c>
      <c r="C4" s="206"/>
      <c r="D4" s="238">
        <f>Inter!I24</f>
        <v>0</v>
      </c>
      <c r="E4" s="206"/>
      <c r="F4" s="206"/>
      <c r="G4" s="206"/>
      <c r="H4" s="206"/>
      <c r="I4" s="206"/>
      <c r="J4" s="206"/>
      <c r="K4" s="229" t="s">
        <v>338</v>
      </c>
      <c r="L4" s="206"/>
      <c r="M4" s="206"/>
      <c r="N4" s="206"/>
      <c r="O4" s="206"/>
      <c r="P4" s="206"/>
    </row>
    <row r="5" spans="1:17" ht="15" customHeight="1" thickBot="1" x14ac:dyDescent="0.3">
      <c r="B5" s="206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</row>
    <row r="6" spans="1:17" ht="15" customHeight="1" thickBot="1" x14ac:dyDescent="0.3">
      <c r="B6" s="206"/>
      <c r="C6" s="591" t="s">
        <v>88</v>
      </c>
      <c r="D6" s="584" t="s">
        <v>247</v>
      </c>
      <c r="E6" s="594" t="s">
        <v>89</v>
      </c>
      <c r="F6" s="594" t="s">
        <v>4</v>
      </c>
      <c r="G6" s="597"/>
      <c r="H6" s="597"/>
      <c r="I6" s="578" t="s">
        <v>90</v>
      </c>
      <c r="J6" s="599" t="s">
        <v>4</v>
      </c>
      <c r="K6" s="597"/>
      <c r="L6" s="597"/>
      <c r="M6" s="578" t="s">
        <v>90</v>
      </c>
      <c r="N6" s="581" t="s">
        <v>91</v>
      </c>
      <c r="O6" s="587" t="s">
        <v>155</v>
      </c>
      <c r="P6" s="588" t="s">
        <v>156</v>
      </c>
    </row>
    <row r="7" spans="1:17" ht="15" customHeight="1" thickBot="1" x14ac:dyDescent="0.3">
      <c r="B7" s="206"/>
      <c r="C7" s="592"/>
      <c r="D7" s="585"/>
      <c r="E7" s="595"/>
      <c r="F7" s="598"/>
      <c r="G7" s="598"/>
      <c r="H7" s="598"/>
      <c r="I7" s="579"/>
      <c r="J7" s="600"/>
      <c r="K7" s="598"/>
      <c r="L7" s="598"/>
      <c r="M7" s="579"/>
      <c r="N7" s="582"/>
      <c r="O7" s="587"/>
      <c r="P7" s="589"/>
    </row>
    <row r="8" spans="1:17" ht="15" customHeight="1" thickBot="1" x14ac:dyDescent="0.3">
      <c r="B8" s="206"/>
      <c r="C8" s="592"/>
      <c r="D8" s="585"/>
      <c r="E8" s="595"/>
      <c r="F8" s="598"/>
      <c r="G8" s="598"/>
      <c r="H8" s="598"/>
      <c r="I8" s="579"/>
      <c r="J8" s="600"/>
      <c r="K8" s="598"/>
      <c r="L8" s="598"/>
      <c r="M8" s="579"/>
      <c r="N8" s="582"/>
      <c r="O8" s="587"/>
      <c r="P8" s="590"/>
    </row>
    <row r="9" spans="1:17" ht="15" customHeight="1" thickBot="1" x14ac:dyDescent="0.3">
      <c r="B9" s="7"/>
      <c r="C9" s="593"/>
      <c r="D9" s="586"/>
      <c r="E9" s="596"/>
      <c r="F9" s="233" t="s">
        <v>57</v>
      </c>
      <c r="G9" s="233" t="s">
        <v>58</v>
      </c>
      <c r="H9" s="233" t="s">
        <v>92</v>
      </c>
      <c r="I9" s="580"/>
      <c r="J9" s="204" t="s">
        <v>57</v>
      </c>
      <c r="K9" s="233" t="s">
        <v>58</v>
      </c>
      <c r="L9" s="233" t="s">
        <v>92</v>
      </c>
      <c r="M9" s="580"/>
      <c r="N9" s="583"/>
      <c r="O9" s="587"/>
      <c r="P9" s="207" t="s">
        <v>157</v>
      </c>
    </row>
    <row r="10" spans="1:17" ht="15" customHeight="1" thickBot="1" x14ac:dyDescent="0.3">
      <c r="B10" s="555" t="s">
        <v>79</v>
      </c>
      <c r="C10" s="576"/>
      <c r="D10" s="568"/>
      <c r="E10" s="559">
        <v>0.35416666666666669</v>
      </c>
      <c r="F10" s="185">
        <v>0.54236111111111118</v>
      </c>
      <c r="G10" s="185">
        <v>0.58402777777777781</v>
      </c>
      <c r="H10" s="186" t="s">
        <v>317</v>
      </c>
      <c r="I10" s="187" t="s">
        <v>316</v>
      </c>
      <c r="J10" s="188"/>
      <c r="K10" s="185"/>
      <c r="L10" s="186"/>
      <c r="M10" s="187"/>
      <c r="N10" s="577">
        <v>0.8305555555555556</v>
      </c>
      <c r="O10" s="602">
        <v>0.47638888888888892</v>
      </c>
      <c r="P10" s="603"/>
    </row>
    <row r="11" spans="1:17" ht="15" customHeight="1" thickBot="1" x14ac:dyDescent="0.3">
      <c r="B11" s="555"/>
      <c r="C11" s="557"/>
      <c r="D11" s="569"/>
      <c r="E11" s="560"/>
      <c r="F11" s="230">
        <v>0.77083333333333337</v>
      </c>
      <c r="G11" s="230">
        <v>0.78819444444444453</v>
      </c>
      <c r="H11" s="231"/>
      <c r="I11" s="189" t="s">
        <v>339</v>
      </c>
      <c r="J11" s="232"/>
      <c r="K11" s="230"/>
      <c r="L11" s="231"/>
      <c r="M11" s="189"/>
      <c r="N11" s="563"/>
      <c r="O11" s="602"/>
      <c r="P11" s="603"/>
    </row>
    <row r="12" spans="1:17" ht="15" customHeight="1" thickBot="1" x14ac:dyDescent="0.3">
      <c r="B12" s="555"/>
      <c r="C12" s="558"/>
      <c r="D12" s="570"/>
      <c r="E12" s="561"/>
      <c r="F12" s="190"/>
      <c r="G12" s="190"/>
      <c r="H12" s="191"/>
      <c r="I12" s="192"/>
      <c r="J12" s="193"/>
      <c r="K12" s="190"/>
      <c r="L12" s="191"/>
      <c r="M12" s="192"/>
      <c r="N12" s="564"/>
      <c r="O12" s="602"/>
      <c r="P12" s="603"/>
    </row>
    <row r="13" spans="1:17" ht="15" customHeight="1" thickBot="1" x14ac:dyDescent="0.3">
      <c r="B13" s="555" t="s">
        <v>80</v>
      </c>
      <c r="C13" s="556"/>
      <c r="D13" s="568"/>
      <c r="E13" s="559">
        <v>0.3263888888888889</v>
      </c>
      <c r="F13" s="185">
        <v>0.45833333333333331</v>
      </c>
      <c r="G13" s="185">
        <v>0.5</v>
      </c>
      <c r="H13" s="186" t="s">
        <v>317</v>
      </c>
      <c r="I13" s="187" t="s">
        <v>316</v>
      </c>
      <c r="J13" s="188"/>
      <c r="K13" s="185"/>
      <c r="L13" s="186"/>
      <c r="M13" s="187"/>
      <c r="N13" s="562">
        <v>0.68194444444444446</v>
      </c>
      <c r="O13" s="602">
        <v>0.35555555555555557</v>
      </c>
      <c r="P13" s="603"/>
    </row>
    <row r="14" spans="1:17" ht="15" customHeight="1" thickBot="1" x14ac:dyDescent="0.3">
      <c r="B14" s="555"/>
      <c r="C14" s="557"/>
      <c r="D14" s="569"/>
      <c r="E14" s="560"/>
      <c r="F14" s="230"/>
      <c r="G14" s="230"/>
      <c r="H14" s="231"/>
      <c r="I14" s="189"/>
      <c r="J14" s="232"/>
      <c r="K14" s="230"/>
      <c r="L14" s="231"/>
      <c r="M14" s="189"/>
      <c r="N14" s="563"/>
      <c r="O14" s="602"/>
      <c r="P14" s="603"/>
    </row>
    <row r="15" spans="1:17" ht="15" customHeight="1" thickBot="1" x14ac:dyDescent="0.3">
      <c r="B15" s="555"/>
      <c r="C15" s="558"/>
      <c r="D15" s="570"/>
      <c r="E15" s="561"/>
      <c r="F15" s="190"/>
      <c r="G15" s="190"/>
      <c r="H15" s="191"/>
      <c r="I15" s="192"/>
      <c r="J15" s="193"/>
      <c r="K15" s="190"/>
      <c r="L15" s="191"/>
      <c r="M15" s="192"/>
      <c r="N15" s="564"/>
      <c r="O15" s="602"/>
      <c r="P15" s="603"/>
    </row>
    <row r="16" spans="1:17" ht="15" customHeight="1" thickBot="1" x14ac:dyDescent="0.3">
      <c r="B16" s="555" t="s">
        <v>81</v>
      </c>
      <c r="C16" s="556" t="s">
        <v>340</v>
      </c>
      <c r="D16" s="568"/>
      <c r="E16" s="559">
        <v>0.39930555555555558</v>
      </c>
      <c r="F16" s="185">
        <v>0.52013888888888882</v>
      </c>
      <c r="G16" s="185">
        <v>0.54097222222222219</v>
      </c>
      <c r="H16" s="186" t="s">
        <v>317</v>
      </c>
      <c r="I16" s="187" t="s">
        <v>316</v>
      </c>
      <c r="J16" s="188"/>
      <c r="K16" s="185"/>
      <c r="L16" s="186"/>
      <c r="M16" s="187"/>
      <c r="N16" s="562">
        <v>0.70486111111111116</v>
      </c>
      <c r="O16" s="573">
        <v>0.30555555555555558</v>
      </c>
      <c r="P16" s="601"/>
    </row>
    <row r="17" spans="2:16" ht="15" customHeight="1" thickBot="1" x14ac:dyDescent="0.3">
      <c r="B17" s="555"/>
      <c r="C17" s="557"/>
      <c r="D17" s="569"/>
      <c r="E17" s="560"/>
      <c r="F17" s="230"/>
      <c r="G17" s="230"/>
      <c r="H17" s="231"/>
      <c r="I17" s="189"/>
      <c r="J17" s="232"/>
      <c r="K17" s="230"/>
      <c r="L17" s="231"/>
      <c r="M17" s="189"/>
      <c r="N17" s="563"/>
      <c r="O17" s="573"/>
      <c r="P17" s="601"/>
    </row>
    <row r="18" spans="2:16" ht="15" customHeight="1" thickBot="1" x14ac:dyDescent="0.3">
      <c r="B18" s="555"/>
      <c r="C18" s="558"/>
      <c r="D18" s="570"/>
      <c r="E18" s="561"/>
      <c r="F18" s="190"/>
      <c r="G18" s="190"/>
      <c r="H18" s="191"/>
      <c r="I18" s="192"/>
      <c r="J18" s="193"/>
      <c r="K18" s="190"/>
      <c r="L18" s="191"/>
      <c r="M18" s="192"/>
      <c r="N18" s="564"/>
      <c r="O18" s="573"/>
      <c r="P18" s="601"/>
    </row>
    <row r="19" spans="2:16" ht="15" customHeight="1" thickBot="1" x14ac:dyDescent="0.3">
      <c r="B19" s="555" t="s">
        <v>82</v>
      </c>
      <c r="C19" s="556"/>
      <c r="D19" s="568"/>
      <c r="E19" s="559">
        <v>0.36805555555555558</v>
      </c>
      <c r="F19" s="185">
        <v>0.4916666666666667</v>
      </c>
      <c r="G19" s="185">
        <v>0.53333333333333333</v>
      </c>
      <c r="H19" s="186" t="s">
        <v>317</v>
      </c>
      <c r="I19" s="187" t="s">
        <v>316</v>
      </c>
      <c r="J19" s="188"/>
      <c r="K19" s="185"/>
      <c r="L19" s="186"/>
      <c r="M19" s="187"/>
      <c r="N19" s="562">
        <v>0.77500000000000002</v>
      </c>
      <c r="O19" s="573">
        <v>0.40694444444444444</v>
      </c>
      <c r="P19" s="601"/>
    </row>
    <row r="20" spans="2:16" ht="15" customHeight="1" thickBot="1" x14ac:dyDescent="0.3">
      <c r="B20" s="555"/>
      <c r="C20" s="557"/>
      <c r="D20" s="569"/>
      <c r="E20" s="560"/>
      <c r="F20" s="230"/>
      <c r="G20" s="230"/>
      <c r="H20" s="231"/>
      <c r="I20" s="189"/>
      <c r="J20" s="232"/>
      <c r="K20" s="230"/>
      <c r="L20" s="231"/>
      <c r="M20" s="189"/>
      <c r="N20" s="563"/>
      <c r="O20" s="573"/>
      <c r="P20" s="601"/>
    </row>
    <row r="21" spans="2:16" ht="15" customHeight="1" thickBot="1" x14ac:dyDescent="0.3">
      <c r="B21" s="555"/>
      <c r="C21" s="558"/>
      <c r="D21" s="570"/>
      <c r="E21" s="561"/>
      <c r="F21" s="190"/>
      <c r="G21" s="190"/>
      <c r="H21" s="191"/>
      <c r="I21" s="192"/>
      <c r="J21" s="193"/>
      <c r="K21" s="190"/>
      <c r="L21" s="191"/>
      <c r="M21" s="192"/>
      <c r="N21" s="564"/>
      <c r="O21" s="573"/>
      <c r="P21" s="601"/>
    </row>
    <row r="22" spans="2:16" ht="15" customHeight="1" thickBot="1" x14ac:dyDescent="0.3">
      <c r="B22" s="555" t="s">
        <v>83</v>
      </c>
      <c r="C22" s="556" t="s">
        <v>341</v>
      </c>
      <c r="D22" s="568"/>
      <c r="E22" s="559"/>
      <c r="F22" s="185"/>
      <c r="G22" s="185"/>
      <c r="H22" s="186"/>
      <c r="I22" s="187"/>
      <c r="J22" s="188"/>
      <c r="K22" s="185"/>
      <c r="L22" s="186"/>
      <c r="M22" s="187"/>
      <c r="N22" s="562"/>
      <c r="O22" s="602"/>
      <c r="P22" s="603"/>
    </row>
    <row r="23" spans="2:16" ht="15" customHeight="1" thickBot="1" x14ac:dyDescent="0.3">
      <c r="B23" s="555"/>
      <c r="C23" s="557"/>
      <c r="D23" s="569"/>
      <c r="E23" s="560"/>
      <c r="F23" s="230"/>
      <c r="G23" s="230"/>
      <c r="H23" s="231"/>
      <c r="I23" s="189"/>
      <c r="J23" s="232"/>
      <c r="K23" s="230"/>
      <c r="L23" s="231"/>
      <c r="M23" s="189"/>
      <c r="N23" s="563"/>
      <c r="O23" s="602"/>
      <c r="P23" s="603"/>
    </row>
    <row r="24" spans="2:16" ht="15" customHeight="1" thickBot="1" x14ac:dyDescent="0.3">
      <c r="B24" s="555"/>
      <c r="C24" s="558"/>
      <c r="D24" s="570"/>
      <c r="E24" s="561"/>
      <c r="F24" s="190"/>
      <c r="G24" s="190"/>
      <c r="H24" s="191"/>
      <c r="I24" s="192"/>
      <c r="J24" s="193"/>
      <c r="K24" s="190"/>
      <c r="L24" s="191"/>
      <c r="M24" s="192"/>
      <c r="N24" s="564"/>
      <c r="O24" s="602"/>
      <c r="P24" s="603"/>
    </row>
    <row r="25" spans="2:16" ht="15" customHeight="1" thickBot="1" x14ac:dyDescent="0.3">
      <c r="B25" s="555" t="s">
        <v>84</v>
      </c>
      <c r="C25" s="556"/>
      <c r="D25" s="568"/>
      <c r="E25" s="559">
        <v>0.25</v>
      </c>
      <c r="F25" s="185">
        <v>0.30624999999999997</v>
      </c>
      <c r="G25" s="185">
        <v>0.32083333333333336</v>
      </c>
      <c r="H25" s="186"/>
      <c r="I25" s="187" t="s">
        <v>339</v>
      </c>
      <c r="J25" s="188"/>
      <c r="K25" s="185"/>
      <c r="L25" s="186"/>
      <c r="M25" s="187"/>
      <c r="N25" s="562">
        <v>0.59027777777777779</v>
      </c>
      <c r="O25" s="573">
        <v>0.34027777777777779</v>
      </c>
      <c r="P25" s="601"/>
    </row>
    <row r="26" spans="2:16" ht="15" customHeight="1" thickBot="1" x14ac:dyDescent="0.3">
      <c r="B26" s="555"/>
      <c r="C26" s="557"/>
      <c r="D26" s="569"/>
      <c r="E26" s="560"/>
      <c r="F26" s="230">
        <v>0.5</v>
      </c>
      <c r="G26" s="230">
        <v>0.51388888888888895</v>
      </c>
      <c r="H26" s="231"/>
      <c r="I26" s="189" t="s">
        <v>339</v>
      </c>
      <c r="J26" s="232"/>
      <c r="K26" s="230"/>
      <c r="L26" s="231"/>
      <c r="M26" s="189"/>
      <c r="N26" s="563"/>
      <c r="O26" s="573"/>
      <c r="P26" s="601"/>
    </row>
    <row r="27" spans="2:16" ht="15" customHeight="1" thickBot="1" x14ac:dyDescent="0.3">
      <c r="B27" s="555"/>
      <c r="C27" s="558"/>
      <c r="D27" s="570"/>
      <c r="E27" s="561"/>
      <c r="F27" s="190"/>
      <c r="G27" s="190"/>
      <c r="H27" s="191"/>
      <c r="I27" s="192"/>
      <c r="J27" s="193"/>
      <c r="K27" s="190"/>
      <c r="L27" s="191"/>
      <c r="M27" s="192"/>
      <c r="N27" s="564"/>
      <c r="O27" s="573"/>
      <c r="P27" s="601"/>
    </row>
    <row r="28" spans="2:16" ht="15" customHeight="1" thickBot="1" x14ac:dyDescent="0.3">
      <c r="B28" s="555" t="s">
        <v>85</v>
      </c>
      <c r="C28" s="556" t="s">
        <v>341</v>
      </c>
      <c r="D28" s="568"/>
      <c r="E28" s="559"/>
      <c r="F28" s="185"/>
      <c r="G28" s="185"/>
      <c r="H28" s="186"/>
      <c r="I28" s="187"/>
      <c r="J28" s="188"/>
      <c r="K28" s="185"/>
      <c r="L28" s="186"/>
      <c r="M28" s="187"/>
      <c r="N28" s="562"/>
      <c r="O28" s="573"/>
      <c r="P28" s="601"/>
    </row>
    <row r="29" spans="2:16" ht="15" customHeight="1" thickBot="1" x14ac:dyDescent="0.3">
      <c r="B29" s="555"/>
      <c r="C29" s="557"/>
      <c r="D29" s="569"/>
      <c r="E29" s="560"/>
      <c r="F29" s="230"/>
      <c r="G29" s="230"/>
      <c r="H29" s="231"/>
      <c r="I29" s="189"/>
      <c r="J29" s="232"/>
      <c r="K29" s="230"/>
      <c r="L29" s="231"/>
      <c r="M29" s="189"/>
      <c r="N29" s="563"/>
      <c r="O29" s="573"/>
      <c r="P29" s="601"/>
    </row>
    <row r="30" spans="2:16" ht="15" customHeight="1" thickBot="1" x14ac:dyDescent="0.3">
      <c r="B30" s="555"/>
      <c r="C30" s="558"/>
      <c r="D30" s="570"/>
      <c r="E30" s="561"/>
      <c r="F30" s="190"/>
      <c r="G30" s="190"/>
      <c r="H30" s="191"/>
      <c r="I30" s="192"/>
      <c r="J30" s="193"/>
      <c r="K30" s="190"/>
      <c r="L30" s="191"/>
      <c r="M30" s="192"/>
      <c r="N30" s="564"/>
      <c r="O30" s="573"/>
      <c r="P30" s="601"/>
    </row>
    <row r="31" spans="2:16" ht="15" customHeight="1" thickBot="1" x14ac:dyDescent="0.3"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34" t="s">
        <v>253</v>
      </c>
      <c r="O31" s="182">
        <v>1.8847222222222224</v>
      </c>
      <c r="P31" s="27"/>
    </row>
    <row r="32" spans="2:16" ht="15" customHeight="1" x14ac:dyDescent="0.25">
      <c r="B32" s="235" t="s">
        <v>93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</row>
    <row r="33" spans="2:17" ht="15" customHeight="1" x14ac:dyDescent="0.25">
      <c r="B33" s="235" t="s">
        <v>94</v>
      </c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</row>
    <row r="34" spans="2:17" ht="15" customHeight="1" x14ac:dyDescent="0.25"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</row>
    <row r="35" spans="2:17" ht="15" customHeight="1" x14ac:dyDescent="0.25">
      <c r="B35" s="565" t="s">
        <v>95</v>
      </c>
      <c r="C35" s="566"/>
      <c r="D35" s="566"/>
      <c r="E35" s="566"/>
      <c r="F35" s="566"/>
      <c r="G35" s="566"/>
      <c r="H35" s="566"/>
      <c r="I35" s="566"/>
      <c r="J35" s="566"/>
      <c r="K35" s="567"/>
      <c r="L35" s="565" t="s">
        <v>96</v>
      </c>
      <c r="M35" s="571"/>
      <c r="N35" s="571"/>
      <c r="O35" s="571"/>
      <c r="P35" s="572"/>
    </row>
    <row r="36" spans="2:17" ht="15" customHeight="1" x14ac:dyDescent="0.25">
      <c r="B36" s="536"/>
      <c r="C36" s="537"/>
      <c r="D36" s="537"/>
      <c r="E36" s="537"/>
      <c r="F36" s="537"/>
      <c r="G36" s="537"/>
      <c r="H36" s="537"/>
      <c r="I36" s="537"/>
      <c r="J36" s="537"/>
      <c r="K36" s="538"/>
      <c r="L36" s="545" t="s">
        <v>97</v>
      </c>
      <c r="M36" s="546"/>
      <c r="N36" s="547"/>
      <c r="O36" s="545" t="s">
        <v>98</v>
      </c>
      <c r="P36" s="548"/>
    </row>
    <row r="37" spans="2:17" ht="15" customHeight="1" x14ac:dyDescent="0.25">
      <c r="B37" s="539"/>
      <c r="C37" s="540"/>
      <c r="D37" s="540"/>
      <c r="E37" s="540"/>
      <c r="F37" s="540"/>
      <c r="G37" s="540"/>
      <c r="H37" s="540"/>
      <c r="I37" s="540"/>
      <c r="J37" s="540"/>
      <c r="K37" s="541"/>
      <c r="L37" s="536"/>
      <c r="M37" s="537"/>
      <c r="N37" s="538"/>
      <c r="O37" s="549"/>
      <c r="P37" s="550"/>
    </row>
    <row r="38" spans="2:17" ht="15" customHeight="1" x14ac:dyDescent="0.25">
      <c r="B38" s="539"/>
      <c r="C38" s="540"/>
      <c r="D38" s="540"/>
      <c r="E38" s="540"/>
      <c r="F38" s="540"/>
      <c r="G38" s="540"/>
      <c r="H38" s="540"/>
      <c r="I38" s="540"/>
      <c r="J38" s="540"/>
      <c r="K38" s="541"/>
      <c r="L38" s="539"/>
      <c r="M38" s="540"/>
      <c r="N38" s="541"/>
      <c r="O38" s="551"/>
      <c r="P38" s="552"/>
    </row>
    <row r="39" spans="2:17" ht="15" customHeight="1" x14ac:dyDescent="0.25">
      <c r="B39" s="539"/>
      <c r="C39" s="540"/>
      <c r="D39" s="540"/>
      <c r="E39" s="540"/>
      <c r="F39" s="540"/>
      <c r="G39" s="540"/>
      <c r="H39" s="540"/>
      <c r="I39" s="540"/>
      <c r="J39" s="540"/>
      <c r="K39" s="541"/>
      <c r="L39" s="539"/>
      <c r="M39" s="540"/>
      <c r="N39" s="541"/>
      <c r="O39" s="551"/>
      <c r="P39" s="552"/>
    </row>
    <row r="40" spans="2:17" ht="15" customHeight="1" x14ac:dyDescent="0.25">
      <c r="B40" s="542"/>
      <c r="C40" s="543"/>
      <c r="D40" s="543"/>
      <c r="E40" s="543"/>
      <c r="F40" s="543"/>
      <c r="G40" s="543"/>
      <c r="H40" s="543"/>
      <c r="I40" s="543"/>
      <c r="J40" s="543"/>
      <c r="K40" s="544"/>
      <c r="L40" s="542"/>
      <c r="M40" s="543"/>
      <c r="N40" s="544"/>
      <c r="O40" s="553"/>
      <c r="P40" s="554"/>
      <c r="Q40" s="23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5" hidden="1" customWidth="1"/>
    <col min="2" max="2" width="4.85546875" style="155" customWidth="1"/>
    <col min="3" max="3" width="3" style="155" customWidth="1"/>
    <col min="4" max="13" width="9.28515625" style="155" customWidth="1"/>
    <col min="14" max="14" width="7.42578125" style="155" hidden="1" customWidth="1"/>
    <col min="15" max="16384" width="11.42578125" style="155"/>
  </cols>
  <sheetData>
    <row r="1" spans="1:14" ht="21.95" customHeight="1" x14ac:dyDescent="0.25">
      <c r="A1" s="155" t="s">
        <v>267</v>
      </c>
      <c r="B1" s="604" t="s">
        <v>139</v>
      </c>
      <c r="C1" s="604"/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155" t="s">
        <v>267</v>
      </c>
    </row>
    <row r="2" spans="1:14" ht="21.95" customHeight="1" x14ac:dyDescent="0.2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156"/>
    </row>
    <row r="3" spans="1:14" ht="21.95" customHeight="1" x14ac:dyDescent="0.25">
      <c r="B3" s="224"/>
      <c r="C3" s="209"/>
      <c r="D3" s="605">
        <f>Inter!I24</f>
        <v>0</v>
      </c>
      <c r="E3" s="605"/>
      <c r="F3" s="605"/>
      <c r="G3" s="605"/>
      <c r="H3" s="211"/>
      <c r="I3" s="212"/>
      <c r="J3" s="213"/>
      <c r="K3" s="209"/>
      <c r="L3" s="214"/>
      <c r="M3" s="212" t="s">
        <v>359</v>
      </c>
      <c r="N3" s="156"/>
    </row>
    <row r="4" spans="1:14" ht="21.95" customHeight="1" x14ac:dyDescent="0.25">
      <c r="B4" s="224"/>
      <c r="C4" s="215"/>
      <c r="D4" s="216"/>
      <c r="E4" s="210"/>
      <c r="F4" s="209"/>
      <c r="G4" s="209"/>
      <c r="H4" s="209"/>
      <c r="I4" s="209"/>
      <c r="J4" s="209"/>
      <c r="K4" s="212"/>
      <c r="L4" s="211"/>
      <c r="M4" s="216"/>
      <c r="N4" s="156"/>
    </row>
    <row r="5" spans="1:14" ht="21.95" customHeight="1" x14ac:dyDescent="0.2">
      <c r="B5" s="225" t="e">
        <f>DATEVALUE("1/"&amp;#REF!&amp;"/"&amp;#REF!)</f>
        <v>#REF!</v>
      </c>
      <c r="C5" s="209"/>
      <c r="D5" s="606">
        <v>1</v>
      </c>
      <c r="E5" s="606"/>
      <c r="F5" s="606">
        <v>2</v>
      </c>
      <c r="G5" s="606"/>
      <c r="H5" s="606">
        <v>3</v>
      </c>
      <c r="I5" s="606"/>
      <c r="J5" s="606">
        <v>4</v>
      </c>
      <c r="K5" s="606"/>
      <c r="L5" s="606">
        <v>5</v>
      </c>
      <c r="M5" s="606"/>
      <c r="N5" s="156"/>
    </row>
    <row r="6" spans="1:14" ht="21.95" customHeight="1" x14ac:dyDescent="0.2">
      <c r="B6" s="226"/>
      <c r="C6" s="219"/>
      <c r="D6" s="220" t="s">
        <v>57</v>
      </c>
      <c r="E6" s="217" t="s">
        <v>58</v>
      </c>
      <c r="F6" s="220" t="s">
        <v>57</v>
      </c>
      <c r="G6" s="217" t="s">
        <v>58</v>
      </c>
      <c r="H6" s="220" t="s">
        <v>57</v>
      </c>
      <c r="I6" s="217" t="s">
        <v>58</v>
      </c>
      <c r="J6" s="220" t="s">
        <v>57</v>
      </c>
      <c r="K6" s="217" t="s">
        <v>58</v>
      </c>
      <c r="L6" s="220" t="s">
        <v>57</v>
      </c>
      <c r="M6" s="217" t="s">
        <v>58</v>
      </c>
      <c r="N6" s="156"/>
    </row>
    <row r="7" spans="1:14" ht="21.95" customHeight="1" x14ac:dyDescent="0.2">
      <c r="B7" s="157" t="s">
        <v>142</v>
      </c>
      <c r="C7" s="158">
        <v>30</v>
      </c>
      <c r="D7" s="173">
        <v>0.3611111111111111</v>
      </c>
      <c r="E7" s="174">
        <v>0.48888888888888887</v>
      </c>
      <c r="F7" s="173">
        <v>0.51388888888888895</v>
      </c>
      <c r="G7" s="174">
        <v>0.6972222222222223</v>
      </c>
      <c r="H7" s="173"/>
      <c r="I7" s="174"/>
      <c r="J7" s="173"/>
      <c r="K7" s="174"/>
      <c r="L7" s="173"/>
      <c r="M7" s="174"/>
      <c r="N7" s="156"/>
    </row>
    <row r="8" spans="1:14" ht="21.95" customHeight="1" x14ac:dyDescent="0.2">
      <c r="B8" s="159" t="s">
        <v>143</v>
      </c>
      <c r="C8" s="160">
        <v>31</v>
      </c>
      <c r="D8" s="175">
        <v>0.4368055555555555</v>
      </c>
      <c r="E8" s="176">
        <v>0.56388888888888888</v>
      </c>
      <c r="F8" s="175"/>
      <c r="G8" s="176"/>
      <c r="H8" s="175"/>
      <c r="I8" s="176"/>
      <c r="J8" s="175"/>
      <c r="K8" s="176"/>
      <c r="L8" s="175"/>
      <c r="M8" s="176"/>
      <c r="N8" s="156"/>
    </row>
    <row r="9" spans="1:14" ht="21.95" customHeight="1" x14ac:dyDescent="0.2">
      <c r="B9" s="159" t="s">
        <v>144</v>
      </c>
      <c r="C9" s="160">
        <v>1</v>
      </c>
      <c r="D9" s="175"/>
      <c r="E9" s="176"/>
      <c r="F9" s="175"/>
      <c r="G9" s="176"/>
      <c r="H9" s="175"/>
      <c r="I9" s="176"/>
      <c r="J9" s="175"/>
      <c r="K9" s="176"/>
      <c r="L9" s="175"/>
      <c r="M9" s="176"/>
      <c r="N9" s="156"/>
    </row>
    <row r="10" spans="1:14" ht="21.95" customHeight="1" x14ac:dyDescent="0.2">
      <c r="B10" s="159" t="s">
        <v>145</v>
      </c>
      <c r="C10" s="160">
        <v>2</v>
      </c>
      <c r="D10" s="175">
        <v>0.40347222222222223</v>
      </c>
      <c r="E10" s="176">
        <v>0.52222222222222225</v>
      </c>
      <c r="F10" s="175">
        <v>0.59236111111111112</v>
      </c>
      <c r="G10" s="176">
        <v>0.72569444444444453</v>
      </c>
      <c r="H10" s="175"/>
      <c r="I10" s="176"/>
      <c r="J10" s="175"/>
      <c r="K10" s="176"/>
      <c r="L10" s="175"/>
      <c r="M10" s="176"/>
      <c r="N10" s="156"/>
    </row>
    <row r="11" spans="1:14" ht="21.95" customHeight="1" x14ac:dyDescent="0.2">
      <c r="B11" s="159" t="s">
        <v>146</v>
      </c>
      <c r="C11" s="160">
        <v>3</v>
      </c>
      <c r="D11" s="175">
        <v>0.67013888888888884</v>
      </c>
      <c r="E11" s="176">
        <v>0.80138888888888893</v>
      </c>
      <c r="F11" s="175"/>
      <c r="G11" s="176"/>
      <c r="H11" s="175"/>
      <c r="I11" s="176"/>
      <c r="J11" s="175"/>
      <c r="K11" s="176"/>
      <c r="L11" s="175"/>
      <c r="M11" s="176"/>
      <c r="N11" s="156"/>
    </row>
    <row r="12" spans="1:14" ht="21.95" customHeight="1" x14ac:dyDescent="0.2">
      <c r="B12" s="159" t="s">
        <v>147</v>
      </c>
      <c r="C12" s="160">
        <v>4</v>
      </c>
      <c r="D12" s="175">
        <v>0.43888888888888888</v>
      </c>
      <c r="E12" s="176">
        <v>0.47500000000000003</v>
      </c>
      <c r="F12" s="175">
        <v>0.51388888888888895</v>
      </c>
      <c r="G12" s="176">
        <v>0.5805555555555556</v>
      </c>
      <c r="H12" s="175">
        <v>0.67291666666666661</v>
      </c>
      <c r="I12" s="176">
        <v>0.77569444444444446</v>
      </c>
      <c r="J12" s="175"/>
      <c r="K12" s="176"/>
      <c r="L12" s="175"/>
      <c r="M12" s="176"/>
      <c r="N12" s="156"/>
    </row>
    <row r="13" spans="1:14" ht="21.95" customHeight="1" x14ac:dyDescent="0.2">
      <c r="B13" s="161" t="s">
        <v>148</v>
      </c>
      <c r="C13" s="162">
        <v>5</v>
      </c>
      <c r="D13" s="177"/>
      <c r="E13" s="178"/>
      <c r="F13" s="177"/>
      <c r="G13" s="178"/>
      <c r="H13" s="177"/>
      <c r="I13" s="178"/>
      <c r="J13" s="177"/>
      <c r="K13" s="178"/>
      <c r="L13" s="177"/>
      <c r="M13" s="178"/>
      <c r="N13" s="156"/>
    </row>
    <row r="14" spans="1:14" ht="21.95" customHeight="1" x14ac:dyDescent="0.2">
      <c r="B14" s="221"/>
      <c r="C14" s="222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156"/>
    </row>
    <row r="15" spans="1:14" ht="21.95" customHeight="1" x14ac:dyDescent="0.2">
      <c r="B15" s="209"/>
      <c r="C15" s="208"/>
      <c r="D15" s="209"/>
      <c r="E15" s="209"/>
      <c r="F15" s="209"/>
      <c r="G15" s="209"/>
      <c r="H15" s="218" t="s">
        <v>140</v>
      </c>
      <c r="I15" s="218"/>
      <c r="J15" s="218"/>
      <c r="K15" s="218" t="s">
        <v>141</v>
      </c>
      <c r="L15" s="218"/>
      <c r="M15" s="209"/>
      <c r="N15" s="156"/>
    </row>
    <row r="16" spans="1:14" ht="21.95" customHeight="1" x14ac:dyDescent="0.2">
      <c r="B16" s="209"/>
      <c r="C16" s="208"/>
      <c r="D16" s="209"/>
      <c r="E16" s="209"/>
      <c r="F16" s="209"/>
      <c r="G16" s="209"/>
      <c r="H16" s="218"/>
      <c r="I16" s="218"/>
      <c r="J16" s="218"/>
      <c r="K16" s="218"/>
      <c r="L16" s="218"/>
      <c r="M16" s="209"/>
    </row>
    <row r="17" spans="2:14" ht="21.95" customHeight="1" x14ac:dyDescent="0.2">
      <c r="B17" s="209"/>
      <c r="C17" s="209"/>
      <c r="D17" s="209"/>
      <c r="E17" s="209"/>
      <c r="F17" s="209"/>
      <c r="G17" s="209"/>
      <c r="H17" s="209"/>
      <c r="I17" s="210"/>
      <c r="J17" s="209"/>
      <c r="K17" s="209"/>
      <c r="L17" s="209"/>
      <c r="M17" s="209"/>
    </row>
    <row r="18" spans="2:14" ht="21.95" customHeight="1" x14ac:dyDescent="0.2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</row>
    <row r="19" spans="2:14" ht="21.95" customHeight="1" x14ac:dyDescent="0.2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</row>
    <row r="20" spans="2:14" ht="21.95" customHeight="1" x14ac:dyDescent="0.2"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155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3" customWidth="1"/>
    <col min="2" max="4" width="11.42578125" style="33"/>
    <col min="5" max="5" width="30.42578125" style="33" customWidth="1"/>
    <col min="7" max="7" width="13.42578125" style="33" customWidth="1"/>
    <col min="8" max="8" width="11.42578125" style="241"/>
    <col min="9" max="9" width="14.85546875" style="244" customWidth="1"/>
  </cols>
  <sheetData>
    <row r="1" spans="1:9" ht="15.75" thickBot="1" x14ac:dyDescent="0.3">
      <c r="A1" s="34" t="s">
        <v>48</v>
      </c>
      <c r="B1" s="34" t="s">
        <v>49</v>
      </c>
      <c r="C1" s="34" t="s">
        <v>2</v>
      </c>
      <c r="D1" s="34" t="s">
        <v>3</v>
      </c>
      <c r="E1" s="34" t="s">
        <v>12</v>
      </c>
      <c r="G1" s="34" t="s">
        <v>48</v>
      </c>
      <c r="H1" s="16" t="s">
        <v>2</v>
      </c>
      <c r="I1" s="242" t="s">
        <v>105</v>
      </c>
    </row>
    <row r="2" spans="1:9" x14ac:dyDescent="0.25">
      <c r="A2" s="32"/>
      <c r="B2" s="32"/>
      <c r="C2" s="35"/>
      <c r="D2" s="36"/>
      <c r="E2" s="32"/>
      <c r="G2" s="32"/>
      <c r="H2" s="239"/>
      <c r="I2" s="243"/>
    </row>
    <row r="3" spans="1:9" x14ac:dyDescent="0.25">
      <c r="C3" s="37"/>
      <c r="D3" s="38"/>
      <c r="H3" s="240"/>
    </row>
    <row r="4" spans="1:9" x14ac:dyDescent="0.25">
      <c r="C4" s="37"/>
      <c r="D4" s="38"/>
      <c r="H4" s="240"/>
    </row>
    <row r="5" spans="1:9" x14ac:dyDescent="0.25">
      <c r="C5" s="37"/>
      <c r="D5" s="38"/>
      <c r="H5" s="240"/>
    </row>
    <row r="6" spans="1:9" x14ac:dyDescent="0.25">
      <c r="C6" s="37"/>
      <c r="D6" s="38"/>
      <c r="H6" s="240"/>
    </row>
    <row r="7" spans="1:9" x14ac:dyDescent="0.25">
      <c r="C7" s="37"/>
      <c r="D7" s="38"/>
      <c r="H7" s="240"/>
    </row>
    <row r="8" spans="1:9" x14ac:dyDescent="0.25">
      <c r="C8" s="37"/>
      <c r="D8" s="38"/>
      <c r="H8" s="240"/>
    </row>
    <row r="9" spans="1:9" x14ac:dyDescent="0.25">
      <c r="C9" s="37"/>
      <c r="D9" s="38"/>
      <c r="H9" s="240"/>
    </row>
    <row r="10" spans="1:9" x14ac:dyDescent="0.25">
      <c r="C10" s="37"/>
      <c r="D10" s="38"/>
      <c r="H10" s="240"/>
    </row>
    <row r="11" spans="1:9" x14ac:dyDescent="0.25">
      <c r="C11" s="37"/>
      <c r="D11" s="38"/>
      <c r="H11" s="240"/>
    </row>
    <row r="12" spans="1:9" x14ac:dyDescent="0.25">
      <c r="C12" s="37"/>
      <c r="D12" s="38"/>
      <c r="H12" s="240"/>
    </row>
    <row r="13" spans="1:9" x14ac:dyDescent="0.25">
      <c r="C13" s="37"/>
      <c r="D13" s="38"/>
      <c r="H13" s="240"/>
    </row>
    <row r="14" spans="1:9" x14ac:dyDescent="0.25">
      <c r="C14" s="37"/>
      <c r="D14" s="38"/>
      <c r="H14" s="240"/>
    </row>
    <row r="15" spans="1:9" x14ac:dyDescent="0.25">
      <c r="C15" s="37"/>
      <c r="D15" s="38"/>
      <c r="H15" s="240"/>
    </row>
    <row r="16" spans="1:9" x14ac:dyDescent="0.25">
      <c r="C16" s="37"/>
      <c r="D16" s="38"/>
      <c r="H16" s="240"/>
    </row>
    <row r="17" spans="3:8" x14ac:dyDescent="0.25">
      <c r="C17" s="37"/>
      <c r="D17" s="38"/>
      <c r="H17" s="240"/>
    </row>
    <row r="18" spans="3:8" x14ac:dyDescent="0.25">
      <c r="C18" s="37"/>
      <c r="D18" s="38"/>
      <c r="H18" s="240"/>
    </row>
    <row r="19" spans="3:8" x14ac:dyDescent="0.25">
      <c r="C19" s="37"/>
      <c r="D19" s="38"/>
      <c r="H19" s="240"/>
    </row>
    <row r="20" spans="3:8" x14ac:dyDescent="0.25">
      <c r="C20" s="37"/>
      <c r="D20" s="38"/>
      <c r="H20" s="240"/>
    </row>
    <row r="21" spans="3:8" x14ac:dyDescent="0.25">
      <c r="C21" s="37"/>
      <c r="D21" s="38"/>
      <c r="H21" s="240"/>
    </row>
    <row r="22" spans="3:8" x14ac:dyDescent="0.25">
      <c r="C22" s="37"/>
      <c r="D22" s="38"/>
      <c r="H22" s="240"/>
    </row>
    <row r="23" spans="3:8" x14ac:dyDescent="0.25">
      <c r="C23" s="37"/>
      <c r="D23" s="38"/>
      <c r="H23" s="240"/>
    </row>
    <row r="24" spans="3:8" x14ac:dyDescent="0.25">
      <c r="C24" s="37"/>
      <c r="D24" s="38"/>
      <c r="H24" s="240"/>
    </row>
    <row r="25" spans="3:8" x14ac:dyDescent="0.25">
      <c r="C25" s="37"/>
      <c r="D25" s="38"/>
      <c r="H25" s="240"/>
    </row>
    <row r="26" spans="3:8" x14ac:dyDescent="0.25">
      <c r="C26" s="37"/>
      <c r="D26" s="38"/>
      <c r="H26" s="240"/>
    </row>
    <row r="27" spans="3:8" x14ac:dyDescent="0.25">
      <c r="C27" s="37"/>
      <c r="D27" s="38"/>
      <c r="H27" s="240"/>
    </row>
    <row r="28" spans="3:8" x14ac:dyDescent="0.25">
      <c r="C28" s="37"/>
      <c r="D28" s="38"/>
      <c r="H28" s="240"/>
    </row>
    <row r="29" spans="3:8" x14ac:dyDescent="0.25">
      <c r="C29" s="37"/>
      <c r="D29" s="38"/>
      <c r="H29" s="240"/>
    </row>
    <row r="30" spans="3:8" x14ac:dyDescent="0.25">
      <c r="C30" s="37"/>
      <c r="D30" s="38"/>
      <c r="H30" s="240"/>
    </row>
    <row r="31" spans="3:8" x14ac:dyDescent="0.25">
      <c r="C31" s="37"/>
      <c r="D31" s="38"/>
      <c r="H31" s="240"/>
    </row>
    <row r="32" spans="3:8" x14ac:dyDescent="0.25">
      <c r="C32" s="37"/>
      <c r="D32" s="38"/>
      <c r="H32" s="240"/>
    </row>
    <row r="33" spans="3:8" x14ac:dyDescent="0.25">
      <c r="C33" s="37"/>
      <c r="D33" s="38"/>
      <c r="H33" s="240"/>
    </row>
    <row r="34" spans="3:8" x14ac:dyDescent="0.25">
      <c r="C34" s="37"/>
      <c r="D34" s="38"/>
      <c r="H34" s="240"/>
    </row>
    <row r="35" spans="3:8" x14ac:dyDescent="0.25">
      <c r="C35" s="37"/>
      <c r="D35" s="38"/>
      <c r="H35" s="240"/>
    </row>
    <row r="36" spans="3:8" x14ac:dyDescent="0.25">
      <c r="C36" s="37"/>
      <c r="D36" s="38"/>
      <c r="H36" s="240"/>
    </row>
    <row r="37" spans="3:8" x14ac:dyDescent="0.25">
      <c r="C37" s="37"/>
      <c r="D37" s="38"/>
      <c r="H37" s="240"/>
    </row>
    <row r="38" spans="3:8" x14ac:dyDescent="0.25">
      <c r="C38" s="37"/>
      <c r="D38" s="38"/>
      <c r="H38" s="240"/>
    </row>
    <row r="39" spans="3:8" x14ac:dyDescent="0.25">
      <c r="C39" s="37"/>
      <c r="D39" s="38"/>
      <c r="H39" s="240"/>
    </row>
    <row r="40" spans="3:8" x14ac:dyDescent="0.25">
      <c r="C40" s="37"/>
      <c r="D40" s="38"/>
      <c r="H40" s="240"/>
    </row>
    <row r="41" spans="3:8" x14ac:dyDescent="0.25">
      <c r="C41" s="37"/>
      <c r="D41" s="38"/>
      <c r="H41" s="240"/>
    </row>
    <row r="42" spans="3:8" x14ac:dyDescent="0.25">
      <c r="C42" s="37"/>
      <c r="D42" s="38"/>
      <c r="H42" s="240"/>
    </row>
    <row r="43" spans="3:8" x14ac:dyDescent="0.25">
      <c r="C43" s="37"/>
      <c r="D43" s="38"/>
      <c r="H43" s="240"/>
    </row>
    <row r="44" spans="3:8" x14ac:dyDescent="0.25">
      <c r="C44" s="37"/>
      <c r="D44" s="38"/>
      <c r="H44" s="240"/>
    </row>
    <row r="45" spans="3:8" x14ac:dyDescent="0.25">
      <c r="C45" s="37"/>
      <c r="D45" s="38"/>
      <c r="H45" s="240"/>
    </row>
    <row r="46" spans="3:8" x14ac:dyDescent="0.25">
      <c r="C46" s="37"/>
      <c r="D46" s="38"/>
      <c r="H46" s="240"/>
    </row>
    <row r="47" spans="3:8" x14ac:dyDescent="0.25">
      <c r="C47" s="37"/>
      <c r="D47" s="38"/>
      <c r="H47" s="240"/>
    </row>
    <row r="48" spans="3:8" x14ac:dyDescent="0.25">
      <c r="C48" s="37"/>
      <c r="D48" s="38"/>
      <c r="H48" s="240"/>
    </row>
    <row r="49" spans="3:8" x14ac:dyDescent="0.25">
      <c r="C49" s="37"/>
      <c r="D49" s="38"/>
      <c r="H49" s="240"/>
    </row>
    <row r="50" spans="3:8" x14ac:dyDescent="0.25">
      <c r="C50" s="37"/>
      <c r="D50" s="38"/>
      <c r="H50" s="240"/>
    </row>
    <row r="51" spans="3:8" x14ac:dyDescent="0.25">
      <c r="C51" s="37"/>
      <c r="D51" s="38"/>
      <c r="H51" s="240"/>
    </row>
    <row r="52" spans="3:8" x14ac:dyDescent="0.25">
      <c r="C52" s="37"/>
      <c r="D52" s="38"/>
      <c r="H52" s="240"/>
    </row>
    <row r="53" spans="3:8" x14ac:dyDescent="0.25">
      <c r="C53" s="37"/>
      <c r="D53" s="38"/>
      <c r="H53" s="240"/>
    </row>
    <row r="54" spans="3:8" x14ac:dyDescent="0.25">
      <c r="C54" s="37"/>
      <c r="D54" s="38"/>
      <c r="H54" s="240"/>
    </row>
    <row r="55" spans="3:8" x14ac:dyDescent="0.25">
      <c r="C55" s="37"/>
      <c r="D55" s="38"/>
      <c r="H55" s="240"/>
    </row>
    <row r="56" spans="3:8" x14ac:dyDescent="0.25">
      <c r="C56" s="37"/>
      <c r="D56" s="38"/>
      <c r="H56" s="240"/>
    </row>
    <row r="57" spans="3:8" x14ac:dyDescent="0.25">
      <c r="C57" s="37"/>
      <c r="D57" s="38"/>
      <c r="H57" s="240"/>
    </row>
    <row r="58" spans="3:8" x14ac:dyDescent="0.25">
      <c r="C58" s="37"/>
      <c r="D58" s="38"/>
      <c r="H58" s="240"/>
    </row>
    <row r="59" spans="3:8" x14ac:dyDescent="0.25">
      <c r="C59" s="37"/>
      <c r="D59" s="38"/>
      <c r="H59" s="240"/>
    </row>
    <row r="60" spans="3:8" x14ac:dyDescent="0.25">
      <c r="C60" s="37"/>
      <c r="D60" s="38"/>
      <c r="H60" s="240"/>
    </row>
    <row r="61" spans="3:8" x14ac:dyDescent="0.25">
      <c r="C61" s="37"/>
      <c r="D61" s="38"/>
      <c r="H61" s="240"/>
    </row>
    <row r="62" spans="3:8" x14ac:dyDescent="0.25">
      <c r="C62" s="37"/>
      <c r="D62" s="38"/>
      <c r="H62" s="240"/>
    </row>
    <row r="63" spans="3:8" x14ac:dyDescent="0.25">
      <c r="C63" s="37"/>
      <c r="D63" s="38"/>
      <c r="H63" s="240"/>
    </row>
    <row r="64" spans="3:8" x14ac:dyDescent="0.25">
      <c r="C64" s="37"/>
      <c r="D64" s="38"/>
      <c r="H64" s="240"/>
    </row>
    <row r="65" spans="3:8" x14ac:dyDescent="0.25">
      <c r="C65" s="37"/>
      <c r="D65" s="38"/>
      <c r="H65" s="240"/>
    </row>
    <row r="66" spans="3:8" x14ac:dyDescent="0.25">
      <c r="C66" s="37"/>
      <c r="D66" s="38"/>
      <c r="H66" s="240"/>
    </row>
    <row r="67" spans="3:8" x14ac:dyDescent="0.25">
      <c r="C67" s="37"/>
      <c r="D67" s="38"/>
      <c r="H67" s="240"/>
    </row>
    <row r="68" spans="3:8" x14ac:dyDescent="0.25">
      <c r="C68" s="37"/>
      <c r="D68" s="38"/>
      <c r="H68" s="240"/>
    </row>
    <row r="69" spans="3:8" x14ac:dyDescent="0.25">
      <c r="C69" s="37"/>
      <c r="D69" s="38"/>
      <c r="H69" s="240"/>
    </row>
    <row r="70" spans="3:8" x14ac:dyDescent="0.25">
      <c r="C70" s="37"/>
      <c r="D70" s="38"/>
      <c r="H70" s="240"/>
    </row>
    <row r="71" spans="3:8" x14ac:dyDescent="0.25">
      <c r="C71" s="37"/>
      <c r="D71" s="38"/>
      <c r="H71" s="240"/>
    </row>
    <row r="72" spans="3:8" x14ac:dyDescent="0.25">
      <c r="C72" s="37"/>
      <c r="D72" s="38"/>
      <c r="H72" s="240"/>
    </row>
    <row r="73" spans="3:8" x14ac:dyDescent="0.25">
      <c r="C73" s="37"/>
      <c r="D73" s="38"/>
      <c r="H73" s="240"/>
    </row>
    <row r="74" spans="3:8" x14ac:dyDescent="0.25">
      <c r="C74" s="37"/>
      <c r="D74" s="38"/>
      <c r="H74" s="240"/>
    </row>
    <row r="75" spans="3:8" x14ac:dyDescent="0.25">
      <c r="C75" s="37"/>
      <c r="D75" s="38"/>
      <c r="H75" s="240"/>
    </row>
    <row r="76" spans="3:8" x14ac:dyDescent="0.25">
      <c r="C76" s="37"/>
      <c r="D76" s="38"/>
      <c r="H76" s="240"/>
    </row>
    <row r="77" spans="3:8" x14ac:dyDescent="0.25">
      <c r="C77" s="37"/>
      <c r="D77" s="38"/>
      <c r="H77" s="240"/>
    </row>
    <row r="78" spans="3:8" x14ac:dyDescent="0.25">
      <c r="C78" s="37"/>
      <c r="D78" s="38"/>
      <c r="H78" s="240"/>
    </row>
    <row r="79" spans="3:8" x14ac:dyDescent="0.25">
      <c r="C79" s="37"/>
      <c r="D79" s="38"/>
      <c r="H79" s="240"/>
    </row>
    <row r="80" spans="3:8" x14ac:dyDescent="0.25">
      <c r="C80" s="37"/>
      <c r="D80" s="38"/>
      <c r="H80" s="240"/>
    </row>
    <row r="81" spans="3:8" x14ac:dyDescent="0.25">
      <c r="C81" s="37"/>
      <c r="D81" s="38"/>
      <c r="H81" s="240"/>
    </row>
    <row r="82" spans="3:8" x14ac:dyDescent="0.25">
      <c r="C82" s="37"/>
      <c r="D82" s="38"/>
      <c r="H82" s="240"/>
    </row>
    <row r="83" spans="3:8" x14ac:dyDescent="0.25">
      <c r="C83" s="37"/>
      <c r="D83" s="38"/>
    </row>
    <row r="84" spans="3:8" x14ac:dyDescent="0.25">
      <c r="C84" s="37"/>
      <c r="D84" s="38"/>
    </row>
    <row r="85" spans="3:8" x14ac:dyDescent="0.25">
      <c r="C85" s="37"/>
      <c r="D85" s="38"/>
    </row>
    <row r="86" spans="3:8" x14ac:dyDescent="0.25">
      <c r="C86" s="37"/>
      <c r="D86" s="38"/>
    </row>
    <row r="87" spans="3:8" x14ac:dyDescent="0.25">
      <c r="C87" s="37"/>
      <c r="D87" s="3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2026-04-30T10:28:22Z</cp:lastPrinted>
  <dcterms:created xsi:type="dcterms:W3CDTF">2024-10-06T20:00:42Z</dcterms:created>
  <dcterms:modified xsi:type="dcterms:W3CDTF">2026-10-06T01:35:19Z</dcterms:modified>
</cp:coreProperties>
</file>