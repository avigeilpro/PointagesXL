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BC42" i="93" s="1"/>
  <c r="V42" i="93"/>
  <c r="BB42" i="93" s="1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BC40" i="93" s="1"/>
  <c r="V40" i="93"/>
  <c r="BB40" i="93" s="1"/>
  <c r="U40" i="93"/>
  <c r="AS40" i="93" s="1"/>
  <c r="BK39" i="93"/>
  <c r="BJ39" i="93"/>
  <c r="BI39" i="93"/>
  <c r="BH39" i="93"/>
  <c r="BG39" i="93"/>
  <c r="BF39" i="93"/>
  <c r="BE39" i="93"/>
  <c r="BD39" i="93"/>
  <c r="BC39" i="93"/>
  <c r="BB39" i="93"/>
  <c r="AW39" i="93"/>
  <c r="AX39" i="93" s="1"/>
  <c r="AU39" i="93"/>
  <c r="AV39" i="93" s="1"/>
  <c r="AS39" i="93"/>
  <c r="AR39" i="93"/>
  <c r="AQ39" i="93"/>
  <c r="AP39" i="93"/>
  <c r="AO39" i="93"/>
  <c r="BK38" i="93"/>
  <c r="BJ38" i="93"/>
  <c r="BI38" i="93"/>
  <c r="BH38" i="93"/>
  <c r="BG38" i="93"/>
  <c r="BF38" i="93"/>
  <c r="BE38" i="93"/>
  <c r="BD38" i="93"/>
  <c r="BC38" i="93"/>
  <c r="BB38" i="93"/>
  <c r="AW38" i="93"/>
  <c r="AX38" i="93" s="1"/>
  <c r="AU38" i="93"/>
  <c r="AV38" i="93" s="1"/>
  <c r="AS38" i="93"/>
  <c r="AT38" i="93" s="1"/>
  <c r="AP38" i="93"/>
  <c r="AO38" i="93"/>
  <c r="BK37" i="93"/>
  <c r="BJ37" i="93"/>
  <c r="BI37" i="93"/>
  <c r="BH37" i="93"/>
  <c r="BG37" i="93"/>
  <c r="BF37" i="93"/>
  <c r="BE37" i="93"/>
  <c r="BD37" i="93"/>
  <c r="BC37" i="93"/>
  <c r="BB37" i="93"/>
  <c r="AW37" i="93"/>
  <c r="AX37" i="93" s="1"/>
  <c r="AU37" i="93"/>
  <c r="AV37" i="93" s="1"/>
  <c r="AS37" i="93"/>
  <c r="AP37" i="93"/>
  <c r="AO37" i="93"/>
  <c r="BK36" i="93"/>
  <c r="BJ36" i="93"/>
  <c r="BI36" i="93"/>
  <c r="BH36" i="93"/>
  <c r="BG36" i="93"/>
  <c r="BF36" i="93"/>
  <c r="BE36" i="93"/>
  <c r="BD36" i="93"/>
  <c r="BC36" i="93"/>
  <c r="BB36" i="93"/>
  <c r="AW36" i="93"/>
  <c r="AX36" i="93" s="1"/>
  <c r="AU36" i="93"/>
  <c r="AV36" i="93" s="1"/>
  <c r="AS36" i="93"/>
  <c r="AP36" i="93"/>
  <c r="AO36" i="93"/>
  <c r="BK35" i="93"/>
  <c r="BJ35" i="93"/>
  <c r="BI35" i="93"/>
  <c r="BH35" i="93"/>
  <c r="BG35" i="93"/>
  <c r="BF35" i="93"/>
  <c r="BE35" i="93"/>
  <c r="BD35" i="93"/>
  <c r="BC35" i="93"/>
  <c r="BB35" i="93"/>
  <c r="AW35" i="93"/>
  <c r="AX35" i="93" s="1"/>
  <c r="AU35" i="93"/>
  <c r="AV35" i="93" s="1"/>
  <c r="AS35" i="93"/>
  <c r="AP35" i="93"/>
  <c r="AO35" i="93"/>
  <c r="BK34" i="93"/>
  <c r="BJ34" i="93"/>
  <c r="BI34" i="93"/>
  <c r="BH34" i="93"/>
  <c r="BG34" i="93"/>
  <c r="BF34" i="93"/>
  <c r="BE34" i="93"/>
  <c r="BD34" i="93"/>
  <c r="BC34" i="93"/>
  <c r="BB34" i="93"/>
  <c r="AW34" i="93"/>
  <c r="AX34" i="93" s="1"/>
  <c r="AU34" i="93"/>
  <c r="AV34" i="93" s="1"/>
  <c r="AS34" i="93"/>
  <c r="AP34" i="93"/>
  <c r="AO34" i="93"/>
  <c r="BK33" i="93"/>
  <c r="BJ33" i="93"/>
  <c r="BI33" i="93"/>
  <c r="BH33" i="93"/>
  <c r="BG33" i="93"/>
  <c r="BF33" i="93"/>
  <c r="BE33" i="93"/>
  <c r="BD33" i="93"/>
  <c r="BC33" i="93"/>
  <c r="BB33" i="93"/>
  <c r="AW33" i="93"/>
  <c r="AX33" i="93" s="1"/>
  <c r="AU33" i="93"/>
  <c r="AV33" i="93" s="1"/>
  <c r="AS33" i="93"/>
  <c r="AT33" i="93" s="1"/>
  <c r="AP33" i="93"/>
  <c r="AO33" i="93"/>
  <c r="BK32" i="93"/>
  <c r="BJ32" i="93"/>
  <c r="BI32" i="93"/>
  <c r="BH32" i="93"/>
  <c r="BG32" i="93"/>
  <c r="BF32" i="93"/>
  <c r="BE32" i="93"/>
  <c r="BD32" i="93"/>
  <c r="BC32" i="93"/>
  <c r="BB32" i="93"/>
  <c r="AW32" i="93"/>
  <c r="AX32" i="93" s="1"/>
  <c r="AU32" i="93"/>
  <c r="AV32" i="93" s="1"/>
  <c r="AS32" i="93"/>
  <c r="AP32" i="93"/>
  <c r="AO32" i="93"/>
  <c r="BK31" i="93"/>
  <c r="BJ31" i="93"/>
  <c r="BI31" i="93"/>
  <c r="BH31" i="93"/>
  <c r="BG31" i="93"/>
  <c r="BF31" i="93"/>
  <c r="BE31" i="93"/>
  <c r="BD31" i="93"/>
  <c r="BC31" i="93"/>
  <c r="BB31" i="93"/>
  <c r="AW31" i="93"/>
  <c r="AX31" i="93" s="1"/>
  <c r="AU31" i="93"/>
  <c r="AV31" i="93" s="1"/>
  <c r="AS31" i="93"/>
  <c r="AT31" i="93" s="1"/>
  <c r="AP31" i="93"/>
  <c r="AO31" i="93"/>
  <c r="BK30" i="93"/>
  <c r="BJ30" i="93"/>
  <c r="BI30" i="93"/>
  <c r="BH30" i="93"/>
  <c r="BG30" i="93"/>
  <c r="BF30" i="93"/>
  <c r="BE30" i="93"/>
  <c r="BD30" i="93"/>
  <c r="BC30" i="93"/>
  <c r="BB30" i="93"/>
  <c r="AW30" i="93"/>
  <c r="AX30" i="93" s="1"/>
  <c r="AU30" i="93"/>
  <c r="AV30" i="93" s="1"/>
  <c r="AS30" i="93"/>
  <c r="AT30" i="93" s="1"/>
  <c r="AP30" i="93"/>
  <c r="AO30" i="93"/>
  <c r="BK29" i="93"/>
  <c r="BJ29" i="93"/>
  <c r="BI29" i="93"/>
  <c r="BH29" i="93"/>
  <c r="BG29" i="93"/>
  <c r="BF29" i="93"/>
  <c r="BE29" i="93"/>
  <c r="BD29" i="93"/>
  <c r="BC29" i="93"/>
  <c r="BB29" i="93"/>
  <c r="AW29" i="93"/>
  <c r="AX29" i="93" s="1"/>
  <c r="AU29" i="93"/>
  <c r="AV29" i="93" s="1"/>
  <c r="AS29" i="93"/>
  <c r="AT29" i="93" s="1"/>
  <c r="AP29" i="93"/>
  <c r="AO29" i="93"/>
  <c r="BK28" i="93"/>
  <c r="BJ28" i="93"/>
  <c r="BI28" i="93"/>
  <c r="BH28" i="93"/>
  <c r="BG28" i="93"/>
  <c r="BF28" i="93"/>
  <c r="BE28" i="93"/>
  <c r="BD28" i="93"/>
  <c r="BC28" i="93"/>
  <c r="BB28" i="93"/>
  <c r="AW28" i="93"/>
  <c r="AX28" i="93" s="1"/>
  <c r="AU28" i="93"/>
  <c r="AV28" i="93" s="1"/>
  <c r="AS28" i="93"/>
  <c r="AT28" i="93" s="1"/>
  <c r="AP28" i="93"/>
  <c r="AO28" i="93"/>
  <c r="BK27" i="93"/>
  <c r="BJ27" i="93"/>
  <c r="BI27" i="93"/>
  <c r="BH27" i="93"/>
  <c r="BG27" i="93"/>
  <c r="BF27" i="93"/>
  <c r="BE27" i="93"/>
  <c r="BD27" i="93"/>
  <c r="BC27" i="93"/>
  <c r="BB27" i="93"/>
  <c r="AW27" i="93"/>
  <c r="AX27" i="93" s="1"/>
  <c r="AU27" i="93"/>
  <c r="AV27" i="93" s="1"/>
  <c r="AS27" i="93"/>
  <c r="AT27" i="93" s="1"/>
  <c r="AP27" i="93"/>
  <c r="AO27" i="93"/>
  <c r="BK26" i="93"/>
  <c r="BJ26" i="93"/>
  <c r="BI26" i="93"/>
  <c r="BH26" i="93"/>
  <c r="BG26" i="93"/>
  <c r="BF26" i="93"/>
  <c r="BE26" i="93"/>
  <c r="BD26" i="93"/>
  <c r="BC26" i="93"/>
  <c r="BB26" i="93"/>
  <c r="AW26" i="93"/>
  <c r="AX26" i="93" s="1"/>
  <c r="AU26" i="93"/>
  <c r="AV26" i="93" s="1"/>
  <c r="AS26" i="93"/>
  <c r="AT26" i="93" s="1"/>
  <c r="AP26" i="93"/>
  <c r="AO26" i="93"/>
  <c r="BK25" i="93"/>
  <c r="BJ25" i="93"/>
  <c r="BI25" i="93"/>
  <c r="BH25" i="93"/>
  <c r="BG25" i="93"/>
  <c r="BF25" i="93"/>
  <c r="BE25" i="93"/>
  <c r="BD25" i="93"/>
  <c r="BC25" i="93"/>
  <c r="BB25" i="93"/>
  <c r="AW25" i="93"/>
  <c r="AX25" i="93" s="1"/>
  <c r="AU25" i="93"/>
  <c r="AV25" i="93" s="1"/>
  <c r="AS25" i="93"/>
  <c r="AT25" i="93" s="1"/>
  <c r="AP25" i="93"/>
  <c r="AO25" i="93"/>
  <c r="BK24" i="93"/>
  <c r="BJ24" i="93"/>
  <c r="BI24" i="93"/>
  <c r="BH24" i="93"/>
  <c r="BG24" i="93"/>
  <c r="BF24" i="93"/>
  <c r="BE24" i="93"/>
  <c r="BD24" i="93"/>
  <c r="BC24" i="93"/>
  <c r="BB24" i="93"/>
  <c r="AW24" i="93"/>
  <c r="AX24" i="93" s="1"/>
  <c r="AU24" i="93"/>
  <c r="AV24" i="93" s="1"/>
  <c r="AS24" i="93"/>
  <c r="AT24" i="93" s="1"/>
  <c r="AP24" i="93"/>
  <c r="AO24" i="93"/>
  <c r="BK23" i="93"/>
  <c r="BJ23" i="93"/>
  <c r="BI23" i="93"/>
  <c r="BH23" i="93"/>
  <c r="BG23" i="93"/>
  <c r="BF23" i="93"/>
  <c r="BE23" i="93"/>
  <c r="BD23" i="93"/>
  <c r="BC23" i="93"/>
  <c r="BB23" i="93"/>
  <c r="AW23" i="93"/>
  <c r="AX23" i="93" s="1"/>
  <c r="AU23" i="93"/>
  <c r="AV23" i="93" s="1"/>
  <c r="AS23" i="93"/>
  <c r="AT23" i="93" s="1"/>
  <c r="AP23" i="93"/>
  <c r="AO23" i="93"/>
  <c r="BK22" i="93"/>
  <c r="BJ22" i="93"/>
  <c r="BI22" i="93"/>
  <c r="BH22" i="93"/>
  <c r="BG22" i="93"/>
  <c r="BF22" i="93"/>
  <c r="BE22" i="93"/>
  <c r="BD22" i="93"/>
  <c r="BC22" i="93"/>
  <c r="BB22" i="93"/>
  <c r="AW22" i="93"/>
  <c r="AX22" i="93" s="1"/>
  <c r="AU22" i="93"/>
  <c r="AV22" i="93" s="1"/>
  <c r="AS22" i="93"/>
  <c r="AP22" i="93"/>
  <c r="AO22" i="93"/>
  <c r="BK21" i="93"/>
  <c r="BJ21" i="93"/>
  <c r="BI21" i="93"/>
  <c r="BH21" i="93"/>
  <c r="BG21" i="93"/>
  <c r="BF21" i="93"/>
  <c r="BE21" i="93"/>
  <c r="BD21" i="93"/>
  <c r="BC21" i="93"/>
  <c r="BB21" i="93"/>
  <c r="AW21" i="93"/>
  <c r="AX21" i="93" s="1"/>
  <c r="AU21" i="93"/>
  <c r="AV21" i="93" s="1"/>
  <c r="AS21" i="93"/>
  <c r="AT21" i="93" s="1"/>
  <c r="AP21" i="93"/>
  <c r="AO21" i="93"/>
  <c r="BK20" i="93"/>
  <c r="BJ20" i="93"/>
  <c r="BI20" i="93"/>
  <c r="BH20" i="93"/>
  <c r="BG20" i="93"/>
  <c r="BF20" i="93"/>
  <c r="BE20" i="93"/>
  <c r="BD20" i="93"/>
  <c r="BC20" i="93"/>
  <c r="BB20" i="93"/>
  <c r="AW20" i="93"/>
  <c r="AX20" i="93" s="1"/>
  <c r="AU20" i="93"/>
  <c r="AV20" i="93" s="1"/>
  <c r="AS20" i="93"/>
  <c r="AT20" i="93" s="1"/>
  <c r="AP20" i="93"/>
  <c r="AO20" i="93"/>
  <c r="BK19" i="93"/>
  <c r="BJ19" i="93"/>
  <c r="BI19" i="93"/>
  <c r="BH19" i="93"/>
  <c r="BG19" i="93"/>
  <c r="BF19" i="93"/>
  <c r="BE19" i="93"/>
  <c r="BD19" i="93"/>
  <c r="BC19" i="93"/>
  <c r="BB19" i="93"/>
  <c r="AW19" i="93"/>
  <c r="AX19" i="93" s="1"/>
  <c r="AU19" i="93"/>
  <c r="AV19" i="93" s="1"/>
  <c r="AS19" i="93"/>
  <c r="AT19" i="93" s="1"/>
  <c r="AP19" i="93"/>
  <c r="AO19" i="93"/>
  <c r="BK18" i="93"/>
  <c r="BJ18" i="93"/>
  <c r="BI18" i="93"/>
  <c r="BH18" i="93"/>
  <c r="BG18" i="93"/>
  <c r="BF18" i="93"/>
  <c r="BE18" i="93"/>
  <c r="BD18" i="93"/>
  <c r="BC18" i="93"/>
  <c r="BB18" i="93"/>
  <c r="AW18" i="93"/>
  <c r="AX18" i="93" s="1"/>
  <c r="AU18" i="93"/>
  <c r="AV18" i="93" s="1"/>
  <c r="AS18" i="93"/>
  <c r="AT18" i="93" s="1"/>
  <c r="AP18" i="93"/>
  <c r="AO18" i="93"/>
  <c r="BK17" i="93"/>
  <c r="BJ17" i="93"/>
  <c r="BI17" i="93"/>
  <c r="BH17" i="93"/>
  <c r="BG17" i="93"/>
  <c r="BF17" i="93"/>
  <c r="BE17" i="93"/>
  <c r="BD17" i="93"/>
  <c r="BC17" i="93"/>
  <c r="BB17" i="93"/>
  <c r="AW17" i="93"/>
  <c r="AX17" i="93" s="1"/>
  <c r="AU17" i="93"/>
  <c r="AV17" i="93" s="1"/>
  <c r="AS17" i="93"/>
  <c r="AT17" i="93" s="1"/>
  <c r="AP17" i="93"/>
  <c r="AO17" i="93"/>
  <c r="BK16" i="93"/>
  <c r="BJ16" i="93"/>
  <c r="BI16" i="93"/>
  <c r="BH16" i="93"/>
  <c r="BG16" i="93"/>
  <c r="BF16" i="93"/>
  <c r="BE16" i="93"/>
  <c r="BD16" i="93"/>
  <c r="BC16" i="93"/>
  <c r="BB16" i="93"/>
  <c r="AW16" i="93"/>
  <c r="AX16" i="93" s="1"/>
  <c r="AU16" i="93"/>
  <c r="AV16" i="93" s="1"/>
  <c r="AS16" i="93"/>
  <c r="AP16" i="93"/>
  <c r="AO16" i="93"/>
  <c r="BK15" i="93"/>
  <c r="BJ15" i="93"/>
  <c r="BI15" i="93"/>
  <c r="BH15" i="93"/>
  <c r="BG15" i="93"/>
  <c r="BF15" i="93"/>
  <c r="BE15" i="93"/>
  <c r="BD15" i="93"/>
  <c r="BC15" i="93"/>
  <c r="BB15" i="93"/>
  <c r="AS15" i="93"/>
  <c r="AT15" i="93" s="1"/>
  <c r="AP15" i="93"/>
  <c r="AO15" i="93"/>
  <c r="BK14" i="93"/>
  <c r="BJ14" i="93"/>
  <c r="BI14" i="93"/>
  <c r="BH14" i="93"/>
  <c r="BG14" i="93"/>
  <c r="BF14" i="93"/>
  <c r="BE14" i="93"/>
  <c r="BD14" i="93"/>
  <c r="BC14" i="93"/>
  <c r="BB14" i="93"/>
  <c r="AS14" i="93"/>
  <c r="AP14" i="93"/>
  <c r="AO14" i="93"/>
  <c r="BK13" i="93"/>
  <c r="BJ13" i="93"/>
  <c r="BI13" i="93"/>
  <c r="BH13" i="93"/>
  <c r="BG13" i="93"/>
  <c r="BF13" i="93"/>
  <c r="BE13" i="93"/>
  <c r="BD13" i="93"/>
  <c r="BC13" i="93"/>
  <c r="BB13" i="93"/>
  <c r="AW13" i="93"/>
  <c r="AX13" i="93" s="1"/>
  <c r="AU13" i="93"/>
  <c r="AV13" i="93" s="1"/>
  <c r="AS13" i="93"/>
  <c r="AT13" i="93" s="1"/>
  <c r="AP13" i="93"/>
  <c r="AO13" i="93"/>
  <c r="BK12" i="93"/>
  <c r="BJ12" i="93"/>
  <c r="BI12" i="93"/>
  <c r="BH12" i="93"/>
  <c r="BG12" i="93"/>
  <c r="BF12" i="93"/>
  <c r="BE12" i="93"/>
  <c r="BD12" i="93"/>
  <c r="BC12" i="93"/>
  <c r="BB12" i="93"/>
  <c r="AW12" i="93"/>
  <c r="AX12" i="93" s="1"/>
  <c r="AU12" i="93"/>
  <c r="AV12" i="93" s="1"/>
  <c r="AS12" i="93"/>
  <c r="AT12" i="93" s="1"/>
  <c r="AP12" i="93"/>
  <c r="AO12" i="93"/>
  <c r="BK11" i="93"/>
  <c r="BJ11" i="93"/>
  <c r="BI11" i="93"/>
  <c r="BH11" i="93"/>
  <c r="BG11" i="93"/>
  <c r="BF11" i="93"/>
  <c r="BE11" i="93"/>
  <c r="BD11" i="93"/>
  <c r="BC11" i="93"/>
  <c r="BB11" i="93"/>
  <c r="AW11" i="93"/>
  <c r="AX11" i="93" s="1"/>
  <c r="AU11" i="93"/>
  <c r="AV11" i="93" s="1"/>
  <c r="AS11" i="93"/>
  <c r="AT11" i="93" s="1"/>
  <c r="AP11" i="93"/>
  <c r="AO11" i="93"/>
  <c r="BK10" i="93"/>
  <c r="BJ10" i="93"/>
  <c r="BI10" i="93"/>
  <c r="BH10" i="93"/>
  <c r="BG10" i="93"/>
  <c r="BF10" i="93"/>
  <c r="BE10" i="93"/>
  <c r="BD10" i="93"/>
  <c r="BC10" i="93"/>
  <c r="BB10" i="93"/>
  <c r="AW10" i="93"/>
  <c r="AX10" i="93" s="1"/>
  <c r="AU10" i="93"/>
  <c r="AV10" i="93" s="1"/>
  <c r="AS10" i="93"/>
  <c r="AT10" i="93" s="1"/>
  <c r="AP10" i="93"/>
  <c r="AO10" i="93"/>
  <c r="BK9" i="93"/>
  <c r="BJ9" i="93"/>
  <c r="BI9" i="93"/>
  <c r="BH9" i="93"/>
  <c r="BG9" i="93"/>
  <c r="BF9" i="93"/>
  <c r="BE9" i="93"/>
  <c r="BD9" i="93"/>
  <c r="BC9" i="93"/>
  <c r="BB9" i="93"/>
  <c r="AW9" i="93"/>
  <c r="AX9" i="93" s="1"/>
  <c r="AU9" i="93"/>
  <c r="AV9" i="93" s="1"/>
  <c r="AS9" i="93"/>
  <c r="AT9" i="93" s="1"/>
  <c r="AP9" i="93"/>
  <c r="AO9" i="93"/>
  <c r="BK8" i="93"/>
  <c r="BJ8" i="93"/>
  <c r="BI8" i="93"/>
  <c r="BH8" i="93"/>
  <c r="BG8" i="93"/>
  <c r="BF8" i="93"/>
  <c r="BE8" i="93"/>
  <c r="BD8" i="93"/>
  <c r="BC8" i="93"/>
  <c r="BB8" i="93"/>
  <c r="AS8" i="93"/>
  <c r="AT8" i="93" s="1"/>
  <c r="AU8" i="93" s="1"/>
  <c r="AV8" i="93" s="1"/>
  <c r="AP8" i="93"/>
  <c r="AO8" i="93"/>
  <c r="BK7" i="93"/>
  <c r="BJ7" i="93"/>
  <c r="BI7" i="93"/>
  <c r="BH7" i="93"/>
  <c r="BG7" i="93"/>
  <c r="BF7" i="93"/>
  <c r="BE7" i="93"/>
  <c r="BD7" i="93"/>
  <c r="BC7" i="93"/>
  <c r="BB7" i="93"/>
  <c r="AW7" i="93"/>
  <c r="AX7" i="93" s="1"/>
  <c r="AU7" i="93"/>
  <c r="AV7" i="93" s="1"/>
  <c r="AS7" i="93"/>
  <c r="AT7" i="93" s="1"/>
  <c r="AP7" i="93"/>
  <c r="AO7" i="93"/>
  <c r="BK6" i="93"/>
  <c r="BJ6" i="93"/>
  <c r="BI6" i="93"/>
  <c r="BH6" i="93"/>
  <c r="BG6" i="93"/>
  <c r="BF6" i="93"/>
  <c r="BE6" i="93"/>
  <c r="BD6" i="93"/>
  <c r="BC6" i="93"/>
  <c r="BB6" i="93"/>
  <c r="AW6" i="93"/>
  <c r="AX6" i="93" s="1"/>
  <c r="AU6" i="93"/>
  <c r="AV6" i="93" s="1"/>
  <c r="AS6" i="93"/>
  <c r="AT6" i="93" s="1"/>
  <c r="AP6" i="93"/>
  <c r="AO6" i="93"/>
  <c r="BK5" i="93"/>
  <c r="BJ5" i="93"/>
  <c r="BI5" i="93"/>
  <c r="BH5" i="93"/>
  <c r="BG5" i="93"/>
  <c r="BF5" i="93"/>
  <c r="BE5" i="93"/>
  <c r="BD5" i="93"/>
  <c r="BC5" i="93"/>
  <c r="BB5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1" i="93"/>
  <c r="BB43" i="93" s="1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1" i="93"/>
  <c r="BC43" i="93" s="1"/>
  <c r="AT41" i="93"/>
  <c r="AZ41" i="93" s="1"/>
  <c r="AQ42" i="93"/>
  <c r="AA42" i="93"/>
  <c r="AB42" i="93" s="1"/>
  <c r="BD42" i="93"/>
  <c r="BA42" i="93"/>
  <c r="AQ40" i="93"/>
  <c r="AA40" i="93"/>
  <c r="AB40" i="93" s="1"/>
  <c r="BD40" i="93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E42" i="93"/>
  <c r="BD41" i="93"/>
  <c r="BD43" i="93" s="1"/>
  <c r="AQ41" i="93"/>
  <c r="AA41" i="93"/>
  <c r="AB41" i="93" s="1"/>
  <c r="AC40" i="93"/>
  <c r="AD40" i="93" s="1"/>
  <c r="AR40" i="93"/>
  <c r="AY40" i="93" s="1"/>
  <c r="BE40" i="93"/>
  <c r="AZ43" i="93" l="1"/>
  <c r="AQ14" i="93"/>
  <c r="AY14" i="93" s="1"/>
  <c r="BA14" i="93"/>
  <c r="BA43" i="93" s="1"/>
  <c r="BF40" i="93"/>
  <c r="AE40" i="93"/>
  <c r="AF40" i="93" s="1"/>
  <c r="BE41" i="93"/>
  <c r="BE43" i="93" s="1"/>
  <c r="AC41" i="93"/>
  <c r="AD41" i="93" s="1"/>
  <c r="AR41" i="93"/>
  <c r="AY41" i="93" s="1"/>
  <c r="BF42" i="93"/>
  <c r="AE42" i="93"/>
  <c r="AF42" i="93" s="1"/>
  <c r="AY43" i="93" l="1"/>
  <c r="BF41" i="93"/>
  <c r="BF43" i="93" s="1"/>
  <c r="AE41" i="93"/>
  <c r="AF41" i="93" s="1"/>
  <c r="BG40" i="93"/>
  <c r="AG40" i="93"/>
  <c r="AH40" i="93" s="1"/>
  <c r="BG42" i="93"/>
  <c r="AG42" i="93"/>
  <c r="AH42" i="93" s="1"/>
  <c r="BH40" i="93" l="1"/>
  <c r="AI40" i="93"/>
  <c r="AJ40" i="93" s="1"/>
  <c r="AG41" i="93"/>
  <c r="AH41" i="93" s="1"/>
  <c r="BG41" i="93"/>
  <c r="BG43" i="93" s="1"/>
  <c r="BH42" i="93"/>
  <c r="AI42" i="93"/>
  <c r="AJ42" i="93" s="1"/>
  <c r="BI42" i="93" l="1"/>
  <c r="AK42" i="93"/>
  <c r="AL42" i="93" s="1"/>
  <c r="BH41" i="93"/>
  <c r="AI41" i="93"/>
  <c r="AJ41" i="93" s="1"/>
  <c r="BI40" i="93"/>
  <c r="AK40" i="93"/>
  <c r="AL40" i="93" s="1"/>
  <c r="BH43" i="93"/>
  <c r="BJ40" i="93" l="1"/>
  <c r="AM40" i="93"/>
  <c r="AN40" i="93" s="1"/>
  <c r="BK40" i="93" s="1"/>
  <c r="BI41" i="93"/>
  <c r="AK41" i="93"/>
  <c r="AL41" i="93" s="1"/>
  <c r="BI43" i="93"/>
  <c r="BJ42" i="93"/>
  <c r="AM42" i="93"/>
  <c r="AN42" i="93" s="1"/>
  <c r="BK42" i="93" s="1"/>
  <c r="BL42" i="93" s="1"/>
  <c r="AM41" i="93" l="1"/>
  <c r="AN41" i="93" s="1"/>
  <c r="BK41" i="93" s="1"/>
  <c r="BL41" i="93" s="1"/>
  <c r="BJ41" i="93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<sst xmlns="http://schemas.openxmlformats.org/spreadsheetml/2006/main" count="221" uniqueCount="115">
  <si>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</si>
  <si>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</si>
  <si>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</si>
  <si>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</si>
  <si>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</si>
  <si>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</si>
  <si>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</si>
  <si>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</si>
  <si>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</si>
  <si>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</si>
  <si>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</si>
  <si>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</si>
  <si>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</si>
  <si>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</si>
  <si>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</si>
  <si>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</si>
  <si>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</si>
  <si>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</si>
  <si>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</si>
  <si>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</si>
  <si>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</si>
  <si>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</si>
  <si>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</si>
  <si>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</si>
  <si>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</si>
  <si>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</si>
  <si>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</si>
  <si>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</si>
  <si>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</si>
  <si>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</si>
  <si>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</si>
  <si>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</si>
  <si>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</si>
  <si>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</si>
  <si>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</si>
  <si>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</si>
  <si>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</si>
  <si>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</si>
  <si>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</si>
  <si>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</si>
  <si>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</si>
  <si>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</si>
  <si>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</si>
  <si>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</si>
  <si>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</si>
  <si>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</si>
  <si>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</si>
  <si>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</si>
  <si>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</si>
  <si>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</si>
  <si>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</si>
  <si>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</si>
  <si>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</si>
  <si>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</si>
  <si>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$O$14</t>
  </si>
  <si>
    <t>TRADUCTION HORAIRE</t>
  </si>
  <si>
    <t>Frais de déplacement</t>
  </si>
  <si>
    <t>Pauses repas</t>
  </si>
  <si>
    <t>Indemnités</t>
  </si>
  <si>
    <t>REPAS</t>
  </si>
  <si>
    <t>Temps de travail arrondi (modulo 5 mn : 0 = 0 ; 1 à 5 = 5 ; 6 à 9 = 10 )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</si>
  <si>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</si>
  <si>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</si>
  <si>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</si>
  <si>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</si>
  <si>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</si>
  <si>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</si>
  <si>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</si>
  <si>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</si>
  <si>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</si>
  <si>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</si>
  <si>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</si>
  <si>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</si>
  <si>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</si>
  <si>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</si>
  <si>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</si>
  <si>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</si>
  <si>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</si>
  <si>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</si>
  <si>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</si>
  <si>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</si>
  <si>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</si>
  <si>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</si>
  <si>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</si>
  <si>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</si>
  <si>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</si>
  <si>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</si>
  <si>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</si>
  <si>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</si>
  <si>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</si>
  <si>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</si>
  <si>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</si>
  <si>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</si>
  <si>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</si>
  <si>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</si>
  <si>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</si>
  <si>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</si>
  <si>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</si>
  <si>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</si>
  <si>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</si>
  <si>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</si>
  <si>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</si>
  <si>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</si>
  <si>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</si>
  <si>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</si>
  <si>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</si>
  <si>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</si>
  <si>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</si>
  <si>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</si>
  <si>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</si>
  <si>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Aucune semaine selectionnée</t>
  </si>
  <si>
    <t>1 à 14</t>
  </si>
  <si>
    <t>Août</t>
  </si>
  <si>
    <t>- modifier le texte des boutons accepter/rejeter les corrections</t>
  </si>
  <si>
    <t>- Contrôle de faisabilité des CP/R.Eq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</si>
</sst>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167" fontId="13" fillId="0" borderId="5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E3C-4871-9A3C-77DEC4D2AF4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C-4871-9A3C-77DEC4D2AF4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DE3C-4871-9A3C-77DEC4D2AF4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DE3C-4871-9A3C-77DEC4D2A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workbookViewId="0">
      <selection activeCell="AH20" sqref="AH20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35" t="s">
        <v>112</v>
      </c>
      <c r="O1" s="335"/>
      <c r="P1" s="335"/>
      <c r="Q1" s="159"/>
      <c r="S1" s="335">
        <v>2025</v>
      </c>
      <c r="T1" s="335"/>
      <c r="X1" s="39" t="s">
        <v>78</v>
      </c>
      <c r="AA1" s="297" t="s">
        <v>111</v>
      </c>
      <c r="AB1" s="297"/>
    </row>
    <row r="2" spans="3:37" ht="15.75" thickBot="1" x14ac:dyDescent="0.3">
      <c r="E2" s="336" t="s">
        <v>79</v>
      </c>
      <c r="F2" s="337"/>
      <c r="G2" s="338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332"/>
      <c r="J23" s="333"/>
      <c r="K23" s="333"/>
      <c r="L23" s="333"/>
      <c r="M23" s="333"/>
      <c r="N23" s="334"/>
      <c r="Q23" s="290"/>
      <c r="R23" s="339" t="s">
        <v>82</v>
      </c>
      <c r="S23" s="333"/>
      <c r="T23" s="333"/>
      <c r="U23" s="333"/>
      <c r="V23" s="334"/>
    </row>
    <row r="24" spans="2:37" ht="15.75" thickBot="1" x14ac:dyDescent="0.3">
      <c r="B24" s="340" t="s">
        <v>83</v>
      </c>
      <c r="C24" s="341"/>
      <c r="D24" s="341"/>
      <c r="E24" s="341"/>
      <c r="F24" s="341"/>
      <c r="G24" s="341"/>
      <c r="H24" s="341"/>
      <c r="I24" s="342"/>
      <c r="J24" s="342"/>
      <c r="K24" s="342"/>
      <c r="L24" s="342"/>
      <c r="M24" s="342"/>
      <c r="N24" s="342"/>
      <c r="O24" s="341"/>
      <c r="P24" s="341"/>
      <c r="Q24" s="342"/>
      <c r="R24" s="341"/>
      <c r="S24" s="341"/>
      <c r="T24" s="341"/>
      <c r="U24" s="341"/>
      <c r="V24" s="341"/>
      <c r="W24" s="343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44">
        <v>1</v>
      </c>
      <c r="E25" s="344"/>
      <c r="F25" s="344">
        <v>2</v>
      </c>
      <c r="G25" s="344"/>
      <c r="H25" s="344">
        <v>3</v>
      </c>
      <c r="I25" s="344"/>
      <c r="J25" s="344">
        <v>4</v>
      </c>
      <c r="K25" s="344"/>
      <c r="L25" s="344">
        <v>5</v>
      </c>
      <c r="M25" s="300"/>
      <c r="N25" s="300">
        <v>6</v>
      </c>
      <c r="O25" s="301"/>
      <c r="P25" s="300">
        <v>7</v>
      </c>
      <c r="Q25" s="301"/>
      <c r="R25" s="300">
        <v>8</v>
      </c>
      <c r="S25" s="301"/>
      <c r="T25" s="300">
        <v>9</v>
      </c>
      <c r="U25" s="301"/>
      <c r="V25" s="300">
        <v>10</v>
      </c>
      <c r="W25" s="299"/>
      <c r="X25" s="298" t="s">
        <v>84</v>
      </c>
      <c r="Y25" s="299"/>
      <c r="Z25" s="169"/>
      <c r="AA25" s="169"/>
      <c r="AB25" s="169"/>
      <c r="AC25" s="169"/>
    </row>
    <row r="26" spans="2:37" x14ac:dyDescent="0.25">
      <c r="B26" s="170"/>
      <c r="C26" s="171"/>
      <c r="D26" s="172" t="s">
        <v>61</v>
      </c>
      <c r="E26" s="172" t="s">
        <v>62</v>
      </c>
      <c r="F26" s="172" t="s">
        <v>61</v>
      </c>
      <c r="G26" s="172" t="s">
        <v>62</v>
      </c>
      <c r="H26" s="172" t="s">
        <v>61</v>
      </c>
      <c r="I26" s="172" t="s">
        <v>62</v>
      </c>
      <c r="J26" s="172" t="s">
        <v>61</v>
      </c>
      <c r="K26" s="172" t="s">
        <v>62</v>
      </c>
      <c r="L26" s="172" t="s">
        <v>61</v>
      </c>
      <c r="M26" s="172" t="s">
        <v>62</v>
      </c>
      <c r="N26" s="172" t="s">
        <v>61</v>
      </c>
      <c r="O26" s="172" t="s">
        <v>62</v>
      </c>
      <c r="P26" s="172" t="s">
        <v>61</v>
      </c>
      <c r="Q26" s="172" t="s">
        <v>62</v>
      </c>
      <c r="R26" s="172" t="s">
        <v>61</v>
      </c>
      <c r="S26" s="172" t="s">
        <v>62</v>
      </c>
      <c r="T26" s="172" t="s">
        <v>61</v>
      </c>
      <c r="U26" s="172" t="s">
        <v>62</v>
      </c>
      <c r="V26" s="172" t="s">
        <v>61</v>
      </c>
      <c r="W26" s="172" t="s">
        <v>62</v>
      </c>
      <c r="X26" s="85" t="s">
        <v>85</v>
      </c>
      <c r="Y26" s="87" t="s">
        <v>86</v>
      </c>
      <c r="Z26" s="298" t="s">
        <v>72</v>
      </c>
      <c r="AA26" s="299"/>
      <c r="AB26" s="298" t="s">
        <v>87</v>
      </c>
      <c r="AC26" s="299"/>
    </row>
    <row r="27" spans="2:37" ht="14.1" customHeight="1" x14ac:dyDescent="0.25">
      <c r="B27" s="233" t="s">
        <v>88</v>
      </c>
      <c r="C27" s="234">
        <v>45866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28"/>
      <c r="AA27" s="329"/>
      <c r="AB27" s="302" t="str">
        <f>TRUNC(SUM(Z27:Z33)*24,0) &amp; ":" &amp; RIGHT("00"&amp;ROUND(((SUM(Z27:Z33)*24)-TRUNC(SUM(Z27:Z33)*24,0))*60,2),2)</f>
        <v>0:00</v>
      </c>
      <c r="AC27" s="303"/>
      <c r="AD27" s="77"/>
    </row>
    <row r="28" spans="2:37" ht="14.1" customHeight="1" x14ac:dyDescent="0.25">
      <c r="B28" s="173" t="s">
        <v>89</v>
      </c>
      <c r="C28" s="174">
        <v>45867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12"/>
      <c r="AA28" s="313"/>
      <c r="AB28" s="304"/>
      <c r="AC28" s="305"/>
      <c r="AD28" s="77"/>
    </row>
    <row r="29" spans="2:37" ht="14.1" customHeight="1" x14ac:dyDescent="0.25">
      <c r="B29" s="173" t="s">
        <v>90</v>
      </c>
      <c r="C29" s="174">
        <v>45868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10"/>
      <c r="AA29" s="311"/>
      <c r="AB29" s="306"/>
      <c r="AC29" s="307"/>
      <c r="AD29" s="77"/>
    </row>
    <row r="30" spans="2:37" ht="14.1" customHeight="1" x14ac:dyDescent="0.25">
      <c r="B30" s="173" t="s">
        <v>91</v>
      </c>
      <c r="C30" s="174">
        <v>45869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12"/>
      <c r="AA30" s="313"/>
      <c r="AB30" s="304"/>
      <c r="AC30" s="305"/>
      <c r="AD30" s="77"/>
    </row>
    <row r="31" spans="2:37" ht="14.1" customHeight="1" x14ac:dyDescent="0.25">
      <c r="B31" s="173" t="s">
        <v>92</v>
      </c>
      <c r="C31" s="174">
        <v>45870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10"/>
      <c r="AA31" s="311"/>
      <c r="AB31" s="306"/>
      <c r="AC31" s="307"/>
      <c r="AD31" s="77"/>
    </row>
    <row r="32" spans="2:37" ht="14.1" customHeight="1" thickBot="1" x14ac:dyDescent="0.3">
      <c r="B32" s="173" t="s">
        <v>93</v>
      </c>
      <c r="C32" s="174">
        <v>45871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12"/>
      <c r="AA32" s="313"/>
      <c r="AB32" s="304"/>
      <c r="AC32" s="305"/>
      <c r="AD32" s="77"/>
    </row>
    <row r="33" spans="2:39" ht="14.1" customHeight="1" x14ac:dyDescent="0.25">
      <c r="B33" s="215" t="s">
        <v>94</v>
      </c>
      <c r="C33" s="216">
        <v>45872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30"/>
      <c r="AA33" s="331"/>
      <c r="AB33" s="308"/>
      <c r="AC33" s="309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88</v>
      </c>
      <c r="C34" s="174">
        <v>45873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24"/>
      <c r="AA34" s="325"/>
      <c r="AB34" s="316" t="str">
        <f>TRUNC(SUM(Z34:Z40)*24,0) &amp; ":" &amp; RIGHT("00"&amp;ROUND(((SUM(Z34:Z40)*24)-TRUNC(SUM(Z34:Z40)*24,0))*60,2),2)</f>
        <v>0:00</v>
      </c>
      <c r="AC34" s="317"/>
      <c r="AD34" s="77"/>
      <c r="AE34" s="11"/>
      <c r="AF34" s="297" t="s">
        <v>110</v>
      </c>
      <c r="AG34" s="297"/>
      <c r="AH34" s="297"/>
      <c r="AI34" s="297"/>
      <c r="AJ34" s="297"/>
      <c r="AK34" s="297"/>
      <c r="AL34" s="297"/>
      <c r="AM34" s="12"/>
    </row>
    <row r="35" spans="2:39" ht="14.1" customHeight="1" x14ac:dyDescent="0.25">
      <c r="B35" s="173" t="s">
        <v>89</v>
      </c>
      <c r="C35" s="174">
        <v>45874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10"/>
      <c r="AA35" s="311"/>
      <c r="AB35" s="306"/>
      <c r="AC35" s="307"/>
      <c r="AD35" s="77"/>
      <c r="AE35" s="11"/>
      <c r="AI35" s="160" t="s">
        <v>80</v>
      </c>
      <c r="AM35" s="12"/>
    </row>
    <row r="36" spans="2:39" ht="14.1" customHeight="1" x14ac:dyDescent="0.25">
      <c r="B36" s="173" t="s">
        <v>90</v>
      </c>
      <c r="C36" s="174">
        <v>45875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12"/>
      <c r="AA36" s="313"/>
      <c r="AB36" s="304"/>
      <c r="AC36" s="305"/>
      <c r="AD36" s="77"/>
      <c r="AE36" s="11"/>
      <c r="AF36" s="332" t="s">
        <v>81</v>
      </c>
      <c r="AG36" s="333"/>
      <c r="AH36" s="333"/>
      <c r="AI36" s="333"/>
      <c r="AJ36" s="333"/>
      <c r="AK36" s="333"/>
      <c r="AL36" s="334"/>
      <c r="AM36" s="12"/>
    </row>
    <row r="37" spans="2:39" ht="14.1" customHeight="1" x14ac:dyDescent="0.25">
      <c r="B37" s="173" t="s">
        <v>91</v>
      </c>
      <c r="C37" s="174">
        <v>45876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10"/>
      <c r="AA37" s="311"/>
      <c r="AB37" s="306"/>
      <c r="AC37" s="307"/>
      <c r="AD37" s="77"/>
      <c r="AE37" s="11"/>
      <c r="AM37" s="12"/>
    </row>
    <row r="38" spans="2:39" ht="14.1" customHeight="1" x14ac:dyDescent="0.25">
      <c r="B38" s="173" t="s">
        <v>92</v>
      </c>
      <c r="C38" s="174">
        <v>45877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12"/>
      <c r="AA38" s="313"/>
      <c r="AB38" s="304"/>
      <c r="AC38" s="305"/>
      <c r="AD38" s="77"/>
      <c r="AE38" s="11"/>
      <c r="AM38" s="12"/>
    </row>
    <row r="39" spans="2:39" ht="14.1" customHeight="1" x14ac:dyDescent="0.25">
      <c r="B39" s="173" t="s">
        <v>93</v>
      </c>
      <c r="C39" s="174">
        <v>45878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10"/>
      <c r="AA39" s="311"/>
      <c r="AB39" s="306"/>
      <c r="AC39" s="307"/>
      <c r="AD39" s="77"/>
      <c r="AE39" s="11"/>
      <c r="AM39" s="12"/>
    </row>
    <row r="40" spans="2:39" ht="14.1" customHeight="1" x14ac:dyDescent="0.25">
      <c r="B40" s="215" t="s">
        <v>94</v>
      </c>
      <c r="C40" s="216">
        <v>45879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14"/>
      <c r="AA40" s="315"/>
      <c r="AB40" s="318"/>
      <c r="AC40" s="319"/>
      <c r="AD40" s="77"/>
      <c r="AE40" s="11"/>
      <c r="AM40" s="12"/>
    </row>
    <row r="41" spans="2:39" ht="14.1" customHeight="1" x14ac:dyDescent="0.25">
      <c r="B41" s="241" t="s">
        <v>88</v>
      </c>
      <c r="C41" s="242">
        <v>45880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22"/>
      <c r="AA41" s="323"/>
      <c r="AB41" s="302" t="str">
        <f>TRUNC(SUM(Z41:Z47)*24,0) &amp; ":" &amp; RIGHT("00"&amp;ROUND(((SUM(Z41:Z47)*24)-TRUNC(SUM(Z41:Z47)*24,0))*60,2),2)</f>
        <v>0:00</v>
      </c>
      <c r="AC41" s="303"/>
      <c r="AD41" s="77"/>
      <c r="AE41" s="11"/>
      <c r="AM41" s="12"/>
    </row>
    <row r="42" spans="2:39" ht="14.1" customHeight="1" x14ac:dyDescent="0.25">
      <c r="B42" s="173" t="s">
        <v>89</v>
      </c>
      <c r="C42" s="174">
        <v>45881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12"/>
      <c r="AA42" s="313"/>
      <c r="AB42" s="304"/>
      <c r="AC42" s="305"/>
      <c r="AD42" s="77"/>
      <c r="AE42" s="11"/>
      <c r="AM42" s="12"/>
    </row>
    <row r="43" spans="2:39" ht="14.1" customHeight="1" x14ac:dyDescent="0.25">
      <c r="B43" s="173" t="s">
        <v>90</v>
      </c>
      <c r="C43" s="174">
        <v>45882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10"/>
      <c r="AA43" s="311"/>
      <c r="AB43" s="306"/>
      <c r="AC43" s="307"/>
      <c r="AD43" s="77"/>
      <c r="AE43" s="11"/>
      <c r="AM43" s="12"/>
    </row>
    <row r="44" spans="2:39" ht="14.1" customHeight="1" x14ac:dyDescent="0.25">
      <c r="B44" s="173" t="s">
        <v>91</v>
      </c>
      <c r="C44" s="174">
        <v>45883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12"/>
      <c r="AA44" s="313"/>
      <c r="AB44" s="304"/>
      <c r="AC44" s="305"/>
      <c r="AD44" s="77"/>
      <c r="AE44" s="11"/>
      <c r="AM44" s="12"/>
    </row>
    <row r="45" spans="2:39" ht="14.1" customHeight="1" thickBot="1" x14ac:dyDescent="0.3">
      <c r="B45" s="173" t="s">
        <v>92</v>
      </c>
      <c r="C45" s="174">
        <v>45884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10"/>
      <c r="AA45" s="311"/>
      <c r="AB45" s="306"/>
      <c r="AC45" s="307"/>
      <c r="AD45" s="77"/>
      <c r="AE45" s="293"/>
      <c r="AF45" s="294">
        <v>2</v>
      </c>
      <c r="AG45" s="13">
        <v>10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93</v>
      </c>
      <c r="C46" s="174">
        <v>45885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12"/>
      <c r="AA46" s="313"/>
      <c r="AB46" s="304"/>
      <c r="AC46" s="305"/>
      <c r="AD46" s="77"/>
    </row>
    <row r="47" spans="2:39" ht="14.1" customHeight="1" x14ac:dyDescent="0.25">
      <c r="B47" s="215" t="s">
        <v>94</v>
      </c>
      <c r="C47" s="216">
        <v>45886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30"/>
      <c r="AA47" s="331"/>
      <c r="AB47" s="308"/>
      <c r="AC47" s="309"/>
      <c r="AD47" s="77"/>
    </row>
    <row r="48" spans="2:39" ht="14.1" customHeight="1" x14ac:dyDescent="0.25">
      <c r="B48" s="173" t="s">
        <v>88</v>
      </c>
      <c r="C48" s="174">
        <v>45887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24"/>
      <c r="AA48" s="325"/>
      <c r="AB48" s="316" t="str">
        <f>TRUNC(SUM(Z48:Z54)*24,0) &amp; ":" &amp; RIGHT("00"&amp;ROUND(((SUM(Z48:Z54)*24)-TRUNC(SUM(Z48:Z54)*24,0))*60,2),2)</f>
        <v>0:00</v>
      </c>
      <c r="AC48" s="317"/>
      <c r="AD48" s="77"/>
    </row>
    <row r="49" spans="2:30" ht="14.1" customHeight="1" x14ac:dyDescent="0.25">
      <c r="B49" s="173" t="s">
        <v>89</v>
      </c>
      <c r="C49" s="174">
        <v>45888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10"/>
      <c r="AA49" s="311"/>
      <c r="AB49" s="306"/>
      <c r="AC49" s="307"/>
      <c r="AD49" s="77"/>
    </row>
    <row r="50" spans="2:30" ht="14.1" customHeight="1" x14ac:dyDescent="0.25">
      <c r="B50" s="173" t="s">
        <v>90</v>
      </c>
      <c r="C50" s="174">
        <v>45889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12"/>
      <c r="AA50" s="313"/>
      <c r="AB50" s="304"/>
      <c r="AC50" s="305"/>
      <c r="AD50" s="77"/>
    </row>
    <row r="51" spans="2:30" ht="14.1" customHeight="1" x14ac:dyDescent="0.25">
      <c r="B51" s="173" t="s">
        <v>91</v>
      </c>
      <c r="C51" s="174">
        <v>45890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10"/>
      <c r="AA51" s="311"/>
      <c r="AB51" s="306"/>
      <c r="AC51" s="307"/>
      <c r="AD51" s="77"/>
    </row>
    <row r="52" spans="2:30" ht="14.1" customHeight="1" x14ac:dyDescent="0.25">
      <c r="B52" s="173" t="s">
        <v>92</v>
      </c>
      <c r="C52" s="174">
        <v>45891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12"/>
      <c r="AA52" s="313"/>
      <c r="AB52" s="304"/>
      <c r="AC52" s="305"/>
      <c r="AD52" s="77"/>
    </row>
    <row r="53" spans="2:30" ht="14.1" customHeight="1" x14ac:dyDescent="0.25">
      <c r="B53" s="173" t="s">
        <v>93</v>
      </c>
      <c r="C53" s="174">
        <v>45892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10"/>
      <c r="AA53" s="311"/>
      <c r="AB53" s="306"/>
      <c r="AC53" s="307"/>
      <c r="AD53" s="77"/>
    </row>
    <row r="54" spans="2:30" ht="14.1" customHeight="1" x14ac:dyDescent="0.25">
      <c r="B54" s="215" t="s">
        <v>94</v>
      </c>
      <c r="C54" s="216">
        <v>45893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14"/>
      <c r="AA54" s="315"/>
      <c r="AB54" s="318"/>
      <c r="AC54" s="319"/>
      <c r="AD54" s="77"/>
    </row>
    <row r="55" spans="2:30" ht="14.1" customHeight="1" x14ac:dyDescent="0.25">
      <c r="B55" s="173"/>
      <c r="C55" s="174"/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22"/>
      <c r="AA55" s="323"/>
      <c r="AB55" s="302" t="str">
        <f>TRUNC(SUM(Z55:Z61)*24,0) &amp; ":" &amp; RIGHT("00"&amp;ROUND(((SUM(Z55:Z61)*24)-TRUNC(SUM(Z55:Z61)*24,0))*60,2),2)</f>
        <v>0:00</v>
      </c>
      <c r="AC55" s="303"/>
      <c r="AD55" s="77"/>
    </row>
    <row r="56" spans="2:30" ht="14.1" customHeight="1" x14ac:dyDescent="0.25">
      <c r="B56" s="173"/>
      <c r="C56" s="174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12"/>
      <c r="AA56" s="313"/>
      <c r="AB56" s="304"/>
      <c r="AC56" s="305"/>
      <c r="AD56" s="77"/>
    </row>
    <row r="57" spans="2:30" ht="14.1" customHeight="1" x14ac:dyDescent="0.25">
      <c r="B57" s="173"/>
      <c r="C57" s="174"/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10"/>
      <c r="AA57" s="311"/>
      <c r="AB57" s="306"/>
      <c r="AC57" s="307"/>
      <c r="AD57" s="77"/>
    </row>
    <row r="58" spans="2:30" ht="14.1" customHeight="1" x14ac:dyDescent="0.25">
      <c r="B58" s="173"/>
      <c r="C58" s="174"/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12"/>
      <c r="AA58" s="313"/>
      <c r="AB58" s="304"/>
      <c r="AC58" s="305"/>
      <c r="AD58" s="77"/>
    </row>
    <row r="59" spans="2:30" ht="14.1" customHeight="1" x14ac:dyDescent="0.25">
      <c r="B59" s="173"/>
      <c r="C59" s="174"/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10"/>
      <c r="AA59" s="311"/>
      <c r="AB59" s="306"/>
      <c r="AC59" s="307"/>
      <c r="AD59" s="77"/>
    </row>
    <row r="60" spans="2:30" ht="14.1" customHeight="1" x14ac:dyDescent="0.25">
      <c r="B60" s="173"/>
      <c r="C60" s="174"/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12"/>
      <c r="AA60" s="313"/>
      <c r="AB60" s="304"/>
      <c r="AC60" s="305"/>
      <c r="AD60" s="77"/>
    </row>
    <row r="61" spans="2:30" ht="14.1" customHeight="1" thickBot="1" x14ac:dyDescent="0.3">
      <c r="B61" s="227"/>
      <c r="C61" s="228"/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20"/>
      <c r="AA61" s="321"/>
      <c r="AB61" s="308"/>
      <c r="AC61" s="309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26"/>
      <c r="AA62" s="327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A1:AB1"/>
    <mergeCell ref="AB26:AC26"/>
    <mergeCell ref="P25:Q25"/>
    <mergeCell ref="R25:S25"/>
    <mergeCell ref="T25:U25"/>
    <mergeCell ref="V25:W25"/>
    <mergeCell ref="X25:Y25"/>
    <mergeCell ref="Z26:AA26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54</v>
      </c>
      <c r="AB1" t="s">
        <v>15</v>
      </c>
    </row>
    <row r="2" spans="4:28" x14ac:dyDescent="0.25">
      <c r="D2" t="s">
        <v>13</v>
      </c>
      <c r="E2" s="297"/>
      <c r="F2" s="297"/>
      <c r="G2" s="297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5"/>
      <c r="F4" s="345"/>
      <c r="G4" s="345"/>
      <c r="P4" t="s">
        <v>23</v>
      </c>
      <c r="Q4" t="s">
        <v>53</v>
      </c>
      <c r="T4" s="35"/>
      <c r="U4" t="s">
        <v>32</v>
      </c>
    </row>
    <row r="5" spans="4:28" x14ac:dyDescent="0.25">
      <c r="T5" s="36"/>
      <c r="U5" t="s">
        <v>33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</row>
    <row r="7" spans="4:28" ht="15.75" thickBot="1" x14ac:dyDescent="0.3"/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6" t="s">
        <v>17</v>
      </c>
      <c r="E17" s="347"/>
      <c r="F17" s="347"/>
      <c r="G17" s="348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L16" sqref="L1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9" t="s">
        <v>46</v>
      </c>
      <c r="M2" s="350"/>
      <c r="N2" s="350"/>
      <c r="O2" s="350"/>
      <c r="P2" s="350"/>
      <c r="Q2" s="351"/>
    </row>
    <row r="3" spans="1:17" ht="15.75" thickBot="1" x14ac:dyDescent="0.3">
      <c r="A3" s="1"/>
      <c r="B3" s="43"/>
      <c r="C3" s="28"/>
      <c r="D3" s="31"/>
      <c r="L3" s="352"/>
      <c r="M3" s="353"/>
      <c r="N3" s="353"/>
      <c r="O3" s="353"/>
      <c r="P3" s="353"/>
      <c r="Q3" s="354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5" t="s">
        <v>47</v>
      </c>
      <c r="O13" s="355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 t="s">
        <v>113</v>
      </c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52" t="s">
        <v>114</v>
      </c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11"/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297"/>
      <c r="D39" s="297"/>
      <c r="E39" s="9" t="s">
        <v>27</v>
      </c>
    </row>
    <row r="41" spans="1:17" s="39" customFormat="1" ht="15.75" x14ac:dyDescent="0.25">
      <c r="B41" s="39" t="s">
        <v>36</v>
      </c>
      <c r="C41" s="295"/>
      <c r="E41" s="40" t="s">
        <v>37</v>
      </c>
    </row>
    <row r="42" spans="1:17" s="39" customFormat="1" ht="15.75" x14ac:dyDescent="0.25">
      <c r="B42" s="39" t="s">
        <v>38</v>
      </c>
      <c r="C42" s="296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295"/>
      <c r="E44" s="10" t="s">
        <v>9</v>
      </c>
    </row>
    <row r="45" spans="1:17" x14ac:dyDescent="0.25">
      <c r="B45" s="8" t="s">
        <v>6</v>
      </c>
      <c r="C45" s="296"/>
      <c r="E45" s="10" t="s">
        <v>10</v>
      </c>
    </row>
    <row r="46" spans="1:17" x14ac:dyDescent="0.25">
      <c r="B46" s="8" t="s">
        <v>7</v>
      </c>
      <c r="C46" s="296"/>
    </row>
    <row r="47" spans="1:17" x14ac:dyDescent="0.25">
      <c r="B47" s="8" t="s">
        <v>8</v>
      </c>
      <c r="C47" s="296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O44" sqref="BO44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40"/>
      <c r="B2" s="341"/>
      <c r="C2" s="341"/>
      <c r="D2" s="341"/>
      <c r="E2" s="341"/>
      <c r="F2" s="341"/>
      <c r="G2" s="341"/>
      <c r="H2" s="366" t="s">
        <v>55</v>
      </c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7"/>
      <c r="U2" s="368">
        <v>0</v>
      </c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369"/>
      <c r="AI2" s="369"/>
      <c r="AJ2" s="369"/>
      <c r="AK2" s="369"/>
      <c r="AL2" s="369"/>
      <c r="AM2" s="369"/>
      <c r="AN2" s="369"/>
      <c r="AO2" s="360" t="s">
        <v>56</v>
      </c>
      <c r="AP2" s="361"/>
      <c r="AQ2" s="361"/>
      <c r="AR2" s="361"/>
      <c r="AS2" s="361"/>
      <c r="AT2" s="361"/>
      <c r="AU2" s="361"/>
      <c r="AV2" s="361"/>
      <c r="AW2" s="361"/>
      <c r="AX2" s="361"/>
      <c r="AY2" s="361"/>
      <c r="AZ2" s="361"/>
      <c r="BA2" s="362"/>
      <c r="BB2" s="363"/>
      <c r="BC2" s="364"/>
      <c r="BD2" s="364"/>
      <c r="BE2" s="364"/>
      <c r="BF2" s="364"/>
      <c r="BG2" s="364"/>
      <c r="BH2" s="364"/>
      <c r="BI2" s="364"/>
      <c r="BJ2" s="364"/>
      <c r="BK2" s="364"/>
      <c r="BL2" s="365"/>
    </row>
    <row r="3" spans="1:65" ht="15.75" thickBot="1" x14ac:dyDescent="0.3">
      <c r="A3" s="344">
        <v>1</v>
      </c>
      <c r="B3" s="344"/>
      <c r="C3" s="344">
        <v>2</v>
      </c>
      <c r="D3" s="344"/>
      <c r="E3" s="344">
        <v>3</v>
      </c>
      <c r="F3" s="344"/>
      <c r="G3" s="344">
        <v>4</v>
      </c>
      <c r="H3" s="344"/>
      <c r="I3" s="300">
        <v>5</v>
      </c>
      <c r="J3" s="301"/>
      <c r="K3" s="300">
        <v>6</v>
      </c>
      <c r="L3" s="301"/>
      <c r="M3" s="300">
        <v>7</v>
      </c>
      <c r="N3" s="301"/>
      <c r="O3" s="300">
        <v>8</v>
      </c>
      <c r="P3" s="301"/>
      <c r="Q3" s="300">
        <v>9</v>
      </c>
      <c r="R3" s="301"/>
      <c r="S3" s="300">
        <v>10</v>
      </c>
      <c r="T3" s="299"/>
      <c r="U3" s="298">
        <v>1</v>
      </c>
      <c r="V3" s="301"/>
      <c r="W3" s="300">
        <v>2</v>
      </c>
      <c r="X3" s="301"/>
      <c r="Y3" s="300">
        <v>3</v>
      </c>
      <c r="Z3" s="301"/>
      <c r="AA3" s="300">
        <v>4</v>
      </c>
      <c r="AB3" s="301"/>
      <c r="AC3" s="300">
        <v>5</v>
      </c>
      <c r="AD3" s="301"/>
      <c r="AE3" s="300">
        <v>6</v>
      </c>
      <c r="AF3" s="301"/>
      <c r="AG3" s="300">
        <v>7</v>
      </c>
      <c r="AH3" s="301"/>
      <c r="AI3" s="300">
        <v>8</v>
      </c>
      <c r="AJ3" s="301"/>
      <c r="AK3" s="300">
        <v>9</v>
      </c>
      <c r="AL3" s="301"/>
      <c r="AM3" s="300">
        <v>10</v>
      </c>
      <c r="AN3" s="299"/>
      <c r="AO3" s="357" t="s">
        <v>57</v>
      </c>
      <c r="AP3" s="358"/>
      <c r="AQ3" s="358"/>
      <c r="AR3" s="359"/>
      <c r="AS3" s="357" t="s">
        <v>58</v>
      </c>
      <c r="AT3" s="358"/>
      <c r="AU3" s="358"/>
      <c r="AV3" s="358"/>
      <c r="AW3" s="358"/>
      <c r="AX3" s="358"/>
      <c r="AY3" s="298" t="s">
        <v>59</v>
      </c>
      <c r="AZ3" s="356"/>
      <c r="BA3" s="299"/>
      <c r="BB3" s="370" t="s">
        <v>60</v>
      </c>
      <c r="BC3" s="371"/>
      <c r="BD3" s="371"/>
      <c r="BE3" s="371"/>
      <c r="BF3" s="371"/>
      <c r="BG3" s="371"/>
      <c r="BH3" s="371"/>
      <c r="BI3" s="371"/>
      <c r="BJ3" s="371"/>
      <c r="BK3" s="371"/>
      <c r="BL3" s="372"/>
    </row>
    <row r="4" spans="1:65" ht="12.75" customHeight="1" x14ac:dyDescent="0.25">
      <c r="A4" s="80" t="s">
        <v>61</v>
      </c>
      <c r="B4" s="80" t="s">
        <v>62</v>
      </c>
      <c r="C4" s="80" t="s">
        <v>61</v>
      </c>
      <c r="D4" s="80" t="s">
        <v>62</v>
      </c>
      <c r="E4" s="80" t="s">
        <v>61</v>
      </c>
      <c r="F4" s="80" t="s">
        <v>62</v>
      </c>
      <c r="G4" s="80" t="s">
        <v>61</v>
      </c>
      <c r="H4" s="80" t="s">
        <v>62</v>
      </c>
      <c r="I4" s="80" t="s">
        <v>61</v>
      </c>
      <c r="J4" s="80" t="s">
        <v>62</v>
      </c>
      <c r="K4" s="80" t="s">
        <v>61</v>
      </c>
      <c r="L4" s="80" t="s">
        <v>62</v>
      </c>
      <c r="M4" s="80" t="s">
        <v>61</v>
      </c>
      <c r="N4" s="80" t="s">
        <v>62</v>
      </c>
      <c r="O4" s="80" t="s">
        <v>61</v>
      </c>
      <c r="P4" s="80" t="s">
        <v>62</v>
      </c>
      <c r="Q4" s="80" t="s">
        <v>61</v>
      </c>
      <c r="R4" s="80" t="s">
        <v>62</v>
      </c>
      <c r="S4" s="80" t="s">
        <v>61</v>
      </c>
      <c r="T4" s="81" t="s">
        <v>62</v>
      </c>
      <c r="U4" s="80" t="s">
        <v>61</v>
      </c>
      <c r="V4" s="80" t="s">
        <v>62</v>
      </c>
      <c r="W4" s="80" t="s">
        <v>61</v>
      </c>
      <c r="X4" s="80" t="s">
        <v>62</v>
      </c>
      <c r="Y4" s="80" t="s">
        <v>61</v>
      </c>
      <c r="Z4" s="80" t="s">
        <v>62</v>
      </c>
      <c r="AA4" s="80" t="s">
        <v>61</v>
      </c>
      <c r="AB4" s="80" t="s">
        <v>62</v>
      </c>
      <c r="AC4" s="80" t="s">
        <v>61</v>
      </c>
      <c r="AD4" s="80" t="s">
        <v>62</v>
      </c>
      <c r="AE4" s="80" t="s">
        <v>61</v>
      </c>
      <c r="AF4" s="80" t="s">
        <v>62</v>
      </c>
      <c r="AG4" s="80" t="s">
        <v>61</v>
      </c>
      <c r="AH4" s="80" t="s">
        <v>62</v>
      </c>
      <c r="AI4" s="80" t="s">
        <v>61</v>
      </c>
      <c r="AJ4" s="80" t="s">
        <v>62</v>
      </c>
      <c r="AK4" s="80" t="s">
        <v>61</v>
      </c>
      <c r="AL4" s="80" t="s">
        <v>62</v>
      </c>
      <c r="AM4" s="80" t="s">
        <v>61</v>
      </c>
      <c r="AN4" s="81" t="s">
        <v>62</v>
      </c>
      <c r="AO4" s="82" t="s">
        <v>63</v>
      </c>
      <c r="AP4" s="83" t="s">
        <v>64</v>
      </c>
      <c r="AQ4" s="83" t="s">
        <v>65</v>
      </c>
      <c r="AR4" s="84" t="s">
        <v>66</v>
      </c>
      <c r="AS4" s="85" t="s">
        <v>61</v>
      </c>
      <c r="AT4" s="86" t="s">
        <v>4</v>
      </c>
      <c r="AU4" s="86" t="s">
        <v>67</v>
      </c>
      <c r="AV4" s="86" t="s">
        <v>4</v>
      </c>
      <c r="AW4" s="86" t="s">
        <v>68</v>
      </c>
      <c r="AX4" s="86" t="s">
        <v>62</v>
      </c>
      <c r="AY4" s="85" t="s">
        <v>69</v>
      </c>
      <c r="AZ4" s="86" t="s">
        <v>70</v>
      </c>
      <c r="BA4" s="87" t="s">
        <v>71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72</v>
      </c>
      <c r="BM4" s="89" t="s">
        <v>73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>ROUNDUP((V5 - U5) * 288, 0) / 288</f>
        <v>0</v>
      </c>
      <c r="BC5" s="102">
        <f>ROUNDUP((X5 - W5) * 288, 0) / 288</f>
        <v>0</v>
      </c>
      <c r="BD5" s="102">
        <f>ROUNDUP((Z5 - Y5) * 288, 0) / 288</f>
        <v>0</v>
      </c>
      <c r="BE5" s="102">
        <f>ROUNDUP((AB5 - AA5) * 288, 0) / 288</f>
        <v>0</v>
      </c>
      <c r="BF5" s="102">
        <f>ROUNDUP((AD5 - AC5) * 288, 0) / 288</f>
        <v>0</v>
      </c>
      <c r="BG5" s="102">
        <f>ROUNDUP((AF5 - AE5) * 288, 0) / 288</f>
        <v>0</v>
      </c>
      <c r="BH5" s="102">
        <f>ROUNDUP((AH5 - AG5) * 288, 0) / 288</f>
        <v>0</v>
      </c>
      <c r="BI5" s="102">
        <f>ROUNDUP((AJ5 - AI5) * 288, 0) / 288</f>
        <v>0</v>
      </c>
      <c r="BJ5" s="102">
        <f>ROUNDUP((AL5 - AK5) * 288, 0) / 288</f>
        <v>0</v>
      </c>
      <c r="BK5" s="103">
        <f>ROUNDUP((AN5 - AM5) * 288, 0) / 288</f>
        <v>0</v>
      </c>
      <c r="BL5" s="104">
        <f t="shared" ref="BL5:BL42" si="1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>ROUNDUP((V6 - U6) * 288, 0) / 288</f>
        <v>0</v>
      </c>
      <c r="BC6" s="117">
        <f>ROUNDUP((X6 - W6) * 288, 0) / 288</f>
        <v>0</v>
      </c>
      <c r="BD6" s="117">
        <f>ROUNDUP((Z6 - Y6) * 288, 0) / 288</f>
        <v>0</v>
      </c>
      <c r="BE6" s="117">
        <f>ROUNDUP((AB6 - AA6) * 288, 0) / 288</f>
        <v>0</v>
      </c>
      <c r="BF6" s="117">
        <f>ROUNDUP((AD6 - AC6) * 288, 0) / 288</f>
        <v>0</v>
      </c>
      <c r="BG6" s="117">
        <f>ROUNDUP((AF6 - AE6) * 288, 0) / 288</f>
        <v>0</v>
      </c>
      <c r="BH6" s="117">
        <f>ROUNDUP((AH6 - AG6) * 288, 0) / 288</f>
        <v>0</v>
      </c>
      <c r="BI6" s="117">
        <f>ROUNDUP((AJ6 - AI6) * 288, 0) / 288</f>
        <v>0</v>
      </c>
      <c r="BJ6" s="117">
        <f>ROUNDUP((AL6 - AK6) * 288, 0) / 288</f>
        <v>0</v>
      </c>
      <c r="BK6" s="117">
        <f>ROUNDUP((AN6 - AM6) * 288, 0) / 288</f>
        <v>0</v>
      </c>
      <c r="BL6" s="118">
        <f t="shared" si="1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 t="shared" ref="BB7:BB42" si="14">ROUNDUP((V7 - U7) * 288, 0) / 288</f>
        <v>0</v>
      </c>
      <c r="BC7" s="117">
        <f t="shared" ref="BC7:BC42" si="15">ROUNDUP((X7 - W7) * 288, 0) / 288</f>
        <v>0</v>
      </c>
      <c r="BD7" s="117">
        <f t="shared" ref="BD7:BD42" si="16">ROUNDUP((Z7 - Y7) * 288, 0) / 288</f>
        <v>0</v>
      </c>
      <c r="BE7" s="117">
        <f t="shared" ref="BE7:BE42" si="17">ROUNDUP((AB7 - AA7) * 288, 0) / 288</f>
        <v>0</v>
      </c>
      <c r="BF7" s="117">
        <f t="shared" ref="BF7:BF42" si="18">ROUNDUP((AD7 - AC7) * 288, 0) / 288</f>
        <v>0</v>
      </c>
      <c r="BG7" s="117">
        <f t="shared" ref="BG7:BG42" si="19">ROUNDUP((AF7 - AE7) * 288, 0) / 288</f>
        <v>0</v>
      </c>
      <c r="BH7" s="117">
        <f t="shared" ref="BH7:BH42" si="20">ROUNDUP((AH7 - AG7) * 288, 0) / 288</f>
        <v>0</v>
      </c>
      <c r="BI7" s="117">
        <f t="shared" ref="BI7:BI42" si="21">ROUNDUP((AJ7 - AI7) * 288, 0) / 288</f>
        <v>0</v>
      </c>
      <c r="BJ7" s="117">
        <f t="shared" ref="BJ7:BJ42" si="22">ROUNDUP((AL7 - AK7) * 288, 0) / 288</f>
        <v>0</v>
      </c>
      <c r="BK7" s="117">
        <f t="shared" ref="BK7:BK42" si="23">ROUNDUP((AN7 - AM7) * 288, 0) / 288</f>
        <v>0</v>
      </c>
      <c r="BL7" s="118">
        <f t="shared" si="13"/>
        <v>0</v>
      </c>
      <c r="BM7" s="105">
        <v>0</v>
      </c>
    </row>
    <row r="8" spans="1:65" x14ac:dyDescent="0.25">
      <c r="A8" s="106">
        <v>0</v>
      </c>
      <c r="B8" s="107">
        <v>0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</v>
      </c>
      <c r="V8" s="107">
        <v>0</v>
      </c>
      <c r="W8" s="106">
        <v>0</v>
      </c>
      <c r="X8" s="107">
        <v>0</v>
      </c>
      <c r="Y8" s="106">
        <v>0</v>
      </c>
      <c r="Z8" s="107">
        <v>0</v>
      </c>
      <c r="AA8" s="106">
        <v>0</v>
      </c>
      <c r="AB8" s="107">
        <v>0</v>
      </c>
      <c r="AC8" s="109">
        <v>0</v>
      </c>
      <c r="AD8" s="107">
        <v>0</v>
      </c>
      <c r="AE8" s="109">
        <v>0</v>
      </c>
      <c r="AF8" s="107">
        <v>0</v>
      </c>
      <c r="AG8" s="109">
        <v>0</v>
      </c>
      <c r="AH8" s="107">
        <v>0</v>
      </c>
      <c r="AI8" s="109">
        <v>0</v>
      </c>
      <c r="AJ8" s="107">
        <v>0</v>
      </c>
      <c r="AK8" s="109">
        <v>0</v>
      </c>
      <c r="AL8" s="107">
        <v>0</v>
      </c>
      <c r="AM8" s="106">
        <v>0</v>
      </c>
      <c r="AN8" s="110">
        <v>0</v>
      </c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</v>
      </c>
      <c r="AT8" s="115">
        <f t="shared" si="5"/>
        <v>0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 t="shared" si="14"/>
        <v>0</v>
      </c>
      <c r="BC8" s="117">
        <f t="shared" si="15"/>
        <v>0</v>
      </c>
      <c r="BD8" s="117">
        <f t="shared" si="16"/>
        <v>0</v>
      </c>
      <c r="BE8" s="117">
        <f t="shared" si="17"/>
        <v>0</v>
      </c>
      <c r="BF8" s="117">
        <f t="shared" si="18"/>
        <v>0</v>
      </c>
      <c r="BG8" s="117">
        <f t="shared" si="19"/>
        <v>0</v>
      </c>
      <c r="BH8" s="117">
        <f t="shared" si="20"/>
        <v>0</v>
      </c>
      <c r="BI8" s="117">
        <f t="shared" si="21"/>
        <v>0</v>
      </c>
      <c r="BJ8" s="117">
        <f t="shared" si="22"/>
        <v>0</v>
      </c>
      <c r="BK8" s="117">
        <f t="shared" si="23"/>
        <v>0</v>
      </c>
      <c r="BL8" s="118">
        <f t="shared" si="13"/>
        <v>0</v>
      </c>
      <c r="BM8" s="105">
        <v>0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 t="shared" si="14"/>
        <v>0</v>
      </c>
      <c r="BC9" s="117">
        <f t="shared" si="15"/>
        <v>0</v>
      </c>
      <c r="BD9" s="117">
        <f t="shared" si="16"/>
        <v>0</v>
      </c>
      <c r="BE9" s="117">
        <f t="shared" si="17"/>
        <v>0</v>
      </c>
      <c r="BF9" s="117">
        <f t="shared" si="18"/>
        <v>0</v>
      </c>
      <c r="BG9" s="117">
        <f t="shared" si="19"/>
        <v>0</v>
      </c>
      <c r="BH9" s="117">
        <f t="shared" si="20"/>
        <v>0</v>
      </c>
      <c r="BI9" s="117">
        <f t="shared" si="21"/>
        <v>0</v>
      </c>
      <c r="BJ9" s="117">
        <f t="shared" si="22"/>
        <v>0</v>
      </c>
      <c r="BK9" s="117">
        <f t="shared" si="23"/>
        <v>0</v>
      </c>
      <c r="BL9" s="118">
        <f t="shared" si="1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 t="shared" si="14"/>
        <v>0</v>
      </c>
      <c r="BC10" s="117">
        <f t="shared" si="15"/>
        <v>0</v>
      </c>
      <c r="BD10" s="117">
        <f t="shared" si="16"/>
        <v>0</v>
      </c>
      <c r="BE10" s="117">
        <f t="shared" si="17"/>
        <v>0</v>
      </c>
      <c r="BF10" s="117">
        <f t="shared" si="18"/>
        <v>0</v>
      </c>
      <c r="BG10" s="117">
        <f t="shared" si="19"/>
        <v>0</v>
      </c>
      <c r="BH10" s="117">
        <f t="shared" si="20"/>
        <v>0</v>
      </c>
      <c r="BI10" s="117">
        <f t="shared" si="21"/>
        <v>0</v>
      </c>
      <c r="BJ10" s="117">
        <f t="shared" si="22"/>
        <v>0</v>
      </c>
      <c r="BK10" s="117">
        <f t="shared" si="23"/>
        <v>0</v>
      </c>
      <c r="BL10" s="118">
        <f t="shared" si="1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 t="shared" si="14"/>
        <v>0</v>
      </c>
      <c r="BC11" s="117">
        <f t="shared" si="15"/>
        <v>0</v>
      </c>
      <c r="BD11" s="117">
        <f t="shared" si="16"/>
        <v>0</v>
      </c>
      <c r="BE11" s="117">
        <f t="shared" si="17"/>
        <v>0</v>
      </c>
      <c r="BF11" s="117">
        <f t="shared" si="18"/>
        <v>0</v>
      </c>
      <c r="BG11" s="117">
        <f t="shared" si="19"/>
        <v>0</v>
      </c>
      <c r="BH11" s="117">
        <f t="shared" si="20"/>
        <v>0</v>
      </c>
      <c r="BI11" s="117">
        <f t="shared" si="21"/>
        <v>0</v>
      </c>
      <c r="BJ11" s="117">
        <f t="shared" si="22"/>
        <v>0</v>
      </c>
      <c r="BK11" s="117">
        <f t="shared" si="23"/>
        <v>0</v>
      </c>
      <c r="BL11" s="118">
        <f t="shared" si="1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 t="shared" si="14"/>
        <v>0</v>
      </c>
      <c r="BC12" s="117">
        <f t="shared" si="15"/>
        <v>0</v>
      </c>
      <c r="BD12" s="117">
        <f t="shared" si="16"/>
        <v>0</v>
      </c>
      <c r="BE12" s="117">
        <f t="shared" si="17"/>
        <v>0</v>
      </c>
      <c r="BF12" s="117">
        <f t="shared" si="18"/>
        <v>0</v>
      </c>
      <c r="BG12" s="117">
        <f t="shared" si="19"/>
        <v>0</v>
      </c>
      <c r="BH12" s="117">
        <f t="shared" si="20"/>
        <v>0</v>
      </c>
      <c r="BI12" s="117">
        <f t="shared" si="21"/>
        <v>0</v>
      </c>
      <c r="BJ12" s="117">
        <f t="shared" si="22"/>
        <v>0</v>
      </c>
      <c r="BK12" s="117">
        <f t="shared" si="23"/>
        <v>0</v>
      </c>
      <c r="BL12" s="118">
        <f t="shared" si="1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 t="shared" si="14"/>
        <v>0</v>
      </c>
      <c r="BC13" s="117">
        <f t="shared" si="15"/>
        <v>0</v>
      </c>
      <c r="BD13" s="117">
        <f t="shared" si="16"/>
        <v>0</v>
      </c>
      <c r="BE13" s="117">
        <f t="shared" si="17"/>
        <v>0</v>
      </c>
      <c r="BF13" s="117">
        <f t="shared" si="18"/>
        <v>0</v>
      </c>
      <c r="BG13" s="117">
        <f t="shared" si="19"/>
        <v>0</v>
      </c>
      <c r="BH13" s="117">
        <f t="shared" si="20"/>
        <v>0</v>
      </c>
      <c r="BI13" s="117">
        <f t="shared" si="21"/>
        <v>0</v>
      </c>
      <c r="BJ13" s="117">
        <f t="shared" si="22"/>
        <v>0</v>
      </c>
      <c r="BK13" s="117">
        <f t="shared" si="23"/>
        <v>0</v>
      </c>
      <c r="BL13" s="118">
        <f t="shared" si="1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 t="shared" si="14"/>
        <v>0</v>
      </c>
      <c r="BC14" s="117">
        <f t="shared" si="15"/>
        <v>0</v>
      </c>
      <c r="BD14" s="117">
        <f t="shared" si="16"/>
        <v>0</v>
      </c>
      <c r="BE14" s="117">
        <f t="shared" si="17"/>
        <v>0</v>
      </c>
      <c r="BF14" s="117">
        <f t="shared" si="18"/>
        <v>0</v>
      </c>
      <c r="BG14" s="117">
        <f t="shared" si="19"/>
        <v>0</v>
      </c>
      <c r="BH14" s="117">
        <f t="shared" si="20"/>
        <v>0</v>
      </c>
      <c r="BI14" s="117">
        <f t="shared" si="21"/>
        <v>0</v>
      </c>
      <c r="BJ14" s="117">
        <f t="shared" si="22"/>
        <v>0</v>
      </c>
      <c r="BK14" s="117">
        <f t="shared" si="23"/>
        <v>0</v>
      </c>
      <c r="BL14" s="118">
        <f t="shared" si="1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 t="shared" si="14"/>
        <v>0</v>
      </c>
      <c r="BC15" s="117">
        <f t="shared" si="15"/>
        <v>0</v>
      </c>
      <c r="BD15" s="117">
        <f t="shared" si="16"/>
        <v>0</v>
      </c>
      <c r="BE15" s="117">
        <f t="shared" si="17"/>
        <v>0</v>
      </c>
      <c r="BF15" s="117">
        <f t="shared" si="18"/>
        <v>0</v>
      </c>
      <c r="BG15" s="117">
        <f t="shared" si="19"/>
        <v>0</v>
      </c>
      <c r="BH15" s="117">
        <f t="shared" si="20"/>
        <v>0</v>
      </c>
      <c r="BI15" s="117">
        <f t="shared" si="21"/>
        <v>0</v>
      </c>
      <c r="BJ15" s="117">
        <f t="shared" si="22"/>
        <v>0</v>
      </c>
      <c r="BK15" s="117">
        <f t="shared" si="23"/>
        <v>0</v>
      </c>
      <c r="BL15" s="118">
        <f t="shared" si="1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 t="shared" si="14"/>
        <v>0</v>
      </c>
      <c r="BC16" s="117">
        <f t="shared" si="15"/>
        <v>0</v>
      </c>
      <c r="BD16" s="117">
        <f t="shared" si="16"/>
        <v>0</v>
      </c>
      <c r="BE16" s="117">
        <f t="shared" si="17"/>
        <v>0</v>
      </c>
      <c r="BF16" s="117">
        <f t="shared" si="18"/>
        <v>0</v>
      </c>
      <c r="BG16" s="117">
        <f t="shared" si="19"/>
        <v>0</v>
      </c>
      <c r="BH16" s="117">
        <f t="shared" si="20"/>
        <v>0</v>
      </c>
      <c r="BI16" s="117">
        <f t="shared" si="21"/>
        <v>0</v>
      </c>
      <c r="BJ16" s="117">
        <f t="shared" si="22"/>
        <v>0</v>
      </c>
      <c r="BK16" s="117">
        <f t="shared" si="23"/>
        <v>0</v>
      </c>
      <c r="BL16" s="118">
        <f t="shared" si="1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 t="shared" si="14"/>
        <v>0</v>
      </c>
      <c r="BC17" s="117">
        <f t="shared" si="15"/>
        <v>0</v>
      </c>
      <c r="BD17" s="117">
        <f t="shared" si="16"/>
        <v>0</v>
      </c>
      <c r="BE17" s="117">
        <f t="shared" si="17"/>
        <v>0</v>
      </c>
      <c r="BF17" s="117">
        <f t="shared" si="18"/>
        <v>0</v>
      </c>
      <c r="BG17" s="117">
        <f t="shared" si="19"/>
        <v>0</v>
      </c>
      <c r="BH17" s="117">
        <f t="shared" si="20"/>
        <v>0</v>
      </c>
      <c r="BI17" s="117">
        <f t="shared" si="21"/>
        <v>0</v>
      </c>
      <c r="BJ17" s="117">
        <f t="shared" si="22"/>
        <v>0</v>
      </c>
      <c r="BK17" s="117">
        <f t="shared" si="23"/>
        <v>0</v>
      </c>
      <c r="BL17" s="118">
        <f t="shared" si="1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 t="shared" si="14"/>
        <v>0</v>
      </c>
      <c r="BC18" s="117">
        <f t="shared" si="15"/>
        <v>0</v>
      </c>
      <c r="BD18" s="117">
        <f t="shared" si="16"/>
        <v>0</v>
      </c>
      <c r="BE18" s="117">
        <f t="shared" si="17"/>
        <v>0</v>
      </c>
      <c r="BF18" s="117">
        <f t="shared" si="18"/>
        <v>0</v>
      </c>
      <c r="BG18" s="117">
        <f t="shared" si="19"/>
        <v>0</v>
      </c>
      <c r="BH18" s="117">
        <f t="shared" si="20"/>
        <v>0</v>
      </c>
      <c r="BI18" s="117">
        <f t="shared" si="21"/>
        <v>0</v>
      </c>
      <c r="BJ18" s="117">
        <f t="shared" si="22"/>
        <v>0</v>
      </c>
      <c r="BK18" s="117">
        <f t="shared" si="23"/>
        <v>0</v>
      </c>
      <c r="BL18" s="118">
        <f t="shared" si="1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 t="shared" si="14"/>
        <v>0</v>
      </c>
      <c r="BC19" s="117">
        <f t="shared" si="15"/>
        <v>0</v>
      </c>
      <c r="BD19" s="117">
        <f t="shared" si="16"/>
        <v>0</v>
      </c>
      <c r="BE19" s="117">
        <f t="shared" si="17"/>
        <v>0</v>
      </c>
      <c r="BF19" s="117">
        <f t="shared" si="18"/>
        <v>0</v>
      </c>
      <c r="BG19" s="117">
        <f t="shared" si="19"/>
        <v>0</v>
      </c>
      <c r="BH19" s="117">
        <f t="shared" si="20"/>
        <v>0</v>
      </c>
      <c r="BI19" s="117">
        <f t="shared" si="21"/>
        <v>0</v>
      </c>
      <c r="BJ19" s="117">
        <f t="shared" si="22"/>
        <v>0</v>
      </c>
      <c r="BK19" s="117">
        <f t="shared" si="23"/>
        <v>0</v>
      </c>
      <c r="BL19" s="118">
        <f t="shared" si="1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 t="shared" si="14"/>
        <v>0</v>
      </c>
      <c r="BC20" s="117">
        <f t="shared" si="15"/>
        <v>0</v>
      </c>
      <c r="BD20" s="117">
        <f t="shared" si="16"/>
        <v>0</v>
      </c>
      <c r="BE20" s="117">
        <f t="shared" si="17"/>
        <v>0</v>
      </c>
      <c r="BF20" s="117">
        <f t="shared" si="18"/>
        <v>0</v>
      </c>
      <c r="BG20" s="117">
        <f t="shared" si="19"/>
        <v>0</v>
      </c>
      <c r="BH20" s="117">
        <f t="shared" si="20"/>
        <v>0</v>
      </c>
      <c r="BI20" s="117">
        <f t="shared" si="21"/>
        <v>0</v>
      </c>
      <c r="BJ20" s="117">
        <f t="shared" si="22"/>
        <v>0</v>
      </c>
      <c r="BK20" s="117">
        <f t="shared" si="23"/>
        <v>0</v>
      </c>
      <c r="BL20" s="118">
        <f t="shared" si="1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 t="shared" si="14"/>
        <v>0</v>
      </c>
      <c r="BC21" s="117">
        <f t="shared" si="15"/>
        <v>0</v>
      </c>
      <c r="BD21" s="117">
        <f t="shared" si="16"/>
        <v>0</v>
      </c>
      <c r="BE21" s="117">
        <f t="shared" si="17"/>
        <v>0</v>
      </c>
      <c r="BF21" s="117">
        <f t="shared" si="18"/>
        <v>0</v>
      </c>
      <c r="BG21" s="117">
        <f t="shared" si="19"/>
        <v>0</v>
      </c>
      <c r="BH21" s="117">
        <f t="shared" si="20"/>
        <v>0</v>
      </c>
      <c r="BI21" s="117">
        <f t="shared" si="21"/>
        <v>0</v>
      </c>
      <c r="BJ21" s="117">
        <f t="shared" si="22"/>
        <v>0</v>
      </c>
      <c r="BK21" s="117">
        <f t="shared" si="23"/>
        <v>0</v>
      </c>
      <c r="BL21" s="118">
        <f t="shared" si="1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 t="shared" si="14"/>
        <v>0</v>
      </c>
      <c r="BC22" s="117">
        <f t="shared" si="15"/>
        <v>0</v>
      </c>
      <c r="BD22" s="117">
        <f t="shared" si="16"/>
        <v>0</v>
      </c>
      <c r="BE22" s="117">
        <f t="shared" si="17"/>
        <v>0</v>
      </c>
      <c r="BF22" s="117">
        <f t="shared" si="18"/>
        <v>0</v>
      </c>
      <c r="BG22" s="117">
        <f t="shared" si="19"/>
        <v>0</v>
      </c>
      <c r="BH22" s="117">
        <f t="shared" si="20"/>
        <v>0</v>
      </c>
      <c r="BI22" s="117">
        <f t="shared" si="21"/>
        <v>0</v>
      </c>
      <c r="BJ22" s="117">
        <f t="shared" si="22"/>
        <v>0</v>
      </c>
      <c r="BK22" s="117">
        <f t="shared" si="23"/>
        <v>0</v>
      </c>
      <c r="BL22" s="118">
        <f t="shared" si="1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 t="shared" si="14"/>
        <v>0</v>
      </c>
      <c r="BC23" s="117">
        <f t="shared" si="15"/>
        <v>0</v>
      </c>
      <c r="BD23" s="117">
        <f t="shared" si="16"/>
        <v>0</v>
      </c>
      <c r="BE23" s="117">
        <f t="shared" si="17"/>
        <v>0</v>
      </c>
      <c r="BF23" s="117">
        <f t="shared" si="18"/>
        <v>0</v>
      </c>
      <c r="BG23" s="117">
        <f t="shared" si="19"/>
        <v>0</v>
      </c>
      <c r="BH23" s="117">
        <f t="shared" si="20"/>
        <v>0</v>
      </c>
      <c r="BI23" s="117">
        <f t="shared" si="21"/>
        <v>0</v>
      </c>
      <c r="BJ23" s="117">
        <f t="shared" si="22"/>
        <v>0</v>
      </c>
      <c r="BK23" s="117">
        <f t="shared" si="23"/>
        <v>0</v>
      </c>
      <c r="BL23" s="118">
        <f t="shared" si="1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 t="shared" si="14"/>
        <v>0</v>
      </c>
      <c r="BC24" s="117">
        <f t="shared" si="15"/>
        <v>0</v>
      </c>
      <c r="BD24" s="117">
        <f t="shared" si="16"/>
        <v>0</v>
      </c>
      <c r="BE24" s="117">
        <f t="shared" si="17"/>
        <v>0</v>
      </c>
      <c r="BF24" s="117">
        <f t="shared" si="18"/>
        <v>0</v>
      </c>
      <c r="BG24" s="117">
        <f t="shared" si="19"/>
        <v>0</v>
      </c>
      <c r="BH24" s="117">
        <f t="shared" si="20"/>
        <v>0</v>
      </c>
      <c r="BI24" s="117">
        <f t="shared" si="21"/>
        <v>0</v>
      </c>
      <c r="BJ24" s="117">
        <f t="shared" si="22"/>
        <v>0</v>
      </c>
      <c r="BK24" s="117">
        <f t="shared" si="23"/>
        <v>0</v>
      </c>
      <c r="BL24" s="118">
        <f t="shared" si="1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 t="shared" si="14"/>
        <v>0</v>
      </c>
      <c r="BC25" s="117">
        <f t="shared" si="15"/>
        <v>0</v>
      </c>
      <c r="BD25" s="117">
        <f t="shared" si="16"/>
        <v>0</v>
      </c>
      <c r="BE25" s="117">
        <f t="shared" si="17"/>
        <v>0</v>
      </c>
      <c r="BF25" s="117">
        <f t="shared" si="18"/>
        <v>0</v>
      </c>
      <c r="BG25" s="117">
        <f t="shared" si="19"/>
        <v>0</v>
      </c>
      <c r="BH25" s="117">
        <f t="shared" si="20"/>
        <v>0</v>
      </c>
      <c r="BI25" s="117">
        <f t="shared" si="21"/>
        <v>0</v>
      </c>
      <c r="BJ25" s="117">
        <f t="shared" si="22"/>
        <v>0</v>
      </c>
      <c r="BK25" s="117">
        <f t="shared" si="23"/>
        <v>0</v>
      </c>
      <c r="BL25" s="118">
        <f t="shared" si="1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 t="shared" si="14"/>
        <v>0</v>
      </c>
      <c r="BC26" s="117">
        <f t="shared" si="15"/>
        <v>0</v>
      </c>
      <c r="BD26" s="117">
        <f t="shared" si="16"/>
        <v>0</v>
      </c>
      <c r="BE26" s="117">
        <f t="shared" si="17"/>
        <v>0</v>
      </c>
      <c r="BF26" s="117">
        <f t="shared" si="18"/>
        <v>0</v>
      </c>
      <c r="BG26" s="117">
        <f t="shared" si="19"/>
        <v>0</v>
      </c>
      <c r="BH26" s="117">
        <f t="shared" si="20"/>
        <v>0</v>
      </c>
      <c r="BI26" s="117">
        <f t="shared" si="21"/>
        <v>0</v>
      </c>
      <c r="BJ26" s="117">
        <f t="shared" si="22"/>
        <v>0</v>
      </c>
      <c r="BK26" s="117">
        <f t="shared" si="23"/>
        <v>0</v>
      </c>
      <c r="BL26" s="118">
        <f t="shared" si="1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 t="shared" si="14"/>
        <v>0</v>
      </c>
      <c r="BC27" s="117">
        <f t="shared" si="15"/>
        <v>0</v>
      </c>
      <c r="BD27" s="117">
        <f t="shared" si="16"/>
        <v>0</v>
      </c>
      <c r="BE27" s="117">
        <f t="shared" si="17"/>
        <v>0</v>
      </c>
      <c r="BF27" s="117">
        <f t="shared" si="18"/>
        <v>0</v>
      </c>
      <c r="BG27" s="117">
        <f t="shared" si="19"/>
        <v>0</v>
      </c>
      <c r="BH27" s="117">
        <f t="shared" si="20"/>
        <v>0</v>
      </c>
      <c r="BI27" s="117">
        <f t="shared" si="21"/>
        <v>0</v>
      </c>
      <c r="BJ27" s="117">
        <f t="shared" si="22"/>
        <v>0</v>
      </c>
      <c r="BK27" s="117">
        <f t="shared" si="23"/>
        <v>0</v>
      </c>
      <c r="BL27" s="118">
        <f t="shared" si="1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 t="shared" si="14"/>
        <v>0</v>
      </c>
      <c r="BC28" s="117">
        <f t="shared" si="15"/>
        <v>0</v>
      </c>
      <c r="BD28" s="117">
        <f t="shared" si="16"/>
        <v>0</v>
      </c>
      <c r="BE28" s="117">
        <f t="shared" si="17"/>
        <v>0</v>
      </c>
      <c r="BF28" s="117">
        <f t="shared" si="18"/>
        <v>0</v>
      </c>
      <c r="BG28" s="117">
        <f t="shared" si="19"/>
        <v>0</v>
      </c>
      <c r="BH28" s="117">
        <f t="shared" si="20"/>
        <v>0</v>
      </c>
      <c r="BI28" s="117">
        <f t="shared" si="21"/>
        <v>0</v>
      </c>
      <c r="BJ28" s="117">
        <f t="shared" si="22"/>
        <v>0</v>
      </c>
      <c r="BK28" s="117">
        <f t="shared" si="23"/>
        <v>0</v>
      </c>
      <c r="BL28" s="118">
        <f t="shared" si="1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 t="shared" si="14"/>
        <v>0</v>
      </c>
      <c r="BC29" s="117">
        <f t="shared" si="15"/>
        <v>0</v>
      </c>
      <c r="BD29" s="117">
        <f t="shared" si="16"/>
        <v>0</v>
      </c>
      <c r="BE29" s="117">
        <f t="shared" si="17"/>
        <v>0</v>
      </c>
      <c r="BF29" s="117">
        <f t="shared" si="18"/>
        <v>0</v>
      </c>
      <c r="BG29" s="117">
        <f t="shared" si="19"/>
        <v>0</v>
      </c>
      <c r="BH29" s="117">
        <f t="shared" si="20"/>
        <v>0</v>
      </c>
      <c r="BI29" s="117">
        <f t="shared" si="21"/>
        <v>0</v>
      </c>
      <c r="BJ29" s="117">
        <f t="shared" si="22"/>
        <v>0</v>
      </c>
      <c r="BK29" s="117">
        <f t="shared" si="23"/>
        <v>0</v>
      </c>
      <c r="BL29" s="118">
        <f t="shared" si="1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 t="shared" si="14"/>
        <v>0</v>
      </c>
      <c r="BC30" s="117">
        <f t="shared" si="15"/>
        <v>0</v>
      </c>
      <c r="BD30" s="117">
        <f t="shared" si="16"/>
        <v>0</v>
      </c>
      <c r="BE30" s="117">
        <f t="shared" si="17"/>
        <v>0</v>
      </c>
      <c r="BF30" s="117">
        <f t="shared" si="18"/>
        <v>0</v>
      </c>
      <c r="BG30" s="117">
        <f t="shared" si="19"/>
        <v>0</v>
      </c>
      <c r="BH30" s="117">
        <f t="shared" si="20"/>
        <v>0</v>
      </c>
      <c r="BI30" s="117">
        <f t="shared" si="21"/>
        <v>0</v>
      </c>
      <c r="BJ30" s="117">
        <f t="shared" si="22"/>
        <v>0</v>
      </c>
      <c r="BK30" s="117">
        <f t="shared" si="23"/>
        <v>0</v>
      </c>
      <c r="BL30" s="118">
        <f t="shared" si="1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>ROUNDUP((V31 - U31) * 288, 0) / 288</f>
        <v>0</v>
      </c>
      <c r="BC31" s="117">
        <f t="shared" si="15"/>
        <v>0</v>
      </c>
      <c r="BD31" s="117">
        <f t="shared" si="16"/>
        <v>0</v>
      </c>
      <c r="BE31" s="117">
        <f t="shared" si="17"/>
        <v>0</v>
      </c>
      <c r="BF31" s="117">
        <f t="shared" si="18"/>
        <v>0</v>
      </c>
      <c r="BG31" s="117">
        <f t="shared" si="19"/>
        <v>0</v>
      </c>
      <c r="BH31" s="117">
        <f t="shared" si="20"/>
        <v>0</v>
      </c>
      <c r="BI31" s="117">
        <f t="shared" si="21"/>
        <v>0</v>
      </c>
      <c r="BJ31" s="117">
        <f t="shared" si="22"/>
        <v>0</v>
      </c>
      <c r="BK31" s="117">
        <f t="shared" si="23"/>
        <v>0</v>
      </c>
      <c r="BL31" s="118">
        <f t="shared" si="1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 t="shared" si="14"/>
        <v>0</v>
      </c>
      <c r="BC32" s="117">
        <f t="shared" si="15"/>
        <v>0</v>
      </c>
      <c r="BD32" s="117">
        <f t="shared" si="16"/>
        <v>0</v>
      </c>
      <c r="BE32" s="117">
        <f t="shared" si="17"/>
        <v>0</v>
      </c>
      <c r="BF32" s="117">
        <f t="shared" si="18"/>
        <v>0</v>
      </c>
      <c r="BG32" s="117">
        <f t="shared" si="19"/>
        <v>0</v>
      </c>
      <c r="BH32" s="117">
        <f t="shared" si="20"/>
        <v>0</v>
      </c>
      <c r="BI32" s="117">
        <f t="shared" si="21"/>
        <v>0</v>
      </c>
      <c r="BJ32" s="117">
        <f t="shared" si="22"/>
        <v>0</v>
      </c>
      <c r="BK32" s="117">
        <f t="shared" si="23"/>
        <v>0</v>
      </c>
      <c r="BL32" s="118">
        <f t="shared" si="1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 t="shared" si="14"/>
        <v>0</v>
      </c>
      <c r="BC33" s="117">
        <f t="shared" si="15"/>
        <v>0</v>
      </c>
      <c r="BD33" s="117">
        <f t="shared" si="16"/>
        <v>0</v>
      </c>
      <c r="BE33" s="117">
        <f t="shared" si="17"/>
        <v>0</v>
      </c>
      <c r="BF33" s="117">
        <f t="shared" si="18"/>
        <v>0</v>
      </c>
      <c r="BG33" s="117">
        <f t="shared" si="19"/>
        <v>0</v>
      </c>
      <c r="BH33" s="117">
        <f t="shared" si="20"/>
        <v>0</v>
      </c>
      <c r="BI33" s="117">
        <f t="shared" si="21"/>
        <v>0</v>
      </c>
      <c r="BJ33" s="117">
        <f t="shared" si="22"/>
        <v>0</v>
      </c>
      <c r="BK33" s="117">
        <f t="shared" si="23"/>
        <v>0</v>
      </c>
      <c r="BL33" s="118">
        <f t="shared" si="1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 t="shared" si="14"/>
        <v>0</v>
      </c>
      <c r="BC34" s="117">
        <f t="shared" si="15"/>
        <v>0</v>
      </c>
      <c r="BD34" s="117">
        <f t="shared" si="16"/>
        <v>0</v>
      </c>
      <c r="BE34" s="117">
        <f t="shared" si="17"/>
        <v>0</v>
      </c>
      <c r="BF34" s="117">
        <f t="shared" si="18"/>
        <v>0</v>
      </c>
      <c r="BG34" s="117">
        <f t="shared" si="19"/>
        <v>0</v>
      </c>
      <c r="BH34" s="117">
        <f t="shared" si="20"/>
        <v>0</v>
      </c>
      <c r="BI34" s="117">
        <f t="shared" si="21"/>
        <v>0</v>
      </c>
      <c r="BJ34" s="117">
        <f t="shared" si="22"/>
        <v>0</v>
      </c>
      <c r="BK34" s="117">
        <f t="shared" si="23"/>
        <v>0</v>
      </c>
      <c r="BL34" s="118">
        <f t="shared" si="1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 t="shared" si="14"/>
        <v>0</v>
      </c>
      <c r="BC35" s="117">
        <f t="shared" si="15"/>
        <v>0</v>
      </c>
      <c r="BD35" s="117">
        <f t="shared" si="16"/>
        <v>0</v>
      </c>
      <c r="BE35" s="117">
        <f t="shared" si="17"/>
        <v>0</v>
      </c>
      <c r="BF35" s="117">
        <f t="shared" si="18"/>
        <v>0</v>
      </c>
      <c r="BG35" s="117">
        <f t="shared" si="19"/>
        <v>0</v>
      </c>
      <c r="BH35" s="117">
        <f t="shared" si="20"/>
        <v>0</v>
      </c>
      <c r="BI35" s="117">
        <f t="shared" si="21"/>
        <v>0</v>
      </c>
      <c r="BJ35" s="117">
        <f t="shared" si="22"/>
        <v>0</v>
      </c>
      <c r="BK35" s="117">
        <f t="shared" si="23"/>
        <v>0</v>
      </c>
      <c r="BL35" s="130">
        <f t="shared" si="1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 t="shared" si="14"/>
        <v>0</v>
      </c>
      <c r="BC36" s="117">
        <f t="shared" si="15"/>
        <v>0</v>
      </c>
      <c r="BD36" s="117">
        <f t="shared" si="16"/>
        <v>0</v>
      </c>
      <c r="BE36" s="117">
        <f t="shared" si="17"/>
        <v>0</v>
      </c>
      <c r="BF36" s="117">
        <f t="shared" si="18"/>
        <v>0</v>
      </c>
      <c r="BG36" s="117">
        <f t="shared" si="19"/>
        <v>0</v>
      </c>
      <c r="BH36" s="117">
        <f t="shared" si="20"/>
        <v>0</v>
      </c>
      <c r="BI36" s="117">
        <f t="shared" si="21"/>
        <v>0</v>
      </c>
      <c r="BJ36" s="117">
        <f t="shared" si="22"/>
        <v>0</v>
      </c>
      <c r="BK36" s="117">
        <f t="shared" si="23"/>
        <v>0</v>
      </c>
      <c r="BL36" s="130">
        <f t="shared" si="1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 t="shared" si="14"/>
        <v>0</v>
      </c>
      <c r="BC37" s="117">
        <f t="shared" si="15"/>
        <v>0</v>
      </c>
      <c r="BD37" s="117">
        <f t="shared" si="16"/>
        <v>0</v>
      </c>
      <c r="BE37" s="117">
        <f t="shared" si="17"/>
        <v>0</v>
      </c>
      <c r="BF37" s="117">
        <f t="shared" si="18"/>
        <v>0</v>
      </c>
      <c r="BG37" s="117">
        <f t="shared" si="19"/>
        <v>0</v>
      </c>
      <c r="BH37" s="117">
        <f t="shared" si="20"/>
        <v>0</v>
      </c>
      <c r="BI37" s="117">
        <f t="shared" si="21"/>
        <v>0</v>
      </c>
      <c r="BJ37" s="117">
        <f t="shared" si="22"/>
        <v>0</v>
      </c>
      <c r="BK37" s="117">
        <f t="shared" si="23"/>
        <v>0</v>
      </c>
      <c r="BL37" s="130">
        <f t="shared" si="1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 t="shared" si="14"/>
        <v>0</v>
      </c>
      <c r="BC38" s="117">
        <f t="shared" si="15"/>
        <v>0</v>
      </c>
      <c r="BD38" s="117">
        <f t="shared" si="16"/>
        <v>0</v>
      </c>
      <c r="BE38" s="117">
        <f t="shared" si="17"/>
        <v>0</v>
      </c>
      <c r="BF38" s="117">
        <f t="shared" si="18"/>
        <v>0</v>
      </c>
      <c r="BG38" s="117">
        <f t="shared" si="19"/>
        <v>0</v>
      </c>
      <c r="BH38" s="117">
        <f t="shared" si="20"/>
        <v>0</v>
      </c>
      <c r="BI38" s="117">
        <f t="shared" si="21"/>
        <v>0</v>
      </c>
      <c r="BJ38" s="117">
        <f t="shared" si="22"/>
        <v>0</v>
      </c>
      <c r="BK38" s="117">
        <f t="shared" si="23"/>
        <v>0</v>
      </c>
      <c r="BL38" s="130">
        <f t="shared" si="1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 t="shared" si="14"/>
        <v>0</v>
      </c>
      <c r="BC39" s="142">
        <f t="shared" si="15"/>
        <v>0</v>
      </c>
      <c r="BD39" s="142">
        <f t="shared" si="16"/>
        <v>0</v>
      </c>
      <c r="BE39" s="142">
        <f t="shared" si="17"/>
        <v>0</v>
      </c>
      <c r="BF39" s="142">
        <f t="shared" si="18"/>
        <v>0</v>
      </c>
      <c r="BG39" s="142">
        <f t="shared" si="19"/>
        <v>0</v>
      </c>
      <c r="BH39" s="142">
        <f t="shared" si="20"/>
        <v>0</v>
      </c>
      <c r="BI39" s="142">
        <f t="shared" si="21"/>
        <v>0</v>
      </c>
      <c r="BJ39" s="142">
        <f t="shared" si="22"/>
        <v>0</v>
      </c>
      <c r="BK39" s="143">
        <f t="shared" si="23"/>
        <v>0</v>
      </c>
      <c r="BL39" s="144">
        <f t="shared" si="1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 t="shared" si="14"/>
        <v>0</v>
      </c>
      <c r="BC40" s="148">
        <f t="shared" si="15"/>
        <v>0</v>
      </c>
      <c r="BD40" s="148">
        <f t="shared" si="16"/>
        <v>0</v>
      </c>
      <c r="BE40" s="148">
        <f t="shared" si="17"/>
        <v>0</v>
      </c>
      <c r="BF40" s="148">
        <f t="shared" si="18"/>
        <v>0</v>
      </c>
      <c r="BG40" s="148">
        <f t="shared" si="19"/>
        <v>0</v>
      </c>
      <c r="BH40" s="148">
        <f t="shared" si="20"/>
        <v>0</v>
      </c>
      <c r="BI40" s="148">
        <f t="shared" si="21"/>
        <v>0</v>
      </c>
      <c r="BJ40" s="148">
        <f t="shared" si="22"/>
        <v>0</v>
      </c>
      <c r="BK40" s="148">
        <f t="shared" si="23"/>
        <v>0</v>
      </c>
      <c r="BL40" s="104">
        <f t="shared" si="1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 t="shared" si="14"/>
        <v>0</v>
      </c>
      <c r="BC41" s="117">
        <f t="shared" si="15"/>
        <v>0</v>
      </c>
      <c r="BD41" s="117">
        <f t="shared" si="16"/>
        <v>0</v>
      </c>
      <c r="BE41" s="117">
        <f t="shared" si="17"/>
        <v>0</v>
      </c>
      <c r="BF41" s="117">
        <f t="shared" si="18"/>
        <v>0</v>
      </c>
      <c r="BG41" s="117">
        <f t="shared" si="19"/>
        <v>0</v>
      </c>
      <c r="BH41" s="117">
        <f t="shared" si="20"/>
        <v>0</v>
      </c>
      <c r="BI41" s="117">
        <f t="shared" si="21"/>
        <v>0</v>
      </c>
      <c r="BJ41" s="117">
        <f t="shared" si="22"/>
        <v>0</v>
      </c>
      <c r="BK41" s="117">
        <f t="shared" si="23"/>
        <v>0</v>
      </c>
      <c r="BL41" s="118">
        <f t="shared" si="1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 t="shared" si="14"/>
        <v>0</v>
      </c>
      <c r="BC42" s="117">
        <f t="shared" si="15"/>
        <v>0</v>
      </c>
      <c r="BD42" s="117">
        <f t="shared" si="16"/>
        <v>0</v>
      </c>
      <c r="BE42" s="117">
        <f t="shared" si="17"/>
        <v>0</v>
      </c>
      <c r="BF42" s="117">
        <f t="shared" si="18"/>
        <v>0</v>
      </c>
      <c r="BG42" s="117">
        <f t="shared" si="19"/>
        <v>0</v>
      </c>
      <c r="BH42" s="117">
        <f t="shared" si="20"/>
        <v>0</v>
      </c>
      <c r="BI42" s="117">
        <f t="shared" si="21"/>
        <v>0</v>
      </c>
      <c r="BJ42" s="117">
        <f t="shared" si="22"/>
        <v>0</v>
      </c>
      <c r="BK42" s="117">
        <f t="shared" si="23"/>
        <v>0</v>
      </c>
      <c r="BL42" s="118">
        <f t="shared" si="1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74</v>
      </c>
      <c r="AU43" s="150" t="s">
        <v>75</v>
      </c>
      <c r="AV43" s="150" t="s">
        <v>76</v>
      </c>
      <c r="AW43" s="150" t="s">
        <v>77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24">TRUNC(SUM(BB5:BB42)*24,0) &amp; ":" &amp; RIGHT("00"&amp;ROUND(((SUM(BB5:BB42)*24)-TRUNC(SUM(BB5:BB42)*24,0))*60,2),2)</f>
        <v>0:00</v>
      </c>
      <c r="BC43" s="155" t="str">
        <f t="shared" si="24"/>
        <v>0:00</v>
      </c>
      <c r="BD43" s="155" t="str">
        <f t="shared" si="24"/>
        <v>0:00</v>
      </c>
      <c r="BE43" s="155" t="str">
        <f t="shared" si="24"/>
        <v>0:00</v>
      </c>
      <c r="BF43" s="155" t="str">
        <f t="shared" si="24"/>
        <v>0:00</v>
      </c>
      <c r="BG43" s="155" t="str">
        <f t="shared" si="24"/>
        <v>0:00</v>
      </c>
      <c r="BH43" s="155" t="str">
        <f t="shared" si="24"/>
        <v>0:00</v>
      </c>
      <c r="BI43" s="155" t="str">
        <f t="shared" si="24"/>
        <v>0:00</v>
      </c>
      <c r="BJ43" s="155" t="str">
        <f t="shared" si="24"/>
        <v>0:00</v>
      </c>
      <c r="BK43" s="156" t="str">
        <f t="shared" si="24"/>
        <v>0:00</v>
      </c>
      <c r="BL43" s="157" t="str">
        <f t="shared" si="24"/>
        <v>0:00</v>
      </c>
      <c r="BM43" s="158"/>
    </row>
    <row r="45" spans="1:65" x14ac:dyDescent="0.25">
      <c r="C45" s="345"/>
      <c r="D45" s="34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98" t="s">
        <v>95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</row>
    <row r="2" spans="2:17" x14ac:dyDescent="0.25"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7" x14ac:dyDescent="0.25">
      <c r="B3" s="39" t="s">
        <v>96</v>
      </c>
      <c r="C3" s="166" t="s">
        <v>97</v>
      </c>
    </row>
    <row r="4" spans="2:17" x14ac:dyDescent="0.25">
      <c r="B4" s="39" t="s">
        <v>98</v>
      </c>
      <c r="D4" s="39">
        <f>Inter!I23</f>
        <v>0</v>
      </c>
    </row>
    <row r="5" spans="2:17" ht="15.75" thickBot="1" x14ac:dyDescent="0.3"/>
    <row r="6" spans="2:17" ht="15.75" customHeight="1" x14ac:dyDescent="0.25">
      <c r="C6" s="399" t="s">
        <v>99</v>
      </c>
      <c r="D6" s="402" t="s">
        <v>100</v>
      </c>
      <c r="E6" s="402" t="s">
        <v>4</v>
      </c>
      <c r="F6" s="405"/>
      <c r="G6" s="405"/>
      <c r="H6" s="407" t="s">
        <v>101</v>
      </c>
      <c r="I6" s="409" t="s">
        <v>4</v>
      </c>
      <c r="J6" s="405"/>
      <c r="K6" s="405"/>
      <c r="L6" s="407" t="s">
        <v>101</v>
      </c>
      <c r="M6" s="411" t="s">
        <v>102</v>
      </c>
      <c r="N6" s="257"/>
      <c r="O6" s="258"/>
    </row>
    <row r="7" spans="2:17" x14ac:dyDescent="0.25">
      <c r="C7" s="400"/>
      <c r="D7" s="403"/>
      <c r="E7" s="406"/>
      <c r="F7" s="406"/>
      <c r="G7" s="406"/>
      <c r="H7" s="408"/>
      <c r="I7" s="410"/>
      <c r="J7" s="406"/>
      <c r="K7" s="406"/>
      <c r="L7" s="408"/>
      <c r="M7" s="412"/>
      <c r="N7" s="257"/>
      <c r="O7" s="258"/>
    </row>
    <row r="8" spans="2:17" x14ac:dyDescent="0.25">
      <c r="C8" s="400"/>
      <c r="D8" s="403"/>
      <c r="E8" s="406"/>
      <c r="F8" s="406"/>
      <c r="G8" s="406"/>
      <c r="H8" s="408"/>
      <c r="I8" s="410"/>
      <c r="J8" s="406"/>
      <c r="K8" s="406"/>
      <c r="L8" s="408"/>
      <c r="M8" s="412"/>
      <c r="N8" s="257"/>
      <c r="O8" s="258"/>
    </row>
    <row r="9" spans="2:17" ht="15.75" thickBot="1" x14ac:dyDescent="0.3">
      <c r="C9" s="401"/>
      <c r="D9" s="404"/>
      <c r="E9" s="259" t="s">
        <v>61</v>
      </c>
      <c r="F9" s="259" t="s">
        <v>62</v>
      </c>
      <c r="G9" s="259" t="s">
        <v>103</v>
      </c>
      <c r="H9" s="408"/>
      <c r="I9" s="260" t="s">
        <v>61</v>
      </c>
      <c r="J9" s="259" t="s">
        <v>62</v>
      </c>
      <c r="K9" s="259" t="s">
        <v>103</v>
      </c>
      <c r="L9" s="408"/>
      <c r="M9" s="412"/>
      <c r="N9" s="257"/>
      <c r="O9" s="258"/>
    </row>
    <row r="10" spans="2:17" ht="15.75" thickBot="1" x14ac:dyDescent="0.3">
      <c r="B10" s="384" t="s">
        <v>88</v>
      </c>
      <c r="C10" s="385"/>
      <c r="D10" s="388"/>
      <c r="E10" s="261"/>
      <c r="F10" s="261"/>
      <c r="G10" s="262"/>
      <c r="H10" s="263"/>
      <c r="I10" s="264"/>
      <c r="J10" s="265"/>
      <c r="K10" s="266"/>
      <c r="L10" s="267"/>
      <c r="M10" s="397"/>
      <c r="N10" s="257"/>
      <c r="O10" s="258"/>
      <c r="P10" s="268"/>
      <c r="Q10" s="268"/>
    </row>
    <row r="11" spans="2:17" ht="15.75" thickBot="1" x14ac:dyDescent="0.3">
      <c r="B11" s="384"/>
      <c r="C11" s="386"/>
      <c r="D11" s="389"/>
      <c r="E11" s="269"/>
      <c r="F11" s="269"/>
      <c r="G11" s="80"/>
      <c r="H11" s="81"/>
      <c r="I11" s="270"/>
      <c r="J11" s="271"/>
      <c r="K11" s="272"/>
      <c r="L11" s="273"/>
      <c r="M11" s="392"/>
      <c r="N11" s="257"/>
      <c r="O11" s="258"/>
      <c r="P11" s="230"/>
      <c r="Q11" s="230"/>
    </row>
    <row r="12" spans="2:17" ht="15.75" thickBot="1" x14ac:dyDescent="0.3">
      <c r="B12" s="384"/>
      <c r="C12" s="387"/>
      <c r="D12" s="390"/>
      <c r="E12" s="274"/>
      <c r="F12" s="274"/>
      <c r="G12" s="275"/>
      <c r="H12" s="276"/>
      <c r="I12" s="277"/>
      <c r="J12" s="278"/>
      <c r="K12" s="279"/>
      <c r="L12" s="280"/>
      <c r="M12" s="393"/>
      <c r="N12" s="257"/>
      <c r="O12" s="258"/>
      <c r="P12" s="230"/>
      <c r="Q12" s="230"/>
    </row>
    <row r="13" spans="2:17" ht="15.75" thickBot="1" x14ac:dyDescent="0.3">
      <c r="B13" s="384" t="s">
        <v>89</v>
      </c>
      <c r="C13" s="385"/>
      <c r="D13" s="388"/>
      <c r="E13" s="261"/>
      <c r="F13" s="261"/>
      <c r="G13" s="262"/>
      <c r="H13" s="263"/>
      <c r="I13" s="264"/>
      <c r="J13" s="265"/>
      <c r="K13" s="266"/>
      <c r="L13" s="267"/>
      <c r="M13" s="391"/>
      <c r="N13" s="257"/>
      <c r="O13" s="281"/>
      <c r="P13" s="230"/>
      <c r="Q13" s="230"/>
    </row>
    <row r="14" spans="2:17" ht="15.75" thickBot="1" x14ac:dyDescent="0.3">
      <c r="B14" s="384"/>
      <c r="C14" s="386"/>
      <c r="D14" s="389"/>
      <c r="E14" s="269"/>
      <c r="F14" s="269"/>
      <c r="G14" s="80"/>
      <c r="H14" s="81"/>
      <c r="I14" s="270"/>
      <c r="J14" s="271"/>
      <c r="K14" s="272"/>
      <c r="L14" s="273"/>
      <c r="M14" s="392"/>
      <c r="N14" s="282"/>
      <c r="O14" s="281"/>
      <c r="P14" s="230"/>
      <c r="Q14" s="230"/>
    </row>
    <row r="15" spans="2:17" ht="15.75" thickBot="1" x14ac:dyDescent="0.3">
      <c r="B15" s="384"/>
      <c r="C15" s="387"/>
      <c r="D15" s="390"/>
      <c r="E15" s="274"/>
      <c r="F15" s="274"/>
      <c r="G15" s="275"/>
      <c r="H15" s="276"/>
      <c r="I15" s="277"/>
      <c r="J15" s="278"/>
      <c r="K15" s="279"/>
      <c r="L15" s="280"/>
      <c r="M15" s="393"/>
      <c r="N15" s="282"/>
      <c r="O15" s="281"/>
      <c r="P15" s="230"/>
      <c r="Q15" s="230"/>
    </row>
    <row r="16" spans="2:17" ht="15.75" thickBot="1" x14ac:dyDescent="0.3">
      <c r="B16" s="384" t="s">
        <v>90</v>
      </c>
      <c r="C16" s="385"/>
      <c r="D16" s="388"/>
      <c r="E16" s="261"/>
      <c r="F16" s="261"/>
      <c r="G16" s="262"/>
      <c r="H16" s="263"/>
      <c r="I16" s="264"/>
      <c r="J16" s="265"/>
      <c r="K16" s="266"/>
      <c r="L16" s="267"/>
      <c r="M16" s="391"/>
      <c r="N16" s="282"/>
      <c r="O16" s="281"/>
      <c r="P16" s="230"/>
      <c r="Q16" s="230"/>
    </row>
    <row r="17" spans="2:17" ht="15.75" thickBot="1" x14ac:dyDescent="0.3">
      <c r="B17" s="384"/>
      <c r="C17" s="386"/>
      <c r="D17" s="389"/>
      <c r="E17" s="269"/>
      <c r="F17" s="269"/>
      <c r="G17" s="80"/>
      <c r="H17" s="81"/>
      <c r="I17" s="270"/>
      <c r="J17" s="271"/>
      <c r="K17" s="272"/>
      <c r="L17" s="273"/>
      <c r="M17" s="392"/>
      <c r="N17" s="282"/>
      <c r="O17" s="281"/>
      <c r="P17" s="230"/>
      <c r="Q17" s="230"/>
    </row>
    <row r="18" spans="2:17" ht="15.75" thickBot="1" x14ac:dyDescent="0.3">
      <c r="B18" s="384"/>
      <c r="C18" s="387"/>
      <c r="D18" s="390"/>
      <c r="E18" s="274"/>
      <c r="F18" s="274"/>
      <c r="G18" s="275"/>
      <c r="H18" s="276"/>
      <c r="I18" s="277"/>
      <c r="J18" s="278"/>
      <c r="K18" s="279"/>
      <c r="L18" s="280"/>
      <c r="M18" s="393"/>
      <c r="N18" s="282"/>
      <c r="O18" s="281"/>
      <c r="P18" s="230"/>
      <c r="Q18" s="230"/>
    </row>
    <row r="19" spans="2:17" ht="15.75" thickBot="1" x14ac:dyDescent="0.3">
      <c r="B19" s="384" t="s">
        <v>91</v>
      </c>
      <c r="C19" s="385"/>
      <c r="D19" s="388"/>
      <c r="E19" s="261"/>
      <c r="F19" s="261"/>
      <c r="G19" s="262"/>
      <c r="H19" s="263"/>
      <c r="I19" s="264"/>
      <c r="J19" s="265"/>
      <c r="K19" s="266"/>
      <c r="L19" s="267"/>
      <c r="M19" s="391"/>
      <c r="N19" s="282"/>
      <c r="O19" s="281"/>
      <c r="P19" s="230"/>
      <c r="Q19" s="230"/>
    </row>
    <row r="20" spans="2:17" ht="15.75" thickBot="1" x14ac:dyDescent="0.3">
      <c r="B20" s="384"/>
      <c r="C20" s="386"/>
      <c r="D20" s="389"/>
      <c r="E20" s="269"/>
      <c r="F20" s="269"/>
      <c r="G20" s="80"/>
      <c r="H20" s="81"/>
      <c r="I20" s="270"/>
      <c r="J20" s="271"/>
      <c r="K20" s="272"/>
      <c r="L20" s="273"/>
      <c r="M20" s="392"/>
      <c r="N20" s="282"/>
      <c r="O20" s="281"/>
      <c r="P20" s="230"/>
      <c r="Q20" s="230"/>
    </row>
    <row r="21" spans="2:17" ht="15.75" thickBot="1" x14ac:dyDescent="0.3">
      <c r="B21" s="384"/>
      <c r="C21" s="387"/>
      <c r="D21" s="390"/>
      <c r="E21" s="274"/>
      <c r="F21" s="274"/>
      <c r="G21" s="275"/>
      <c r="H21" s="276"/>
      <c r="I21" s="277"/>
      <c r="J21" s="278"/>
      <c r="K21" s="279"/>
      <c r="L21" s="280"/>
      <c r="M21" s="393"/>
      <c r="N21" s="282"/>
      <c r="O21" s="281"/>
      <c r="P21" s="230"/>
      <c r="Q21" s="230"/>
    </row>
    <row r="22" spans="2:17" ht="15.75" thickBot="1" x14ac:dyDescent="0.3">
      <c r="B22" s="384" t="s">
        <v>92</v>
      </c>
      <c r="C22" s="385"/>
      <c r="D22" s="388"/>
      <c r="E22" s="261"/>
      <c r="F22" s="261"/>
      <c r="G22" s="262"/>
      <c r="H22" s="263"/>
      <c r="I22" s="264"/>
      <c r="J22" s="265"/>
      <c r="K22" s="266"/>
      <c r="L22" s="267"/>
      <c r="M22" s="391"/>
      <c r="N22" s="257"/>
      <c r="O22" s="281"/>
      <c r="P22" s="230"/>
      <c r="Q22" s="230"/>
    </row>
    <row r="23" spans="2:17" ht="15.75" thickBot="1" x14ac:dyDescent="0.3">
      <c r="B23" s="384"/>
      <c r="C23" s="386"/>
      <c r="D23" s="389"/>
      <c r="E23" s="269"/>
      <c r="F23" s="269"/>
      <c r="G23" s="80"/>
      <c r="H23" s="81"/>
      <c r="I23" s="270"/>
      <c r="J23" s="271"/>
      <c r="K23" s="272"/>
      <c r="L23" s="273"/>
      <c r="M23" s="392"/>
      <c r="N23" s="282"/>
      <c r="O23" s="281"/>
      <c r="P23" s="230"/>
      <c r="Q23" s="230"/>
    </row>
    <row r="24" spans="2:17" ht="15.75" thickBot="1" x14ac:dyDescent="0.3">
      <c r="B24" s="384"/>
      <c r="C24" s="387"/>
      <c r="D24" s="390"/>
      <c r="E24" s="274"/>
      <c r="F24" s="274"/>
      <c r="G24" s="275"/>
      <c r="H24" s="276"/>
      <c r="I24" s="277"/>
      <c r="J24" s="278"/>
      <c r="K24" s="279"/>
      <c r="L24" s="280"/>
      <c r="M24" s="393"/>
      <c r="N24" s="282"/>
      <c r="O24" s="281"/>
      <c r="P24" s="230"/>
      <c r="Q24" s="230"/>
    </row>
    <row r="25" spans="2:17" ht="15.75" thickBot="1" x14ac:dyDescent="0.3">
      <c r="B25" s="384" t="s">
        <v>93</v>
      </c>
      <c r="C25" s="385"/>
      <c r="D25" s="388"/>
      <c r="E25" s="261"/>
      <c r="F25" s="261"/>
      <c r="G25" s="262"/>
      <c r="H25" s="263"/>
      <c r="I25" s="264"/>
      <c r="J25" s="265"/>
      <c r="K25" s="266"/>
      <c r="L25" s="267"/>
      <c r="M25" s="391"/>
      <c r="N25" s="282"/>
      <c r="O25" s="281"/>
      <c r="P25" s="230"/>
      <c r="Q25" s="230"/>
    </row>
    <row r="26" spans="2:17" ht="15.75" thickBot="1" x14ac:dyDescent="0.3">
      <c r="B26" s="384"/>
      <c r="C26" s="386"/>
      <c r="D26" s="389"/>
      <c r="E26" s="269"/>
      <c r="F26" s="269"/>
      <c r="G26" s="80"/>
      <c r="H26" s="81"/>
      <c r="I26" s="270"/>
      <c r="J26" s="271"/>
      <c r="K26" s="272"/>
      <c r="L26" s="273"/>
      <c r="M26" s="392"/>
      <c r="N26" s="282"/>
      <c r="O26" s="281"/>
      <c r="P26" s="230"/>
      <c r="Q26" s="230"/>
    </row>
    <row r="27" spans="2:17" ht="15.75" thickBot="1" x14ac:dyDescent="0.3">
      <c r="B27" s="384"/>
      <c r="C27" s="387"/>
      <c r="D27" s="390"/>
      <c r="E27" s="274"/>
      <c r="F27" s="274"/>
      <c r="G27" s="275"/>
      <c r="H27" s="276"/>
      <c r="I27" s="277"/>
      <c r="J27" s="278"/>
      <c r="K27" s="279"/>
      <c r="L27" s="280"/>
      <c r="M27" s="393"/>
      <c r="N27" s="282"/>
      <c r="O27" s="281"/>
      <c r="P27" s="230"/>
      <c r="Q27" s="230"/>
    </row>
    <row r="28" spans="2:17" ht="15.75" thickBot="1" x14ac:dyDescent="0.3">
      <c r="B28" s="384" t="s">
        <v>94</v>
      </c>
      <c r="C28" s="385"/>
      <c r="D28" s="388"/>
      <c r="E28" s="261"/>
      <c r="F28" s="261"/>
      <c r="G28" s="262"/>
      <c r="H28" s="263"/>
      <c r="I28" s="264"/>
      <c r="J28" s="265"/>
      <c r="K28" s="266"/>
      <c r="L28" s="267"/>
      <c r="M28" s="391"/>
      <c r="N28" s="282"/>
      <c r="O28" s="281"/>
      <c r="P28" s="230"/>
      <c r="Q28" s="230"/>
    </row>
    <row r="29" spans="2:17" ht="15.75" thickBot="1" x14ac:dyDescent="0.3">
      <c r="B29" s="384"/>
      <c r="C29" s="386"/>
      <c r="D29" s="389"/>
      <c r="E29" s="269"/>
      <c r="F29" s="269"/>
      <c r="G29" s="80"/>
      <c r="H29" s="81"/>
      <c r="I29" s="270"/>
      <c r="J29" s="271"/>
      <c r="K29" s="272"/>
      <c r="L29" s="273"/>
      <c r="M29" s="392"/>
      <c r="N29" s="282"/>
      <c r="O29" s="281"/>
      <c r="P29" s="230"/>
      <c r="Q29" s="230"/>
    </row>
    <row r="30" spans="2:17" ht="15.75" thickBot="1" x14ac:dyDescent="0.3">
      <c r="B30" s="384"/>
      <c r="C30" s="387"/>
      <c r="D30" s="390"/>
      <c r="E30" s="274"/>
      <c r="F30" s="274"/>
      <c r="G30" s="275"/>
      <c r="H30" s="276"/>
      <c r="I30" s="277"/>
      <c r="J30" s="278"/>
      <c r="K30" s="279"/>
      <c r="L30" s="280"/>
      <c r="M30" s="393"/>
      <c r="N30" s="282"/>
      <c r="O30" s="281"/>
      <c r="P30" s="230"/>
      <c r="Q30" s="230"/>
    </row>
    <row r="32" spans="2:17" x14ac:dyDescent="0.25">
      <c r="B32" s="283" t="s">
        <v>104</v>
      </c>
    </row>
    <row r="33" spans="2:15" x14ac:dyDescent="0.25">
      <c r="B33" s="283" t="s">
        <v>105</v>
      </c>
    </row>
    <row r="36" spans="2:15" x14ac:dyDescent="0.25">
      <c r="B36" s="394" t="s">
        <v>106</v>
      </c>
      <c r="C36" s="395"/>
      <c r="D36" s="395"/>
      <c r="E36" s="395"/>
      <c r="F36" s="395"/>
      <c r="G36" s="395"/>
      <c r="H36" s="395"/>
      <c r="I36" s="395"/>
      <c r="J36" s="396"/>
      <c r="K36" s="394" t="s">
        <v>107</v>
      </c>
      <c r="L36" s="395"/>
      <c r="M36" s="395"/>
      <c r="N36" s="333"/>
      <c r="O36" s="334"/>
    </row>
    <row r="37" spans="2:15" x14ac:dyDescent="0.25">
      <c r="B37" s="373"/>
      <c r="C37" s="374"/>
      <c r="D37" s="374"/>
      <c r="E37" s="374"/>
      <c r="F37" s="374"/>
      <c r="G37" s="374"/>
      <c r="H37" s="374"/>
      <c r="I37" s="374"/>
      <c r="J37" s="375"/>
      <c r="K37" s="382" t="s">
        <v>108</v>
      </c>
      <c r="L37" s="333"/>
      <c r="M37" s="334"/>
      <c r="N37" s="382" t="s">
        <v>109</v>
      </c>
      <c r="O37" s="383"/>
    </row>
    <row r="38" spans="2:15" x14ac:dyDescent="0.25">
      <c r="B38" s="376"/>
      <c r="C38" s="377"/>
      <c r="D38" s="377"/>
      <c r="E38" s="377"/>
      <c r="F38" s="377"/>
      <c r="G38" s="377"/>
      <c r="H38" s="377"/>
      <c r="I38" s="377"/>
      <c r="J38" s="378"/>
      <c r="K38" s="373"/>
      <c r="L38" s="374"/>
      <c r="M38" s="375"/>
      <c r="N38" s="373"/>
      <c r="O38" s="375"/>
    </row>
    <row r="39" spans="2:15" x14ac:dyDescent="0.25">
      <c r="B39" s="376"/>
      <c r="C39" s="377"/>
      <c r="D39" s="377"/>
      <c r="E39" s="377"/>
      <c r="F39" s="377"/>
      <c r="G39" s="377"/>
      <c r="H39" s="377"/>
      <c r="I39" s="377"/>
      <c r="J39" s="378"/>
      <c r="K39" s="376"/>
      <c r="L39" s="377"/>
      <c r="M39" s="378"/>
      <c r="N39" s="376"/>
      <c r="O39" s="378"/>
    </row>
    <row r="40" spans="2:15" x14ac:dyDescent="0.25">
      <c r="B40" s="376"/>
      <c r="C40" s="377"/>
      <c r="D40" s="377"/>
      <c r="E40" s="377"/>
      <c r="F40" s="377"/>
      <c r="G40" s="377"/>
      <c r="H40" s="377"/>
      <c r="I40" s="377"/>
      <c r="J40" s="378"/>
      <c r="K40" s="376"/>
      <c r="L40" s="377"/>
      <c r="M40" s="378"/>
      <c r="N40" s="376"/>
      <c r="O40" s="378"/>
    </row>
    <row r="41" spans="2:15" x14ac:dyDescent="0.25">
      <c r="B41" s="379"/>
      <c r="C41" s="380"/>
      <c r="D41" s="380"/>
      <c r="E41" s="380"/>
      <c r="F41" s="380"/>
      <c r="G41" s="380"/>
      <c r="H41" s="380"/>
      <c r="I41" s="380"/>
      <c r="J41" s="381"/>
      <c r="K41" s="379"/>
      <c r="L41" s="380"/>
      <c r="M41" s="381"/>
      <c r="N41" s="379"/>
      <c r="O41" s="381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2025-08-01T00:52:05Z</dcterms:modified>
</cp:coreProperties>
</file>