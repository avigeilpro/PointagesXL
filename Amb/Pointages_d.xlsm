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BC42" i="93" s="1"/>
  <c r="V42" i="93"/>
  <c r="BB42" i="93" s="1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BC40" i="93" s="1"/>
  <c r="V40" i="93"/>
  <c r="BB40" i="93" s="1"/>
  <c r="U40" i="93"/>
  <c r="AS40" i="93" s="1"/>
  <c r="BK39" i="93"/>
  <c r="BJ39" i="93"/>
  <c r="BI39" i="93"/>
  <c r="BH39" i="93"/>
  <c r="BG39" i="93"/>
  <c r="BF39" i="93"/>
  <c r="BE39" i="93"/>
  <c r="BD39" i="93"/>
  <c r="BC39" i="93"/>
  <c r="BB39" i="93"/>
  <c r="AW39" i="93"/>
  <c r="AX39" i="93" s="1"/>
  <c r="AU39" i="93"/>
  <c r="AV39" i="93" s="1"/>
  <c r="AS39" i="93"/>
  <c r="AR39" i="93"/>
  <c r="AQ39" i="93"/>
  <c r="AP39" i="93"/>
  <c r="AO39" i="93"/>
  <c r="BK38" i="93"/>
  <c r="BJ38" i="93"/>
  <c r="BI38" i="93"/>
  <c r="BH38" i="93"/>
  <c r="BG38" i="93"/>
  <c r="BF38" i="93"/>
  <c r="BE38" i="93"/>
  <c r="BD38" i="93"/>
  <c r="BC38" i="93"/>
  <c r="BB38" i="93"/>
  <c r="AW38" i="93"/>
  <c r="AX38" i="93" s="1"/>
  <c r="AU38" i="93"/>
  <c r="AV38" i="93" s="1"/>
  <c r="AS38" i="93"/>
  <c r="AT38" i="93" s="1"/>
  <c r="AP38" i="93"/>
  <c r="AO38" i="93"/>
  <c r="BK37" i="93"/>
  <c r="BJ37" i="93"/>
  <c r="BI37" i="93"/>
  <c r="BH37" i="93"/>
  <c r="BG37" i="93"/>
  <c r="BF37" i="93"/>
  <c r="BE37" i="93"/>
  <c r="BD37" i="93"/>
  <c r="BC37" i="93"/>
  <c r="BB37" i="93"/>
  <c r="AW37" i="93"/>
  <c r="AX37" i="93" s="1"/>
  <c r="AU37" i="93"/>
  <c r="AV37" i="93" s="1"/>
  <c r="AS37" i="93"/>
  <c r="AP37" i="93"/>
  <c r="AO37" i="93"/>
  <c r="BK36" i="93"/>
  <c r="BJ36" i="93"/>
  <c r="BI36" i="93"/>
  <c r="BH36" i="93"/>
  <c r="BG36" i="93"/>
  <c r="BF36" i="93"/>
  <c r="BE36" i="93"/>
  <c r="BD36" i="93"/>
  <c r="BC36" i="93"/>
  <c r="BB36" i="93"/>
  <c r="AW36" i="93"/>
  <c r="AX36" i="93" s="1"/>
  <c r="AU36" i="93"/>
  <c r="AV36" i="93" s="1"/>
  <c r="AS36" i="93"/>
  <c r="AP36" i="93"/>
  <c r="AO36" i="93"/>
  <c r="BK35" i="93"/>
  <c r="BJ35" i="93"/>
  <c r="BI35" i="93"/>
  <c r="BH35" i="93"/>
  <c r="BG35" i="93"/>
  <c r="BF35" i="93"/>
  <c r="BE35" i="93"/>
  <c r="BD35" i="93"/>
  <c r="BC35" i="93"/>
  <c r="BB35" i="93"/>
  <c r="AW35" i="93"/>
  <c r="AX35" i="93" s="1"/>
  <c r="AU35" i="93"/>
  <c r="AV35" i="93" s="1"/>
  <c r="AS35" i="93"/>
  <c r="AP35" i="93"/>
  <c r="AO35" i="93"/>
  <c r="BK34" i="93"/>
  <c r="BJ34" i="93"/>
  <c r="BI34" i="93"/>
  <c r="BH34" i="93"/>
  <c r="BG34" i="93"/>
  <c r="BF34" i="93"/>
  <c r="BE34" i="93"/>
  <c r="BD34" i="93"/>
  <c r="BC34" i="93"/>
  <c r="BB34" i="93"/>
  <c r="AW34" i="93"/>
  <c r="AX34" i="93" s="1"/>
  <c r="AU34" i="93"/>
  <c r="AV34" i="93" s="1"/>
  <c r="AS34" i="93"/>
  <c r="AP34" i="93"/>
  <c r="AO34" i="93"/>
  <c r="BK33" i="93"/>
  <c r="BJ33" i="93"/>
  <c r="BI33" i="93"/>
  <c r="BH33" i="93"/>
  <c r="BG33" i="93"/>
  <c r="BF33" i="93"/>
  <c r="BE33" i="93"/>
  <c r="BD33" i="93"/>
  <c r="BC33" i="93"/>
  <c r="BB33" i="93"/>
  <c r="AW33" i="93"/>
  <c r="AX33" i="93" s="1"/>
  <c r="AU33" i="93"/>
  <c r="AV33" i="93" s="1"/>
  <c r="AS33" i="93"/>
  <c r="AT33" i="93" s="1"/>
  <c r="AP33" i="93"/>
  <c r="AO33" i="93"/>
  <c r="BK32" i="93"/>
  <c r="BJ32" i="93"/>
  <c r="BI32" i="93"/>
  <c r="BH32" i="93"/>
  <c r="BG32" i="93"/>
  <c r="BF32" i="93"/>
  <c r="BE32" i="93"/>
  <c r="BD32" i="93"/>
  <c r="BC32" i="93"/>
  <c r="BB32" i="93"/>
  <c r="AW32" i="93"/>
  <c r="AX32" i="93" s="1"/>
  <c r="AU32" i="93"/>
  <c r="AV32" i="93" s="1"/>
  <c r="AS32" i="93"/>
  <c r="AP32" i="93"/>
  <c r="AO32" i="93"/>
  <c r="BK31" i="93"/>
  <c r="BJ31" i="93"/>
  <c r="BI31" i="93"/>
  <c r="BH31" i="93"/>
  <c r="BG31" i="93"/>
  <c r="BF31" i="93"/>
  <c r="BE31" i="93"/>
  <c r="BD31" i="93"/>
  <c r="BC31" i="93"/>
  <c r="BB31" i="93"/>
  <c r="AW31" i="93"/>
  <c r="AX31" i="93" s="1"/>
  <c r="AU31" i="93"/>
  <c r="AV31" i="93" s="1"/>
  <c r="AS31" i="93"/>
  <c r="AT31" i="93" s="1"/>
  <c r="AP31" i="93"/>
  <c r="AO31" i="93"/>
  <c r="BK30" i="93"/>
  <c r="BJ30" i="93"/>
  <c r="BI30" i="93"/>
  <c r="BH30" i="93"/>
  <c r="BG30" i="93"/>
  <c r="BF30" i="93"/>
  <c r="BE30" i="93"/>
  <c r="BD30" i="93"/>
  <c r="BC30" i="93"/>
  <c r="BB30" i="93"/>
  <c r="AW30" i="93"/>
  <c r="AX30" i="93" s="1"/>
  <c r="AU30" i="93"/>
  <c r="AV30" i="93" s="1"/>
  <c r="AS30" i="93"/>
  <c r="AT30" i="93" s="1"/>
  <c r="AP30" i="93"/>
  <c r="AO30" i="93"/>
  <c r="BK29" i="93"/>
  <c r="BJ29" i="93"/>
  <c r="BI29" i="93"/>
  <c r="BH29" i="93"/>
  <c r="BG29" i="93"/>
  <c r="BF29" i="93"/>
  <c r="BE29" i="93"/>
  <c r="BD29" i="93"/>
  <c r="BC29" i="93"/>
  <c r="BB29" i="93"/>
  <c r="AW29" i="93"/>
  <c r="AX29" i="93" s="1"/>
  <c r="AU29" i="93"/>
  <c r="AV29" i="93" s="1"/>
  <c r="AS29" i="93"/>
  <c r="AT29" i="93" s="1"/>
  <c r="AP29" i="93"/>
  <c r="AO29" i="93"/>
  <c r="BK28" i="93"/>
  <c r="BJ28" i="93"/>
  <c r="BI28" i="93"/>
  <c r="BH28" i="93"/>
  <c r="BG28" i="93"/>
  <c r="BF28" i="93"/>
  <c r="BE28" i="93"/>
  <c r="BD28" i="93"/>
  <c r="BC28" i="93"/>
  <c r="BB28" i="93"/>
  <c r="AW28" i="93"/>
  <c r="AX28" i="93" s="1"/>
  <c r="AU28" i="93"/>
  <c r="AV28" i="93" s="1"/>
  <c r="AS28" i="93"/>
  <c r="AT28" i="93" s="1"/>
  <c r="AP28" i="93"/>
  <c r="AO28" i="93"/>
  <c r="BK27" i="93"/>
  <c r="BJ27" i="93"/>
  <c r="BI27" i="93"/>
  <c r="BH27" i="93"/>
  <c r="BG27" i="93"/>
  <c r="BF27" i="93"/>
  <c r="BE27" i="93"/>
  <c r="BD27" i="93"/>
  <c r="BC27" i="93"/>
  <c r="BB27" i="93"/>
  <c r="AW27" i="93"/>
  <c r="AX27" i="93" s="1"/>
  <c r="AU27" i="93"/>
  <c r="AV27" i="93" s="1"/>
  <c r="AS27" i="93"/>
  <c r="AT27" i="93" s="1"/>
  <c r="AP27" i="93"/>
  <c r="AO27" i="93"/>
  <c r="BK26" i="93"/>
  <c r="BJ26" i="93"/>
  <c r="BI26" i="93"/>
  <c r="BH26" i="93"/>
  <c r="BG26" i="93"/>
  <c r="BF26" i="93"/>
  <c r="BE26" i="93"/>
  <c r="BD26" i="93"/>
  <c r="BC26" i="93"/>
  <c r="BB26" i="93"/>
  <c r="AW26" i="93"/>
  <c r="AX26" i="93" s="1"/>
  <c r="AU26" i="93"/>
  <c r="AV26" i="93" s="1"/>
  <c r="AS26" i="93"/>
  <c r="AT26" i="93" s="1"/>
  <c r="AP26" i="93"/>
  <c r="AO26" i="93"/>
  <c r="BK25" i="93"/>
  <c r="BJ25" i="93"/>
  <c r="BI25" i="93"/>
  <c r="BH25" i="93"/>
  <c r="BG25" i="93"/>
  <c r="BF25" i="93"/>
  <c r="BE25" i="93"/>
  <c r="BD25" i="93"/>
  <c r="BC25" i="93"/>
  <c r="BB25" i="93"/>
  <c r="AW25" i="93"/>
  <c r="AX25" i="93" s="1"/>
  <c r="AU25" i="93"/>
  <c r="AV25" i="93" s="1"/>
  <c r="AS25" i="93"/>
  <c r="AT25" i="93" s="1"/>
  <c r="AP25" i="93"/>
  <c r="AO25" i="93"/>
  <c r="BK24" i="93"/>
  <c r="BJ24" i="93"/>
  <c r="BI24" i="93"/>
  <c r="BH24" i="93"/>
  <c r="BG24" i="93"/>
  <c r="BF24" i="93"/>
  <c r="BE24" i="93"/>
  <c r="BD24" i="93"/>
  <c r="BC24" i="93"/>
  <c r="BB24" i="93"/>
  <c r="AW24" i="93"/>
  <c r="AX24" i="93" s="1"/>
  <c r="AU24" i="93"/>
  <c r="AV24" i="93" s="1"/>
  <c r="AS24" i="93"/>
  <c r="AT24" i="93" s="1"/>
  <c r="AP24" i="93"/>
  <c r="AO24" i="93"/>
  <c r="BK23" i="93"/>
  <c r="BJ23" i="93"/>
  <c r="BI23" i="93"/>
  <c r="BH23" i="93"/>
  <c r="BG23" i="93"/>
  <c r="BF23" i="93"/>
  <c r="BE23" i="93"/>
  <c r="BD23" i="93"/>
  <c r="BC23" i="93"/>
  <c r="BB23" i="93"/>
  <c r="AW23" i="93"/>
  <c r="AX23" i="93" s="1"/>
  <c r="AU23" i="93"/>
  <c r="AV23" i="93" s="1"/>
  <c r="AS23" i="93"/>
  <c r="AT23" i="93" s="1"/>
  <c r="AP23" i="93"/>
  <c r="AO23" i="93"/>
  <c r="BK22" i="93"/>
  <c r="BJ22" i="93"/>
  <c r="BI22" i="93"/>
  <c r="BH22" i="93"/>
  <c r="BG22" i="93"/>
  <c r="BF22" i="93"/>
  <c r="BE22" i="93"/>
  <c r="BD22" i="93"/>
  <c r="BC22" i="93"/>
  <c r="BB22" i="93"/>
  <c r="AW22" i="93"/>
  <c r="AX22" i="93" s="1"/>
  <c r="AU22" i="93"/>
  <c r="AV22" i="93" s="1"/>
  <c r="AS22" i="93"/>
  <c r="AP22" i="93"/>
  <c r="AO22" i="93"/>
  <c r="BK21" i="93"/>
  <c r="BJ21" i="93"/>
  <c r="BI21" i="93"/>
  <c r="BH21" i="93"/>
  <c r="BG21" i="93"/>
  <c r="BF21" i="93"/>
  <c r="BE21" i="93"/>
  <c r="BD21" i="93"/>
  <c r="BC21" i="93"/>
  <c r="BB21" i="93"/>
  <c r="AW21" i="93"/>
  <c r="AX21" i="93" s="1"/>
  <c r="AU21" i="93"/>
  <c r="AV21" i="93" s="1"/>
  <c r="AS21" i="93"/>
  <c r="AT21" i="93" s="1"/>
  <c r="AP21" i="93"/>
  <c r="AO21" i="93"/>
  <c r="BK20" i="93"/>
  <c r="BJ20" i="93"/>
  <c r="BI20" i="93"/>
  <c r="BH20" i="93"/>
  <c r="BG20" i="93"/>
  <c r="BF20" i="93"/>
  <c r="BE20" i="93"/>
  <c r="BD20" i="93"/>
  <c r="BC20" i="93"/>
  <c r="BB20" i="93"/>
  <c r="AW20" i="93"/>
  <c r="AX20" i="93" s="1"/>
  <c r="AU20" i="93"/>
  <c r="AV20" i="93" s="1"/>
  <c r="AS20" i="93"/>
  <c r="AT20" i="93" s="1"/>
  <c r="AP20" i="93"/>
  <c r="AO20" i="93"/>
  <c r="BK19" i="93"/>
  <c r="BJ19" i="93"/>
  <c r="BI19" i="93"/>
  <c r="BH19" i="93"/>
  <c r="BG19" i="93"/>
  <c r="BF19" i="93"/>
  <c r="BE19" i="93"/>
  <c r="BD19" i="93"/>
  <c r="BC19" i="93"/>
  <c r="BB19" i="93"/>
  <c r="AW19" i="93"/>
  <c r="AX19" i="93" s="1"/>
  <c r="AU19" i="93"/>
  <c r="AV19" i="93" s="1"/>
  <c r="AS19" i="93"/>
  <c r="AT19" i="93" s="1"/>
  <c r="AP19" i="93"/>
  <c r="AO19" i="93"/>
  <c r="BK18" i="93"/>
  <c r="BJ18" i="93"/>
  <c r="BI18" i="93"/>
  <c r="BH18" i="93"/>
  <c r="BG18" i="93"/>
  <c r="BF18" i="93"/>
  <c r="BE18" i="93"/>
  <c r="BD18" i="93"/>
  <c r="BC18" i="93"/>
  <c r="BB18" i="93"/>
  <c r="AW18" i="93"/>
  <c r="AX18" i="93" s="1"/>
  <c r="AU18" i="93"/>
  <c r="AV18" i="93" s="1"/>
  <c r="AS18" i="93"/>
  <c r="AT18" i="93" s="1"/>
  <c r="AP18" i="93"/>
  <c r="AO18" i="93"/>
  <c r="BK17" i="93"/>
  <c r="BJ17" i="93"/>
  <c r="BI17" i="93"/>
  <c r="BH17" i="93"/>
  <c r="BG17" i="93"/>
  <c r="BF17" i="93"/>
  <c r="BE17" i="93"/>
  <c r="BD17" i="93"/>
  <c r="BC17" i="93"/>
  <c r="BB17" i="93"/>
  <c r="AW17" i="93"/>
  <c r="AX17" i="93" s="1"/>
  <c r="AU17" i="93"/>
  <c r="AV17" i="93" s="1"/>
  <c r="AS17" i="93"/>
  <c r="AT17" i="93" s="1"/>
  <c r="AP17" i="93"/>
  <c r="AO17" i="93"/>
  <c r="BK16" i="93"/>
  <c r="BJ16" i="93"/>
  <c r="BI16" i="93"/>
  <c r="BH16" i="93"/>
  <c r="BG16" i="93"/>
  <c r="BF16" i="93"/>
  <c r="BE16" i="93"/>
  <c r="BD16" i="93"/>
  <c r="BC16" i="93"/>
  <c r="BB16" i="93"/>
  <c r="AW16" i="93"/>
  <c r="AX16" i="93" s="1"/>
  <c r="AU16" i="93"/>
  <c r="AV16" i="93" s="1"/>
  <c r="AS16" i="93"/>
  <c r="AP16" i="93"/>
  <c r="AO16" i="93"/>
  <c r="BK15" i="93"/>
  <c r="BJ15" i="93"/>
  <c r="BI15" i="93"/>
  <c r="BH15" i="93"/>
  <c r="BG15" i="93"/>
  <c r="BF15" i="93"/>
  <c r="BE15" i="93"/>
  <c r="BD15" i="93"/>
  <c r="BC15" i="93"/>
  <c r="BB15" i="93"/>
  <c r="AS15" i="93"/>
  <c r="AT15" i="93" s="1"/>
  <c r="AP15" i="93"/>
  <c r="AO15" i="93"/>
  <c r="BK14" i="93"/>
  <c r="BJ14" i="93"/>
  <c r="BI14" i="93"/>
  <c r="BH14" i="93"/>
  <c r="BG14" i="93"/>
  <c r="BF14" i="93"/>
  <c r="BE14" i="93"/>
  <c r="BD14" i="93"/>
  <c r="BC14" i="93"/>
  <c r="BB14" i="93"/>
  <c r="AS14" i="93"/>
  <c r="AP14" i="93"/>
  <c r="AO14" i="93"/>
  <c r="BK13" i="93"/>
  <c r="BJ13" i="93"/>
  <c r="BI13" i="93"/>
  <c r="BH13" i="93"/>
  <c r="BG13" i="93"/>
  <c r="BF13" i="93"/>
  <c r="BE13" i="93"/>
  <c r="BD13" i="93"/>
  <c r="BC13" i="93"/>
  <c r="BB13" i="93"/>
  <c r="AW13" i="93"/>
  <c r="AX13" i="93" s="1"/>
  <c r="AU13" i="93"/>
  <c r="AV13" i="93" s="1"/>
  <c r="AS13" i="93"/>
  <c r="AT13" i="93" s="1"/>
  <c r="AP13" i="93"/>
  <c r="AO13" i="93"/>
  <c r="BK12" i="93"/>
  <c r="BJ12" i="93"/>
  <c r="BI12" i="93"/>
  <c r="BH12" i="93"/>
  <c r="BG12" i="93"/>
  <c r="BF12" i="93"/>
  <c r="BE12" i="93"/>
  <c r="BD12" i="93"/>
  <c r="BC12" i="93"/>
  <c r="BB12" i="93"/>
  <c r="AW12" i="93"/>
  <c r="AX12" i="93" s="1"/>
  <c r="AU12" i="93"/>
  <c r="AV12" i="93" s="1"/>
  <c r="AS12" i="93"/>
  <c r="AT12" i="93" s="1"/>
  <c r="AP12" i="93"/>
  <c r="AO12" i="93"/>
  <c r="BK11" i="93"/>
  <c r="BJ11" i="93"/>
  <c r="BI11" i="93"/>
  <c r="BH11" i="93"/>
  <c r="BG11" i="93"/>
  <c r="BF11" i="93"/>
  <c r="BE11" i="93"/>
  <c r="BD11" i="93"/>
  <c r="BC11" i="93"/>
  <c r="BB11" i="93"/>
  <c r="AW11" i="93"/>
  <c r="AX11" i="93" s="1"/>
  <c r="AU11" i="93"/>
  <c r="AV11" i="93" s="1"/>
  <c r="AS11" i="93"/>
  <c r="AT11" i="93" s="1"/>
  <c r="AP11" i="93"/>
  <c r="AO11" i="93"/>
  <c r="BK10" i="93"/>
  <c r="BJ10" i="93"/>
  <c r="BI10" i="93"/>
  <c r="BH10" i="93"/>
  <c r="BG10" i="93"/>
  <c r="BF10" i="93"/>
  <c r="BE10" i="93"/>
  <c r="BD10" i="93"/>
  <c r="BC10" i="93"/>
  <c r="BB10" i="93"/>
  <c r="AW10" i="93"/>
  <c r="AX10" i="93" s="1"/>
  <c r="AU10" i="93"/>
  <c r="AV10" i="93" s="1"/>
  <c r="AS10" i="93"/>
  <c r="AT10" i="93" s="1"/>
  <c r="AP10" i="93"/>
  <c r="AO10" i="93"/>
  <c r="BK9" i="93"/>
  <c r="BJ9" i="93"/>
  <c r="BI9" i="93"/>
  <c r="BH9" i="93"/>
  <c r="BG9" i="93"/>
  <c r="BF9" i="93"/>
  <c r="BE9" i="93"/>
  <c r="BD9" i="93"/>
  <c r="BC9" i="93"/>
  <c r="BB9" i="93"/>
  <c r="AW9" i="93"/>
  <c r="AX9" i="93" s="1"/>
  <c r="AU9" i="93"/>
  <c r="AV9" i="93" s="1"/>
  <c r="AS9" i="93"/>
  <c r="AT9" i="93" s="1"/>
  <c r="AP9" i="93"/>
  <c r="AO9" i="93"/>
  <c r="BK8" i="93"/>
  <c r="BJ8" i="93"/>
  <c r="BI8" i="93"/>
  <c r="BH8" i="93"/>
  <c r="BG8" i="93"/>
  <c r="BF8" i="93"/>
  <c r="BE8" i="93"/>
  <c r="BD8" i="93"/>
  <c r="BC8" i="93"/>
  <c r="BB8" i="93"/>
  <c r="AS8" i="93"/>
  <c r="AT8" i="93" s="1"/>
  <c r="AU8" i="93" s="1"/>
  <c r="AV8" i="93" s="1"/>
  <c r="AP8" i="93"/>
  <c r="AO8" i="93"/>
  <c r="BK7" i="93"/>
  <c r="BJ7" i="93"/>
  <c r="BI7" i="93"/>
  <c r="BH7" i="93"/>
  <c r="BG7" i="93"/>
  <c r="BF7" i="93"/>
  <c r="BE7" i="93"/>
  <c r="BD7" i="93"/>
  <c r="BC7" i="93"/>
  <c r="BB7" i="93"/>
  <c r="AW7" i="93"/>
  <c r="AX7" i="93" s="1"/>
  <c r="AU7" i="93"/>
  <c r="AV7" i="93" s="1"/>
  <c r="AS7" i="93"/>
  <c r="AT7" i="93" s="1"/>
  <c r="AP7" i="93"/>
  <c r="AO7" i="93"/>
  <c r="BK6" i="93"/>
  <c r="BJ6" i="93"/>
  <c r="BI6" i="93"/>
  <c r="BH6" i="93"/>
  <c r="BG6" i="93"/>
  <c r="BF6" i="93"/>
  <c r="BE6" i="93"/>
  <c r="BD6" i="93"/>
  <c r="BC6" i="93"/>
  <c r="BB6" i="93"/>
  <c r="AW6" i="93"/>
  <c r="AX6" i="93" s="1"/>
  <c r="AU6" i="93"/>
  <c r="AV6" i="93" s="1"/>
  <c r="AS6" i="93"/>
  <c r="AT6" i="93" s="1"/>
  <c r="AP6" i="93"/>
  <c r="AO6" i="93"/>
  <c r="BK5" i="93"/>
  <c r="BJ5" i="93"/>
  <c r="BI5" i="93"/>
  <c r="BH5" i="93"/>
  <c r="BG5" i="93"/>
  <c r="BF5" i="93"/>
  <c r="BE5" i="93"/>
  <c r="BD5" i="93"/>
  <c r="BC5" i="93"/>
  <c r="BB5" i="93"/>
  <c r="AW5" i="93"/>
  <c r="AX5" i="93" s="1"/>
  <c r="AU5" i="93"/>
  <c r="AV5" i="93" s="1"/>
  <c r="AS5" i="93"/>
  <c r="AT5" i="93" s="1"/>
  <c r="AP5" i="93"/>
  <c r="AO5" i="93"/>
  <c r="AW8" i="93" l="1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13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AZ13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AR13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3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1" i="93"/>
  <c r="BB43" i="93" s="1"/>
  <c r="W41" i="93"/>
  <c r="X41" i="93" s="1"/>
  <c r="AU41" i="93"/>
  <c r="AV41" i="93" s="1"/>
  <c r="AY28" i="93" l="1"/>
  <c r="AY6" i="93"/>
  <c r="BA8" i="93"/>
  <c r="BA40" i="93"/>
  <c r="AY31" i="93"/>
  <c r="AU14" i="93"/>
  <c r="BA39" i="93"/>
  <c r="AY10" i="93"/>
  <c r="AY17" i="93"/>
  <c r="AY13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1" i="93"/>
  <c r="BC43" i="93" s="1"/>
  <c r="AT41" i="93"/>
  <c r="AZ41" i="93" s="1"/>
  <c r="AQ42" i="93"/>
  <c r="AA42" i="93"/>
  <c r="AB42" i="93" s="1"/>
  <c r="BD42" i="93"/>
  <c r="BA42" i="93"/>
  <c r="AQ40" i="93"/>
  <c r="AA40" i="93"/>
  <c r="AB40" i="93" s="1"/>
  <c r="BD40" i="93"/>
  <c r="AV14" i="93" l="1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E42" i="93"/>
  <c r="BD41" i="93"/>
  <c r="BD43" i="93" s="1"/>
  <c r="AQ41" i="93"/>
  <c r="AA41" i="93"/>
  <c r="AB41" i="93" s="1"/>
  <c r="AC40" i="93"/>
  <c r="AD40" i="93" s="1"/>
  <c r="AR40" i="93"/>
  <c r="AY40" i="93" s="1"/>
  <c r="BE40" i="93"/>
  <c r="AZ43" i="93" l="1"/>
  <c r="AQ14" i="93"/>
  <c r="AY14" i="93" s="1"/>
  <c r="BA14" i="93"/>
  <c r="BA43" i="93" s="1"/>
  <c r="BF40" i="93"/>
  <c r="AE40" i="93"/>
  <c r="AF40" i="93" s="1"/>
  <c r="BE41" i="93"/>
  <c r="BE43" i="93" s="1"/>
  <c r="AC41" i="93"/>
  <c r="AD41" i="93" s="1"/>
  <c r="AR41" i="93"/>
  <c r="AY41" i="93" s="1"/>
  <c r="BF42" i="93"/>
  <c r="AE42" i="93"/>
  <c r="AF42" i="93" s="1"/>
  <c r="AY43" i="93" l="1"/>
  <c r="BF41" i="93"/>
  <c r="BF43" i="93" s="1"/>
  <c r="AE41" i="93"/>
  <c r="AF41" i="93" s="1"/>
  <c r="BG40" i="93"/>
  <c r="AG40" i="93"/>
  <c r="AH40" i="93" s="1"/>
  <c r="BG42" i="93"/>
  <c r="AG42" i="93"/>
  <c r="AH42" i="93" s="1"/>
  <c r="BH40" i="93" l="1"/>
  <c r="AI40" i="93"/>
  <c r="AJ40" i="93" s="1"/>
  <c r="AG41" i="93"/>
  <c r="AH41" i="93" s="1"/>
  <c r="BG41" i="93"/>
  <c r="BG43" i="93" s="1"/>
  <c r="BH42" i="93"/>
  <c r="AI42" i="93"/>
  <c r="AJ42" i="93" s="1"/>
  <c r="BI42" i="93" l="1"/>
  <c r="AK42" i="93"/>
  <c r="AL42" i="93" s="1"/>
  <c r="BH41" i="93"/>
  <c r="AI41" i="93"/>
  <c r="AJ41" i="93" s="1"/>
  <c r="BI40" i="93"/>
  <c r="AK40" i="93"/>
  <c r="AL40" i="93" s="1"/>
  <c r="BH43" i="93"/>
  <c r="BJ40" i="93" l="1"/>
  <c r="AM40" i="93"/>
  <c r="AN40" i="93" s="1"/>
  <c r="BK40" i="93" s="1"/>
  <c r="BI41" i="93"/>
  <c r="AK41" i="93"/>
  <c r="AL41" i="93" s="1"/>
  <c r="BI43" i="93"/>
  <c r="BJ42" i="93"/>
  <c r="AM42" i="93"/>
  <c r="AN42" i="93" s="1"/>
  <c r="BK42" i="93" s="1"/>
  <c r="BL42" i="93" s="1"/>
  <c r="AM41" i="93" l="1"/>
  <c r="AN41" i="93" s="1"/>
  <c r="BK41" i="93" s="1"/>
  <c r="BL41" i="93" s="1"/>
  <c r="BJ41" i="93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<sst xmlns="http://schemas.openxmlformats.org/spreadsheetml/2006/main" count="226" uniqueCount="113">
  <si>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</si>
  <si>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</si>
  <si>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</si>
  <si>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</si>
  <si>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</si>
  <si>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</si>
  <si>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</si>
  <si>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</si>
  <si>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</si>
  <si>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</si>
  <si>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</si>
  <si>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</si>
  <si>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</si>
  <si>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</si>
  <si>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</si>
  <si>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</si>
  <si>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</si>
  <si>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</si>
  <si>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</si>
  <si>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</si>
  <si>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</si>
  <si>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</si>
  <si>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</si>
  <si>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</si>
  <si>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</si>
  <si>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</si>
  <si>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</si>
  <si>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</si>
  <si>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</si>
  <si>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</si>
  <si>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</si>
  <si>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</si>
  <si>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</si>
  <si>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</si>
  <si>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</si>
  <si>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</si>
  <si>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</si>
  <si>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</si>
  <si>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</si>
  <si>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</si>
  <si>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</si>
  <si>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</si>
  <si>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</si>
  <si>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</si>
  <si>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</si>
  <si>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</si>
  <si>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</si>
  <si>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</si>
  <si>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</si>
  <si>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</si>
  <si>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</si>
  <si>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</si>
  <si>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</si>
  <si>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</si>
  <si>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$O$14</t>
  </si>
  <si>
    <t>TRADUCTION HORAIRE</t>
  </si>
  <si>
    <t>Frais de déplacement</t>
  </si>
  <si>
    <t>Pauses repas</t>
  </si>
  <si>
    <t>Indemnités</t>
  </si>
  <si>
    <t>REPAS</t>
  </si>
  <si>
    <t>Temps de travail arrondi (modulo 5 mn : 0 = 0 ; 1 à 5 = 5 ; 6 à 9 = 10 )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</si>
  <si>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</si>
  <si>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</si>
  <si>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</si>
  <si>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</si>
  <si>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</si>
  <si>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</si>
  <si>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</si>
  <si>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</si>
  <si>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</si>
  <si>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</si>
  <si>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</si>
  <si>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</si>
  <si>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</si>
  <si>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</si>
  <si>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</si>
  <si>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</si>
  <si>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</si>
  <si>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Juillet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</si>
  <si>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</si>
  <si>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</si>
  <si>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</si>
  <si>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</si>
  <si>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</si>
  <si>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</si>
  <si>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</si>
  <si>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</si>
  <si>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</si>
  <si>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</si>
  <si>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</si>
  <si>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</si>
  <si>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</si>
  <si>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</si>
  <si>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</si>
  <si>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</si>
  <si>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</si>
  <si>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</si>
  <si>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</si>
  <si>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</si>
  <si>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</si>
  <si>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</si>
  <si>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</si>
  <si>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</si>
  <si>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</si>
  <si>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</si>
  <si>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</si>
  <si>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</si>
  <si>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</si>
  <si>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</si>
  <si>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</si>
  <si>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</si>
  <si>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Aucune semaine selectionnée</t>
  </si>
  <si>
    <t>1 à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</si>
</sst>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3" fillId="0" borderId="40" xfId="0" applyFont="1" applyFill="1" applyBorder="1"/>
    <xf numFmtId="14" fontId="3" fillId="0" borderId="41" xfId="0" applyNumberFormat="1" applyFont="1" applyFill="1" applyBorder="1"/>
    <xf numFmtId="20" fontId="3" fillId="0" borderId="41" xfId="0" applyNumberFormat="1" applyFont="1" applyFill="1" applyBorder="1"/>
    <xf numFmtId="0" fontId="3" fillId="0" borderId="42" xfId="0" applyFont="1" applyFill="1" applyBorder="1"/>
    <xf numFmtId="0" fontId="3" fillId="0" borderId="41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quotePrefix="1" applyBorder="1" applyAlignment="1">
      <alignment horizontal="center"/>
    </xf>
    <xf numFmtId="0" fontId="0" fillId="0" borderId="59" xfId="0" quotePrefix="1" applyBorder="1" applyAlignment="1">
      <alignment horizontal="center"/>
    </xf>
    <xf numFmtId="0" fontId="0" fillId="0" borderId="60" xfId="0" quotePrefix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8" fillId="0" borderId="76" xfId="0" applyNumberFormat="1" applyFont="1" applyBorder="1" applyAlignment="1">
      <alignment horizontal="right"/>
    </xf>
    <xf numFmtId="14" fontId="0" fillId="0" borderId="77" xfId="0" applyNumberFormat="1" applyBorder="1"/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92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94" xfId="0" applyBorder="1" applyAlignment="1">
      <alignment horizontal="right"/>
    </xf>
    <xf numFmtId="0" fontId="0" fillId="0" borderId="95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0" fontId="0" fillId="0" borderId="96" xfId="0" applyBorder="1" applyAlignment="1">
      <alignment horizontal="right"/>
    </xf>
    <xf numFmtId="164" fontId="8" fillId="0" borderId="97" xfId="0" applyNumberFormat="1" applyFon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0" fontId="0" fillId="0" borderId="103" xfId="0" applyBorder="1" applyAlignment="1">
      <alignment horizontal="right"/>
    </xf>
    <xf numFmtId="0" fontId="0" fillId="0" borderId="104" xfId="0" applyBorder="1" applyAlignment="1">
      <alignment horizontal="right"/>
    </xf>
    <xf numFmtId="0" fontId="0" fillId="0" borderId="105" xfId="0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106" xfId="0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164" fontId="8" fillId="0" borderId="107" xfId="0" applyNumberFormat="1" applyFon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108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0" xfId="0" applyNumberFormat="1"/>
    <xf numFmtId="0" fontId="0" fillId="0" borderId="109" xfId="0" applyBorder="1"/>
    <xf numFmtId="0" fontId="0" fillId="0" borderId="110" xfId="0" applyBorder="1"/>
    <xf numFmtId="0" fontId="0" fillId="0" borderId="111" xfId="0" applyBorder="1"/>
    <xf numFmtId="0" fontId="0" fillId="0" borderId="112" xfId="0" applyBorder="1"/>
    <xf numFmtId="0" fontId="0" fillId="0" borderId="61" xfId="0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60" xfId="0" applyBorder="1" applyAlignment="1">
      <alignment horizontal="right"/>
    </xf>
    <xf numFmtId="0" fontId="8" fillId="0" borderId="113" xfId="0" applyFont="1" applyBorder="1" applyAlignment="1">
      <alignment horizontal="right"/>
    </xf>
    <xf numFmtId="0" fontId="0" fillId="0" borderId="11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35" xfId="0" applyFont="1" applyBorder="1"/>
    <xf numFmtId="14" fontId="8" fillId="0" borderId="116" xfId="0" applyNumberFormat="1" applyFont="1" applyBorder="1"/>
    <xf numFmtId="0" fontId="15" fillId="0" borderId="0" xfId="0" applyFont="1"/>
    <xf numFmtId="0" fontId="13" fillId="0" borderId="120" xfId="0" applyFont="1" applyBorder="1" applyAlignment="1">
      <alignment horizontal="center"/>
    </xf>
    <xf numFmtId="14" fontId="13" fillId="0" borderId="121" xfId="0" applyNumberFormat="1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9" xfId="0" applyFont="1" applyBorder="1" applyAlignment="1">
      <alignment horizontal="right"/>
    </xf>
    <xf numFmtId="14" fontId="13" fillId="0" borderId="117" xfId="0" applyNumberFormat="1" applyFont="1" applyBorder="1" applyAlignment="1">
      <alignment horizontal="center"/>
    </xf>
    <xf numFmtId="166" fontId="16" fillId="12" borderId="64" xfId="0" applyNumberFormat="1" applyFont="1" applyFill="1" applyBorder="1" applyAlignment="1" applyProtection="1">
      <alignment horizontal="right"/>
      <protection locked="0"/>
    </xf>
    <xf numFmtId="166" fontId="16" fillId="12" borderId="65" xfId="0" applyNumberFormat="1" applyFont="1" applyFill="1" applyBorder="1" applyAlignment="1" applyProtection="1">
      <alignment horizontal="right"/>
      <protection locked="0"/>
    </xf>
    <xf numFmtId="166" fontId="16" fillId="12" borderId="67" xfId="0" applyNumberFormat="1" applyFont="1" applyFill="1" applyBorder="1" applyAlignment="1" applyProtection="1">
      <alignment horizontal="right"/>
      <protection locked="0"/>
    </xf>
    <xf numFmtId="166" fontId="16" fillId="12" borderId="68" xfId="0" applyNumberFormat="1" applyFont="1" applyFill="1" applyBorder="1" applyAlignment="1" applyProtection="1">
      <alignment horizontal="right"/>
      <protection locked="0"/>
    </xf>
    <xf numFmtId="0" fontId="13" fillId="12" borderId="69" xfId="0" applyFont="1" applyFill="1" applyBorder="1" applyAlignment="1">
      <alignment horizontal="right"/>
    </xf>
    <xf numFmtId="0" fontId="13" fillId="12" borderId="71" xfId="0" applyFont="1" applyFill="1" applyBorder="1" applyAlignment="1">
      <alignment horizontal="right"/>
    </xf>
    <xf numFmtId="166" fontId="16" fillId="13" borderId="122" xfId="0" applyNumberFormat="1" applyFont="1" applyFill="1" applyBorder="1" applyAlignment="1" applyProtection="1">
      <alignment horizontal="right"/>
      <protection locked="0"/>
    </xf>
    <xf numFmtId="166" fontId="16" fillId="13" borderId="123" xfId="0" applyNumberFormat="1" applyFont="1" applyFill="1" applyBorder="1" applyAlignment="1" applyProtection="1">
      <alignment horizontal="right"/>
      <protection locked="0"/>
    </xf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69" xfId="0" applyFont="1" applyFill="1" applyBorder="1" applyAlignment="1">
      <alignment horizontal="right"/>
    </xf>
    <xf numFmtId="0" fontId="13" fillId="13" borderId="71" xfId="0" applyFont="1" applyFill="1" applyBorder="1" applyAlignment="1">
      <alignment horizontal="right"/>
    </xf>
    <xf numFmtId="166" fontId="16" fillId="12" borderId="78" xfId="0" applyNumberFormat="1" applyFont="1" applyFill="1" applyBorder="1" applyAlignment="1" applyProtection="1">
      <alignment horizontal="right"/>
      <protection locked="0"/>
    </xf>
    <xf numFmtId="166" fontId="16" fillId="12" borderId="79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82" xfId="0" applyNumberFormat="1" applyFont="1" applyFill="1" applyBorder="1" applyAlignment="1" applyProtection="1">
      <alignment horizontal="right"/>
      <protection locked="0"/>
    </xf>
    <xf numFmtId="0" fontId="13" fillId="12" borderId="83" xfId="0" applyFont="1" applyFill="1" applyBorder="1" applyAlignment="1">
      <alignment horizontal="right"/>
    </xf>
    <xf numFmtId="0" fontId="13" fillId="12" borderId="85" xfId="0" applyFont="1" applyFill="1" applyBorder="1" applyAlignment="1">
      <alignment horizontal="right"/>
    </xf>
    <xf numFmtId="166" fontId="16" fillId="13" borderId="78" xfId="0" applyNumberFormat="1" applyFont="1" applyFill="1" applyBorder="1" applyAlignment="1" applyProtection="1">
      <alignment horizontal="right"/>
      <protection locked="0"/>
    </xf>
    <xf numFmtId="166" fontId="16" fillId="13" borderId="79" xfId="0" applyNumberFormat="1" applyFont="1" applyFill="1" applyBorder="1" applyAlignment="1" applyProtection="1">
      <alignment horizontal="right"/>
      <protection locked="0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166" fontId="16" fillId="13" borderId="82" xfId="0" applyNumberFormat="1" applyFont="1" applyFill="1" applyBorder="1" applyAlignment="1" applyProtection="1">
      <alignment horizontal="right"/>
      <protection locked="0"/>
    </xf>
    <xf numFmtId="0" fontId="13" fillId="13" borderId="83" xfId="0" applyFont="1" applyFill="1" applyBorder="1" applyAlignment="1">
      <alignment horizontal="right"/>
    </xf>
    <xf numFmtId="0" fontId="13" fillId="13" borderId="85" xfId="0" applyFont="1" applyFill="1" applyBorder="1" applyAlignment="1">
      <alignment horizontal="right"/>
    </xf>
    <xf numFmtId="166" fontId="13" fillId="12" borderId="78" xfId="0" applyNumberFormat="1" applyFont="1" applyFill="1" applyBorder="1" applyAlignment="1" applyProtection="1">
      <alignment horizontal="right"/>
      <protection locked="0"/>
    </xf>
    <xf numFmtId="166" fontId="13" fillId="12" borderId="79" xfId="0" applyNumberFormat="1" applyFont="1" applyFill="1" applyBorder="1" applyAlignment="1" applyProtection="1">
      <alignment horizontal="right"/>
      <protection locked="0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2" borderId="82" xfId="0" applyNumberFormat="1" applyFont="1" applyFill="1" applyBorder="1" applyAlignment="1" applyProtection="1">
      <alignment horizontal="right"/>
      <protection locked="0"/>
    </xf>
    <xf numFmtId="166" fontId="13" fillId="13" borderId="88" xfId="0" applyNumberFormat="1" applyFont="1" applyFill="1" applyBorder="1" applyAlignment="1" applyProtection="1">
      <alignment horizontal="right"/>
      <protection locked="0"/>
    </xf>
    <xf numFmtId="166" fontId="13" fillId="13" borderId="89" xfId="0" applyNumberFormat="1" applyFont="1" applyFill="1" applyBorder="1" applyAlignment="1" applyProtection="1">
      <alignment horizontal="right"/>
      <protection locked="0"/>
    </xf>
    <xf numFmtId="166" fontId="13" fillId="13" borderId="128" xfId="0" applyNumberFormat="1" applyFont="1" applyFill="1" applyBorder="1" applyAlignment="1" applyProtection="1">
      <alignment horizontal="right"/>
      <protection locked="0"/>
    </xf>
    <xf numFmtId="166" fontId="13" fillId="13" borderId="92" xfId="0" applyNumberFormat="1" applyFont="1" applyFill="1" applyBorder="1" applyAlignment="1" applyProtection="1">
      <alignment horizontal="right"/>
      <protection locked="0"/>
    </xf>
    <xf numFmtId="0" fontId="13" fillId="13" borderId="93" xfId="0" applyFont="1" applyFill="1" applyBorder="1" applyAlignment="1">
      <alignment horizontal="right"/>
    </xf>
    <xf numFmtId="0" fontId="13" fillId="13" borderId="95" xfId="0" applyFont="1" applyFill="1" applyBorder="1" applyAlignment="1">
      <alignment horizontal="right"/>
    </xf>
    <xf numFmtId="166" fontId="13" fillId="12" borderId="88" xfId="0" applyNumberFormat="1" applyFont="1" applyFill="1" applyBorder="1" applyAlignment="1" applyProtection="1">
      <alignment horizontal="right"/>
      <protection locked="0"/>
    </xf>
    <xf numFmtId="166" fontId="13" fillId="12" borderId="89" xfId="0" applyNumberFormat="1" applyFont="1" applyFill="1" applyBorder="1" applyAlignment="1" applyProtection="1">
      <alignment horizontal="right"/>
      <protection locked="0"/>
    </xf>
    <xf numFmtId="166" fontId="13" fillId="12" borderId="128" xfId="0" applyNumberFormat="1" applyFont="1" applyFill="1" applyBorder="1" applyAlignment="1" applyProtection="1">
      <alignment horizontal="right"/>
      <protection locked="0"/>
    </xf>
    <xf numFmtId="166" fontId="13" fillId="12" borderId="92" xfId="0" applyNumberFormat="1" applyFont="1" applyFill="1" applyBorder="1" applyAlignment="1" applyProtection="1">
      <alignment horizontal="right"/>
      <protection locked="0"/>
    </xf>
    <xf numFmtId="0" fontId="13" fillId="12" borderId="93" xfId="0" applyFont="1" applyFill="1" applyBorder="1" applyAlignment="1">
      <alignment horizontal="right"/>
    </xf>
    <xf numFmtId="0" fontId="13" fillId="12" borderId="95" xfId="0" applyFont="1" applyFill="1" applyBorder="1" applyAlignment="1">
      <alignment horizontal="right"/>
    </xf>
    <xf numFmtId="0" fontId="13" fillId="0" borderId="129" xfId="0" applyFont="1" applyBorder="1" applyAlignment="1">
      <alignment horizontal="right"/>
    </xf>
    <xf numFmtId="14" fontId="13" fillId="0" borderId="130" xfId="0" applyNumberFormat="1" applyFont="1" applyBorder="1" applyAlignment="1">
      <alignment horizontal="center"/>
    </xf>
    <xf numFmtId="166" fontId="13" fillId="13" borderId="131" xfId="0" applyNumberFormat="1" applyFont="1" applyFill="1" applyBorder="1" applyAlignment="1" applyProtection="1">
      <alignment horizontal="right"/>
      <protection locked="0"/>
    </xf>
    <xf numFmtId="166" fontId="13" fillId="13" borderId="132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6" xfId="0" applyFont="1" applyFill="1" applyBorder="1" applyAlignment="1">
      <alignment horizontal="right"/>
    </xf>
    <xf numFmtId="166" fontId="16" fillId="12" borderId="122" xfId="0" applyNumberFormat="1" applyFont="1" applyFill="1" applyBorder="1" applyAlignment="1" applyProtection="1">
      <alignment horizontal="right"/>
      <protection locked="0"/>
    </xf>
    <xf numFmtId="166" fontId="16" fillId="12" borderId="123" xfId="0" applyNumberFormat="1" applyFont="1" applyFill="1" applyBorder="1" applyAlignment="1" applyProtection="1">
      <alignment horizontal="right"/>
      <protection locked="0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0" borderId="10" xfId="0" applyFont="1" applyBorder="1" applyAlignment="1">
      <alignment horizontal="right"/>
    </xf>
    <xf numFmtId="14" fontId="13" fillId="0" borderId="11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35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0" borderId="145" xfId="0" applyFont="1" applyBorder="1" applyAlignment="1">
      <alignment horizontal="right"/>
    </xf>
    <xf numFmtId="14" fontId="13" fillId="0" borderId="146" xfId="0" applyNumberFormat="1" applyFont="1" applyBorder="1" applyAlignment="1">
      <alignment horizontal="center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166" fontId="16" fillId="12" borderId="132" xfId="0" applyNumberFormat="1" applyFont="1" applyFill="1" applyBorder="1" applyAlignment="1" applyProtection="1">
      <alignment horizontal="right"/>
      <protection locked="0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166" fontId="16" fillId="12" borderId="134" xfId="0" applyNumberFormat="1" applyFont="1" applyFill="1" applyBorder="1" applyAlignment="1" applyProtection="1">
      <alignment horizontal="right"/>
      <protection locked="0"/>
    </xf>
    <xf numFmtId="0" fontId="13" fillId="0" borderId="148" xfId="0" applyFont="1" applyBorder="1" applyAlignment="1">
      <alignment horizontal="right"/>
    </xf>
    <xf numFmtId="14" fontId="13" fillId="0" borderId="149" xfId="0" applyNumberFormat="1" applyFont="1" applyBorder="1" applyAlignment="1">
      <alignment horizontal="center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2" borderId="152" xfId="0" applyNumberFormat="1" applyFont="1" applyFill="1" applyBorder="1" applyAlignment="1" applyProtection="1">
      <alignment horizontal="right"/>
      <protection locked="0"/>
    </xf>
    <xf numFmtId="166" fontId="16" fillId="12" borderId="153" xfId="0" applyNumberFormat="1" applyFont="1" applyFill="1" applyBorder="1" applyAlignment="1" applyProtection="1">
      <alignment horizontal="right"/>
      <protection locked="0"/>
    </xf>
    <xf numFmtId="0" fontId="13" fillId="12" borderId="154" xfId="0" applyFont="1" applyFill="1" applyBorder="1" applyAlignment="1">
      <alignment horizontal="right"/>
    </xf>
    <xf numFmtId="0" fontId="13" fillId="12" borderId="155" xfId="0" applyFont="1" applyFill="1" applyBorder="1" applyAlignment="1">
      <alignment horizontal="right"/>
    </xf>
    <xf numFmtId="0" fontId="13" fillId="0" borderId="110" xfId="0" applyFont="1" applyFill="1" applyBorder="1"/>
    <xf numFmtId="0" fontId="13" fillId="0" borderId="112" xfId="0" applyFont="1" applyFill="1" applyBorder="1"/>
    <xf numFmtId="166" fontId="13" fillId="12" borderId="138" xfId="0" applyNumberFormat="1" applyFont="1" applyFill="1" applyBorder="1" applyAlignment="1" applyProtection="1">
      <alignment horizontal="right"/>
      <protection locked="0"/>
    </xf>
    <xf numFmtId="166" fontId="13" fillId="12" borderId="139" xfId="0" applyNumberFormat="1" applyFont="1" applyFill="1" applyBorder="1" applyAlignment="1" applyProtection="1">
      <alignment horizontal="right"/>
      <protection locked="0"/>
    </xf>
    <xf numFmtId="166" fontId="13" fillId="12" borderId="140" xfId="0" applyNumberFormat="1" applyFont="1" applyFill="1" applyBorder="1" applyAlignment="1" applyProtection="1">
      <alignment horizontal="right"/>
      <protection locked="0"/>
    </xf>
    <xf numFmtId="166" fontId="13" fillId="12" borderId="141" xfId="0" applyNumberFormat="1" applyFont="1" applyFill="1" applyBorder="1" applyAlignment="1" applyProtection="1">
      <alignment horizontal="right"/>
      <protection locked="0"/>
    </xf>
    <xf numFmtId="0" fontId="13" fillId="12" borderId="142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0" borderId="9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68" xfId="0" applyFont="1" applyBorder="1" applyAlignment="1">
      <alignment horizontal="center"/>
    </xf>
    <xf numFmtId="0" fontId="13" fillId="0" borderId="146" xfId="0" applyFont="1" applyBorder="1" applyAlignment="1">
      <alignment horizontal="center"/>
    </xf>
    <xf numFmtId="167" fontId="0" fillId="0" borderId="51" xfId="0" applyNumberForma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3" fillId="0" borderId="169" xfId="0" applyFont="1" applyBorder="1" applyAlignment="1">
      <alignment horizontal="center"/>
    </xf>
    <xf numFmtId="167" fontId="0" fillId="0" borderId="53" xfId="0" applyNumberFormat="1" applyBorder="1"/>
    <xf numFmtId="167" fontId="0" fillId="0" borderId="51" xfId="0" applyNumberFormat="1" applyBorder="1"/>
    <xf numFmtId="0" fontId="13" fillId="0" borderId="51" xfId="0" applyFont="1" applyBorder="1"/>
    <xf numFmtId="0" fontId="3" fillId="0" borderId="169" xfId="0" applyFont="1" applyBorder="1"/>
    <xf numFmtId="0" fontId="17" fillId="0" borderId="0" xfId="0" applyFont="1" applyProtection="1">
      <protection locked="0"/>
    </xf>
    <xf numFmtId="167" fontId="0" fillId="0" borderId="59" xfId="0" applyNumberFormat="1" applyBorder="1" applyAlignment="1">
      <alignment horizontal="center"/>
    </xf>
    <xf numFmtId="167" fontId="0" fillId="0" borderId="115" xfId="0" applyNumberFormat="1" applyBorder="1"/>
    <xf numFmtId="167" fontId="0" fillId="0" borderId="59" xfId="0" applyNumberFormat="1" applyBorder="1"/>
    <xf numFmtId="0" fontId="0" fillId="0" borderId="59" xfId="0" applyBorder="1"/>
    <xf numFmtId="0" fontId="0" fillId="0" borderId="60" xfId="0" applyBorder="1"/>
    <xf numFmtId="167" fontId="0" fillId="0" borderId="171" xfId="0" applyNumberFormat="1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167" fontId="0" fillId="0" borderId="48" xfId="0" applyNumberFormat="1" applyBorder="1"/>
    <xf numFmtId="167" fontId="0" fillId="0" borderId="171" xfId="0" applyNumberFormat="1" applyBorder="1"/>
    <xf numFmtId="0" fontId="0" fillId="0" borderId="171" xfId="0" applyBorder="1"/>
    <xf numFmtId="0" fontId="0" fillId="0" borderId="172" xfId="0" applyBorder="1"/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34" xfId="0" applyFill="1" applyBorder="1"/>
    <xf numFmtId="49" fontId="0" fillId="0" borderId="15" xfId="0" applyNumberFormat="1" applyBorder="1"/>
    <xf numFmtId="0" fontId="0" fillId="0" borderId="0" xfId="0" applyFont="1" applyFill="1" applyBorder="1"/>
    <xf numFmtId="0" fontId="3" fillId="0" borderId="10" xfId="0" applyFont="1" applyBorder="1"/>
    <xf numFmtId="0" fontId="7" fillId="0" borderId="18" xfId="0" applyFont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164" fontId="8" fillId="12" borderId="145" xfId="0" applyNumberFormat="1" applyFont="1" applyFill="1" applyBorder="1" applyAlignment="1">
      <alignment horizontal="center" vertical="center"/>
    </xf>
    <xf numFmtId="164" fontId="8" fillId="12" borderId="164" xfId="0" applyNumberFormat="1" applyFont="1" applyFill="1" applyBorder="1" applyAlignment="1">
      <alignment horizontal="center" vertical="center"/>
    </xf>
    <xf numFmtId="164" fontId="8" fillId="13" borderId="9" xfId="0" applyNumberFormat="1" applyFont="1" applyFill="1" applyBorder="1" applyAlignment="1">
      <alignment horizontal="center" vertical="center"/>
    </xf>
    <xf numFmtId="164" fontId="8" fillId="13" borderId="16" xfId="0" applyNumberFormat="1" applyFont="1" applyFill="1" applyBorder="1" applyAlignment="1">
      <alignment horizontal="center" vertical="center"/>
    </xf>
    <xf numFmtId="164" fontId="8" fillId="12" borderId="9" xfId="0" applyNumberFormat="1" applyFont="1" applyFill="1" applyBorder="1" applyAlignment="1">
      <alignment horizontal="center" vertical="center"/>
    </xf>
    <xf numFmtId="164" fontId="8" fillId="12" borderId="16" xfId="0" applyNumberFormat="1" applyFont="1" applyFill="1" applyBorder="1" applyAlignment="1">
      <alignment horizontal="center" vertical="center"/>
    </xf>
    <xf numFmtId="164" fontId="8" fillId="12" borderId="129" xfId="0" applyNumberFormat="1" applyFont="1" applyFill="1" applyBorder="1" applyAlignment="1">
      <alignment horizontal="center" vertical="center"/>
    </xf>
    <xf numFmtId="164" fontId="8" fillId="12" borderId="163" xfId="0" applyNumberFormat="1" applyFont="1" applyFill="1" applyBorder="1" applyAlignment="1">
      <alignment horizontal="center" vertical="center"/>
    </xf>
    <xf numFmtId="164" fontId="8" fillId="13" borderId="145" xfId="0" applyNumberFormat="1" applyFont="1" applyFill="1" applyBorder="1" applyAlignment="1">
      <alignment horizontal="center" vertical="center"/>
    </xf>
    <xf numFmtId="164" fontId="8" fillId="13" borderId="164" xfId="0" applyNumberFormat="1" applyFont="1" applyFill="1" applyBorder="1" applyAlignment="1">
      <alignment horizontal="center" vertical="center"/>
    </xf>
    <xf numFmtId="164" fontId="8" fillId="13" borderId="129" xfId="0" applyNumberFormat="1" applyFont="1" applyFill="1" applyBorder="1" applyAlignment="1">
      <alignment horizontal="center" vertical="center"/>
    </xf>
    <xf numFmtId="164" fontId="8" fillId="13" borderId="163" xfId="0" applyNumberFormat="1" applyFont="1" applyFill="1" applyBorder="1" applyAlignment="1">
      <alignment horizontal="center" vertical="center"/>
    </xf>
    <xf numFmtId="164" fontId="8" fillId="12" borderId="158" xfId="0" applyNumberFormat="1" applyFont="1" applyFill="1" applyBorder="1" applyAlignment="1">
      <alignment horizontal="center"/>
    </xf>
    <xf numFmtId="164" fontId="8" fillId="12" borderId="127" xfId="0" applyNumberFormat="1" applyFont="1" applyFill="1" applyBorder="1" applyAlignment="1">
      <alignment horizontal="center"/>
    </xf>
    <xf numFmtId="164" fontId="8" fillId="13" borderId="158" xfId="0" applyNumberFormat="1" applyFont="1" applyFill="1" applyBorder="1" applyAlignment="1">
      <alignment horizontal="center"/>
    </xf>
    <xf numFmtId="164" fontId="8" fillId="13" borderId="127" xfId="0" applyNumberFormat="1" applyFont="1" applyFill="1" applyBorder="1" applyAlignment="1">
      <alignment horizontal="center"/>
    </xf>
    <xf numFmtId="164" fontId="8" fillId="13" borderId="159" xfId="0" applyNumberFormat="1" applyFont="1" applyFill="1" applyBorder="1" applyAlignment="1">
      <alignment horizontal="center"/>
    </xf>
    <xf numFmtId="164" fontId="8" fillId="13" borderId="137" xfId="0" applyNumberFormat="1" applyFont="1" applyFill="1" applyBorder="1" applyAlignment="1">
      <alignment horizontal="center"/>
    </xf>
    <xf numFmtId="164" fontId="8" fillId="12" borderId="161" xfId="0" applyNumberFormat="1" applyFont="1" applyFill="1" applyBorder="1" applyAlignment="1">
      <alignment horizontal="center"/>
    </xf>
    <xf numFmtId="164" fontId="8" fillId="12" borderId="162" xfId="0" applyNumberFormat="1" applyFont="1" applyFill="1" applyBorder="1" applyAlignment="1">
      <alignment horizontal="center"/>
    </xf>
    <xf numFmtId="164" fontId="8" fillId="12" borderId="160" xfId="0" applyNumberFormat="1" applyFont="1" applyFill="1" applyBorder="1" applyAlignment="1">
      <alignment horizontal="center"/>
    </xf>
    <xf numFmtId="164" fontId="8" fillId="12" borderId="156" xfId="0" applyNumberFormat="1" applyFont="1" applyFill="1" applyBorder="1" applyAlignment="1">
      <alignment horizontal="center"/>
    </xf>
    <xf numFmtId="164" fontId="8" fillId="12" borderId="159" xfId="0" applyNumberFormat="1" applyFont="1" applyFill="1" applyBorder="1" applyAlignment="1">
      <alignment horizontal="center"/>
    </xf>
    <xf numFmtId="164" fontId="8" fillId="12" borderId="137" xfId="0" applyNumberFormat="1" applyFont="1" applyFill="1" applyBorder="1" applyAlignment="1">
      <alignment horizontal="center"/>
    </xf>
    <xf numFmtId="164" fontId="8" fillId="13" borderId="160" xfId="0" applyNumberFormat="1" applyFont="1" applyFill="1" applyBorder="1" applyAlignment="1">
      <alignment horizontal="center"/>
    </xf>
    <xf numFmtId="164" fontId="8" fillId="13" borderId="156" xfId="0" applyNumberFormat="1" applyFont="1" applyFill="1" applyBorder="1" applyAlignment="1">
      <alignment horizontal="center"/>
    </xf>
    <xf numFmtId="0" fontId="8" fillId="0" borderId="110" xfId="0" applyFont="1" applyFill="1" applyBorder="1" applyAlignment="1">
      <alignment horizontal="center"/>
    </xf>
    <xf numFmtId="0" fontId="8" fillId="0" borderId="144" xfId="0" applyFont="1" applyFill="1" applyBorder="1" applyAlignment="1">
      <alignment horizontal="center"/>
    </xf>
    <xf numFmtId="164" fontId="8" fillId="12" borderId="157" xfId="0" applyNumberFormat="1" applyFont="1" applyFill="1" applyBorder="1" applyAlignment="1">
      <alignment horizontal="center"/>
    </xf>
    <xf numFmtId="164" fontId="8" fillId="12" borderId="147" xfId="0" applyNumberFormat="1" applyFont="1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56" xfId="0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9" borderId="35" xfId="0" applyFont="1" applyFill="1" applyBorder="1" applyAlignment="1">
      <alignment horizontal="center"/>
    </xf>
    <xf numFmtId="0" fontId="8" fillId="9" borderId="36" xfId="0" applyFont="1" applyFill="1" applyBorder="1" applyAlignment="1">
      <alignment horizontal="center"/>
    </xf>
    <xf numFmtId="0" fontId="8" fillId="9" borderId="37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8" fillId="0" borderId="47" xfId="0" applyFont="1" applyBorder="1" applyAlignment="1">
      <alignment horizontal="left"/>
    </xf>
    <xf numFmtId="0" fontId="8" fillId="0" borderId="48" xfId="0" applyFont="1" applyBorder="1" applyAlignment="1">
      <alignment horizontal="left"/>
    </xf>
    <xf numFmtId="19" fontId="8" fillId="8" borderId="49" xfId="0" applyNumberFormat="1" applyFont="1" applyFill="1" applyBorder="1" applyAlignment="1">
      <alignment horizontal="center"/>
    </xf>
    <xf numFmtId="0" fontId="8" fillId="8" borderId="50" xfId="0" applyFont="1" applyFill="1" applyBorder="1" applyAlignment="1">
      <alignment horizontal="center"/>
    </xf>
    <xf numFmtId="0" fontId="8" fillId="0" borderId="35" xfId="0" applyFont="1" applyBorder="1" applyAlignment="1">
      <alignment horizontal="center" shrinkToFit="1"/>
    </xf>
    <xf numFmtId="0" fontId="0" fillId="0" borderId="36" xfId="0" applyBorder="1" applyAlignment="1">
      <alignment horizontal="center" shrinkToFit="1"/>
    </xf>
    <xf numFmtId="0" fontId="0" fillId="0" borderId="37" xfId="0" applyBorder="1" applyAlignment="1">
      <alignment horizontal="center" shrinkToFit="1"/>
    </xf>
    <xf numFmtId="0" fontId="0" fillId="0" borderId="173" xfId="0" applyBorder="1"/>
    <xf numFmtId="0" fontId="0" fillId="0" borderId="109" xfId="0" applyBorder="1"/>
    <xf numFmtId="0" fontId="0" fillId="0" borderId="146" xfId="0" applyBorder="1"/>
    <xf numFmtId="0" fontId="0" fillId="0" borderId="118" xfId="0" applyBorder="1"/>
    <xf numFmtId="0" fontId="0" fillId="0" borderId="0" xfId="0"/>
    <xf numFmtId="0" fontId="0" fillId="0" borderId="117" xfId="0" applyBorder="1"/>
    <xf numFmtId="0" fontId="0" fillId="0" borderId="174" xfId="0" applyBorder="1"/>
    <xf numFmtId="0" fontId="0" fillId="0" borderId="175" xfId="0" applyBorder="1"/>
    <xf numFmtId="0" fontId="0" fillId="0" borderId="121" xfId="0" applyBorder="1"/>
    <xf numFmtId="0" fontId="13" fillId="0" borderId="49" xfId="0" applyFont="1" applyBorder="1" applyAlignment="1">
      <alignment horizontal="center"/>
    </xf>
    <xf numFmtId="0" fontId="13" fillId="0" borderId="115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9" fillId="0" borderId="165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170" xfId="0" applyFont="1" applyBorder="1" applyAlignment="1">
      <alignment horizontal="center" vertical="center"/>
    </xf>
    <xf numFmtId="167" fontId="13" fillId="0" borderId="51" xfId="0" applyNumberFormat="1" applyFont="1" applyBorder="1" applyAlignment="1">
      <alignment horizontal="center" vertical="center"/>
    </xf>
    <xf numFmtId="167" fontId="13" fillId="0" borderId="59" xfId="0" applyNumberFormat="1" applyFont="1" applyBorder="1" applyAlignment="1">
      <alignment horizontal="center" vertical="center"/>
    </xf>
    <xf numFmtId="167" fontId="13" fillId="0" borderId="171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/>
    </xf>
    <xf numFmtId="167" fontId="13" fillId="0" borderId="50" xfId="0" applyNumberFormat="1" applyFont="1" applyBorder="1" applyAlignment="1">
      <alignment horizontal="center" vertical="center"/>
    </xf>
    <xf numFmtId="167" fontId="13" fillId="0" borderId="47" xfId="0" applyNumberFormat="1" applyFont="1" applyBorder="1" applyAlignment="1">
      <alignment horizontal="center" vertical="center"/>
    </xf>
    <xf numFmtId="0" fontId="13" fillId="1" borderId="49" xfId="0" applyFont="1" applyFill="1" applyBorder="1" applyAlignment="1">
      <alignment horizontal="center"/>
    </xf>
    <xf numFmtId="0" fontId="0" fillId="1" borderId="50" xfId="0" applyFill="1" applyBorder="1" applyAlignment="1">
      <alignment horizontal="center"/>
    </xf>
    <xf numFmtId="0" fontId="0" fillId="1" borderId="115" xfId="0" applyFill="1" applyBorder="1" applyAlignment="1">
      <alignment horizontal="center"/>
    </xf>
    <xf numFmtId="167" fontId="13" fillId="0" borderId="58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65" xfId="0" applyFont="1" applyBorder="1" applyAlignment="1">
      <alignment horizontal="center" vertical="center" textRotation="90" wrapText="1"/>
    </xf>
    <xf numFmtId="0" fontId="18" fillId="0" borderId="61" xfId="0" applyFont="1" applyBorder="1" applyAlignment="1">
      <alignment horizontal="center" vertical="center" textRotation="90" wrapText="1"/>
    </xf>
    <xf numFmtId="0" fontId="18" fillId="0" borderId="167" xfId="0" applyFont="1" applyBorder="1" applyAlignment="1">
      <alignment horizontal="center" vertical="center" textRotation="90" wrapText="1"/>
    </xf>
    <xf numFmtId="0" fontId="13" fillId="0" borderId="51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168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textRotation="90"/>
    </xf>
    <xf numFmtId="0" fontId="18" fillId="0" borderId="166" xfId="0" applyFont="1" applyBorder="1" applyAlignment="1">
      <alignment horizontal="center" vertical="center" textRotation="90"/>
    </xf>
    <xf numFmtId="0" fontId="13" fillId="0" borderId="53" xfId="0" applyFont="1" applyBorder="1" applyAlignment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E85-4637-9CEB-EF585C61C556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85-4637-9CEB-EF585C61C556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CE85-4637-9CEB-EF585C61C556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E85-4637-9CEB-EF585C61C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44</xdr:row>
      <xdr:rowOff>130174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tabSelected="1" workbookViewId="0">
      <selection activeCell="N16" sqref="N16"/>
    </sheetView>
  </sheetViews>
  <sheetFormatPr baseColWidth="10" defaultRowHeight="15" x14ac:dyDescent="0.25"/>
  <cols>
    <col min="1" max="1" width="4.28515625" style="39" customWidth="1"/>
    <col min="2" max="2" width="9.42578125" style="39" customWidth="1"/>
    <col min="3" max="3" width="11.42578125" style="39"/>
    <col min="4" max="44" width="6" style="39" customWidth="1"/>
    <col min="45" max="51" width="11.42578125" style="39"/>
    <col min="52" max="52" width="11.42578125" style="39" customWidth="1"/>
    <col min="53" max="16384" width="11.42578125" style="39"/>
  </cols>
  <sheetData>
    <row r="1" spans="3:37" ht="16.5" thickBot="1" x14ac:dyDescent="0.3">
      <c r="M1" s="159"/>
      <c r="N1" s="341" t="s">
        <v>78</v>
      </c>
      <c r="O1" s="341"/>
      <c r="P1" s="341"/>
      <c r="Q1" s="159"/>
      <c r="S1" s="341">
        <v>2025</v>
      </c>
      <c r="T1" s="341"/>
      <c r="X1" s="39" t="s">
        <v>79</v>
      </c>
      <c r="AA1" s="297" t="s">
        <v>112</v>
      </c>
      <c r="AB1" s="297"/>
    </row>
    <row r="2" spans="3:37" ht="15.75" thickBot="1" x14ac:dyDescent="0.3">
      <c r="E2" s="342" t="s">
        <v>80</v>
      </c>
      <c r="F2" s="343"/>
      <c r="G2" s="344"/>
    </row>
    <row r="4" spans="3:37" x14ac:dyDescent="0.25">
      <c r="C4" s="41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287"/>
      <c r="AC4" s="162"/>
      <c r="AD4" s="162"/>
      <c r="AE4" s="162"/>
      <c r="AF4" s="162"/>
      <c r="AG4" s="292"/>
      <c r="AH4" s="162"/>
      <c r="AI4" s="162"/>
      <c r="AJ4" s="162"/>
      <c r="AK4" s="162"/>
    </row>
    <row r="5" spans="3:37" x14ac:dyDescent="0.25">
      <c r="C5" s="288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287"/>
      <c r="AC5" s="162"/>
      <c r="AD5" s="162"/>
      <c r="AE5" s="162"/>
      <c r="AF5" s="162"/>
      <c r="AG5" s="292"/>
      <c r="AH5" s="162"/>
      <c r="AI5" s="162"/>
      <c r="AJ5" s="162"/>
      <c r="AK5" s="162"/>
    </row>
    <row r="6" spans="3:37" x14ac:dyDescent="0.25">
      <c r="C6" s="288"/>
      <c r="D6" s="162"/>
      <c r="E6" s="162"/>
      <c r="F6" s="163"/>
      <c r="G6" s="163"/>
      <c r="H6" s="162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2"/>
      <c r="T6" s="162"/>
      <c r="U6" s="163"/>
      <c r="V6" s="163"/>
      <c r="W6" s="162"/>
      <c r="X6" s="162"/>
      <c r="Y6" s="162"/>
      <c r="Z6" s="163"/>
      <c r="AA6" s="163"/>
      <c r="AB6" s="289"/>
      <c r="AC6" s="163"/>
      <c r="AD6" s="163"/>
      <c r="AE6" s="163"/>
      <c r="AF6" s="163"/>
      <c r="AG6" s="292"/>
      <c r="AH6" s="162"/>
      <c r="AI6" s="162"/>
      <c r="AJ6" s="163"/>
      <c r="AK6" s="163"/>
    </row>
    <row r="7" spans="3:37" x14ac:dyDescent="0.25">
      <c r="C7" s="288"/>
      <c r="D7" s="162"/>
      <c r="E7" s="162"/>
      <c r="F7" s="163"/>
      <c r="G7" s="163"/>
      <c r="H7" s="162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2"/>
      <c r="T7" s="162"/>
      <c r="U7" s="163"/>
      <c r="V7" s="163"/>
      <c r="W7" s="162"/>
      <c r="X7" s="162"/>
      <c r="Y7" s="162"/>
      <c r="Z7" s="163"/>
      <c r="AA7" s="163"/>
      <c r="AB7" s="289"/>
      <c r="AC7" s="163"/>
      <c r="AD7" s="163"/>
      <c r="AE7" s="163"/>
      <c r="AF7" s="163"/>
      <c r="AG7" s="292"/>
      <c r="AH7" s="162"/>
      <c r="AI7" s="162"/>
      <c r="AJ7" s="163"/>
      <c r="AK7" s="163"/>
    </row>
    <row r="8" spans="3:37" x14ac:dyDescent="0.25">
      <c r="C8" s="288"/>
      <c r="D8" s="162"/>
      <c r="E8" s="162"/>
      <c r="F8" s="163"/>
      <c r="G8" s="163"/>
      <c r="H8" s="162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2"/>
      <c r="T8" s="162"/>
      <c r="U8" s="163"/>
      <c r="V8" s="163"/>
      <c r="W8" s="162"/>
      <c r="X8" s="162"/>
      <c r="Y8" s="162"/>
      <c r="Z8" s="163"/>
      <c r="AA8" s="163"/>
      <c r="AB8" s="289"/>
      <c r="AC8" s="163"/>
      <c r="AD8" s="163"/>
      <c r="AE8" s="163"/>
      <c r="AF8" s="163"/>
      <c r="AG8" s="292"/>
      <c r="AH8" s="162"/>
      <c r="AI8" s="162"/>
      <c r="AJ8" s="163"/>
      <c r="AK8" s="163"/>
    </row>
    <row r="9" spans="3:37" x14ac:dyDescent="0.25">
      <c r="C9" s="288"/>
      <c r="D9" s="162"/>
      <c r="E9" s="162"/>
      <c r="F9" s="163"/>
      <c r="G9" s="163"/>
      <c r="H9" s="162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2"/>
      <c r="T9" s="162"/>
      <c r="U9" s="163"/>
      <c r="V9" s="163"/>
      <c r="W9" s="162"/>
      <c r="X9" s="162"/>
      <c r="Y9" s="162"/>
      <c r="Z9" s="163"/>
      <c r="AA9" s="163"/>
      <c r="AB9" s="289"/>
      <c r="AC9" s="163"/>
      <c r="AD9" s="163"/>
      <c r="AE9" s="163"/>
      <c r="AF9" s="163"/>
      <c r="AG9" s="292"/>
      <c r="AH9" s="162"/>
      <c r="AI9" s="162"/>
      <c r="AJ9" s="163"/>
      <c r="AK9" s="163"/>
    </row>
    <row r="10" spans="3:37" x14ac:dyDescent="0.25">
      <c r="C10" s="288"/>
      <c r="D10" s="162"/>
      <c r="E10" s="162"/>
      <c r="F10" s="163"/>
      <c r="G10" s="163"/>
      <c r="H10" s="162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2"/>
      <c r="T10" s="162"/>
      <c r="U10" s="163"/>
      <c r="V10" s="163"/>
      <c r="W10" s="162"/>
      <c r="X10" s="162"/>
      <c r="Y10" s="162"/>
      <c r="Z10" s="163"/>
      <c r="AA10" s="163"/>
      <c r="AB10" s="289"/>
      <c r="AC10" s="163"/>
      <c r="AD10" s="163"/>
      <c r="AE10" s="163"/>
      <c r="AF10" s="163"/>
      <c r="AG10" s="292"/>
      <c r="AH10" s="162"/>
      <c r="AI10" s="162"/>
      <c r="AJ10" s="163"/>
      <c r="AK10" s="163"/>
    </row>
    <row r="11" spans="3:37" x14ac:dyDescent="0.25">
      <c r="C11" s="288"/>
      <c r="D11" s="162"/>
      <c r="E11" s="162"/>
      <c r="F11" s="163"/>
      <c r="G11" s="163"/>
      <c r="H11" s="162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2"/>
      <c r="T11" s="162"/>
      <c r="U11" s="163"/>
      <c r="V11" s="163"/>
      <c r="W11" s="162"/>
      <c r="X11" s="162"/>
      <c r="Y11" s="162"/>
      <c r="Z11" s="163"/>
      <c r="AA11" s="163"/>
      <c r="AB11" s="289"/>
      <c r="AC11" s="163"/>
      <c r="AD11" s="163"/>
      <c r="AE11" s="163"/>
      <c r="AF11" s="163"/>
      <c r="AG11" s="292"/>
      <c r="AH11" s="162"/>
      <c r="AI11" s="162"/>
      <c r="AJ11" s="163"/>
      <c r="AK11" s="163"/>
    </row>
    <row r="12" spans="3:37" x14ac:dyDescent="0.25">
      <c r="C12" s="288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92"/>
      <c r="AE12" s="292"/>
      <c r="AF12" s="292"/>
      <c r="AG12" s="292"/>
      <c r="AH12" s="292"/>
      <c r="AI12" s="292"/>
      <c r="AJ12" s="292"/>
      <c r="AK12" s="292"/>
    </row>
    <row r="13" spans="3:37" x14ac:dyDescent="0.25">
      <c r="C13" s="288"/>
      <c r="D13" s="162"/>
      <c r="E13" s="162"/>
      <c r="F13" s="162"/>
      <c r="G13" s="162"/>
      <c r="H13" s="287"/>
      <c r="I13" s="162"/>
      <c r="J13" s="162"/>
      <c r="K13" s="162"/>
      <c r="L13" s="162"/>
      <c r="M13" s="287"/>
      <c r="N13" s="162"/>
      <c r="O13" s="162"/>
      <c r="P13" s="162"/>
      <c r="Q13" s="162"/>
      <c r="R13" s="287"/>
      <c r="S13" s="162"/>
      <c r="T13" s="162"/>
      <c r="U13" s="162"/>
      <c r="V13" s="162"/>
      <c r="W13" s="287"/>
      <c r="X13" s="162"/>
      <c r="Y13" s="162"/>
      <c r="Z13" s="162"/>
      <c r="AA13" s="162"/>
      <c r="AB13" s="287"/>
      <c r="AC13" s="162"/>
      <c r="AD13" s="162"/>
      <c r="AE13" s="162"/>
      <c r="AF13" s="162"/>
      <c r="AG13" s="292"/>
      <c r="AH13" s="162"/>
      <c r="AI13" s="162"/>
      <c r="AJ13" s="162"/>
      <c r="AK13" s="162"/>
    </row>
    <row r="14" spans="3:37" x14ac:dyDescent="0.25">
      <c r="C14" s="288"/>
      <c r="D14" s="162"/>
      <c r="E14" s="162"/>
      <c r="F14" s="162"/>
      <c r="G14" s="162"/>
      <c r="H14" s="287"/>
      <c r="I14" s="162"/>
      <c r="J14" s="162"/>
      <c r="K14" s="162"/>
      <c r="L14" s="162"/>
      <c r="M14" s="287"/>
      <c r="N14" s="162"/>
      <c r="O14" s="162"/>
      <c r="P14" s="162"/>
      <c r="Q14" s="162"/>
      <c r="R14" s="287"/>
      <c r="S14" s="162"/>
      <c r="T14" s="162"/>
      <c r="U14" s="162"/>
      <c r="V14" s="162"/>
      <c r="W14" s="287"/>
      <c r="X14" s="162"/>
      <c r="Y14" s="162"/>
      <c r="Z14" s="162"/>
      <c r="AA14" s="162"/>
      <c r="AB14" s="287"/>
      <c r="AC14" s="162"/>
      <c r="AD14" s="162"/>
      <c r="AE14" s="162"/>
      <c r="AF14" s="162"/>
      <c r="AG14" s="292"/>
      <c r="AH14" s="162"/>
      <c r="AI14" s="162"/>
      <c r="AJ14" s="162"/>
      <c r="AK14" s="162"/>
    </row>
    <row r="15" spans="3:37" x14ac:dyDescent="0.25">
      <c r="C15" s="288"/>
      <c r="D15" s="162"/>
      <c r="E15" s="162"/>
      <c r="F15" s="163"/>
      <c r="G15" s="163"/>
      <c r="H15" s="289"/>
      <c r="I15" s="163"/>
      <c r="J15" s="163"/>
      <c r="K15" s="163"/>
      <c r="L15" s="163"/>
      <c r="M15" s="289"/>
      <c r="N15" s="163"/>
      <c r="O15" s="163"/>
      <c r="P15" s="163"/>
      <c r="Q15" s="163"/>
      <c r="R15" s="287"/>
      <c r="S15" s="162"/>
      <c r="T15" s="162"/>
      <c r="U15" s="163"/>
      <c r="V15" s="163"/>
      <c r="W15" s="289"/>
      <c r="X15" s="162"/>
      <c r="Y15" s="162"/>
      <c r="Z15" s="163"/>
      <c r="AA15" s="163"/>
      <c r="AB15" s="289"/>
      <c r="AC15" s="163"/>
      <c r="AD15" s="163"/>
      <c r="AE15" s="163"/>
      <c r="AF15" s="163"/>
      <c r="AG15" s="292"/>
      <c r="AH15" s="162"/>
      <c r="AI15" s="162"/>
      <c r="AJ15" s="163"/>
      <c r="AK15" s="163"/>
    </row>
    <row r="16" spans="3:37" x14ac:dyDescent="0.25">
      <c r="C16" s="161"/>
      <c r="D16" s="162"/>
      <c r="E16" s="162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2"/>
      <c r="S16" s="162"/>
      <c r="T16" s="162"/>
      <c r="U16" s="163"/>
      <c r="V16" s="163"/>
      <c r="W16" s="163"/>
      <c r="X16" s="162"/>
      <c r="Y16" s="162"/>
      <c r="Z16" s="163"/>
      <c r="AA16" s="163"/>
      <c r="AB16" s="163"/>
      <c r="AC16" s="163"/>
      <c r="AD16" s="163"/>
      <c r="AE16" s="163"/>
      <c r="AF16" s="163"/>
      <c r="AG16" s="292"/>
      <c r="AH16" s="162"/>
      <c r="AI16" s="162"/>
      <c r="AJ16" s="163"/>
      <c r="AK16" s="163"/>
    </row>
    <row r="17" spans="2:37" x14ac:dyDescent="0.25">
      <c r="C17" s="161"/>
      <c r="D17" s="162"/>
      <c r="E17" s="162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2"/>
      <c r="S17" s="162"/>
      <c r="T17" s="162"/>
      <c r="U17" s="163"/>
      <c r="V17" s="163"/>
      <c r="W17" s="163"/>
      <c r="X17" s="162"/>
      <c r="Y17" s="162"/>
      <c r="Z17" s="163"/>
      <c r="AA17" s="163"/>
      <c r="AB17" s="163"/>
      <c r="AC17" s="163"/>
      <c r="AD17" s="163"/>
      <c r="AE17" s="163"/>
      <c r="AF17" s="163"/>
      <c r="AG17" s="292"/>
      <c r="AH17" s="162"/>
      <c r="AI17" s="162"/>
      <c r="AJ17" s="163"/>
      <c r="AK17" s="163"/>
    </row>
    <row r="18" spans="2:37" x14ac:dyDescent="0.25">
      <c r="C18" s="161"/>
      <c r="D18" s="162"/>
      <c r="E18" s="162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2"/>
      <c r="S18" s="162"/>
      <c r="T18" s="162"/>
      <c r="U18" s="163"/>
      <c r="V18" s="163"/>
      <c r="W18" s="163"/>
      <c r="X18" s="162"/>
      <c r="Y18" s="162"/>
      <c r="Z18" s="163"/>
      <c r="AA18" s="163"/>
      <c r="AB18" s="163"/>
      <c r="AC18" s="163"/>
      <c r="AD18" s="163"/>
      <c r="AE18" s="163"/>
      <c r="AF18" s="163"/>
      <c r="AG18" s="292"/>
      <c r="AH18" s="162"/>
      <c r="AI18" s="162"/>
      <c r="AJ18" s="163"/>
      <c r="AK18" s="163"/>
    </row>
    <row r="19" spans="2:37" x14ac:dyDescent="0.25">
      <c r="C19" s="161"/>
      <c r="D19" s="162"/>
      <c r="E19" s="162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2"/>
      <c r="S19" s="162"/>
      <c r="T19" s="162"/>
      <c r="U19" s="163"/>
      <c r="V19" s="163"/>
      <c r="W19" s="163"/>
      <c r="X19" s="162"/>
      <c r="Y19" s="162"/>
      <c r="Z19" s="163"/>
      <c r="AA19" s="163"/>
      <c r="AB19" s="163"/>
      <c r="AC19" s="163"/>
      <c r="AD19" s="163"/>
      <c r="AE19" s="163"/>
      <c r="AF19" s="163"/>
      <c r="AG19" s="292"/>
      <c r="AH19" s="162"/>
      <c r="AI19" s="162"/>
      <c r="AJ19" s="163"/>
      <c r="AK19" s="163"/>
    </row>
    <row r="20" spans="2:37" x14ac:dyDescent="0.25">
      <c r="C20" s="161"/>
      <c r="D20" s="162"/>
      <c r="E20" s="162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2"/>
      <c r="S20" s="162"/>
      <c r="T20" s="162"/>
      <c r="U20" s="163"/>
      <c r="V20" s="163"/>
      <c r="W20" s="163"/>
      <c r="X20" s="162"/>
      <c r="Y20" s="162"/>
      <c r="Z20" s="163"/>
      <c r="AA20" s="163"/>
      <c r="AB20" s="163"/>
      <c r="AC20" s="163"/>
      <c r="AD20" s="163"/>
      <c r="AE20" s="163"/>
      <c r="AF20" s="163"/>
      <c r="AG20" s="292"/>
      <c r="AH20" s="162"/>
      <c r="AI20" s="162"/>
      <c r="AJ20" s="163"/>
      <c r="AK20" s="163"/>
    </row>
    <row r="21" spans="2:37" x14ac:dyDescent="0.25">
      <c r="C21" s="161"/>
    </row>
    <row r="22" spans="2:37" ht="15.75" thickBot="1" x14ac:dyDescent="0.3">
      <c r="C22" s="161"/>
    </row>
    <row r="23" spans="2:37" ht="15.75" thickBot="1" x14ac:dyDescent="0.3">
      <c r="C23" s="161"/>
      <c r="I23" s="332"/>
      <c r="J23" s="333"/>
      <c r="K23" s="333"/>
      <c r="L23" s="333"/>
      <c r="M23" s="333"/>
      <c r="N23" s="334"/>
      <c r="Q23" s="290"/>
      <c r="R23" s="335" t="s">
        <v>83</v>
      </c>
      <c r="S23" s="333"/>
      <c r="T23" s="333"/>
      <c r="U23" s="333"/>
      <c r="V23" s="334"/>
    </row>
    <row r="24" spans="2:37" ht="15.75" thickBot="1" x14ac:dyDescent="0.3">
      <c r="B24" s="336" t="s">
        <v>84</v>
      </c>
      <c r="C24" s="337"/>
      <c r="D24" s="337"/>
      <c r="E24" s="337"/>
      <c r="F24" s="337"/>
      <c r="G24" s="337"/>
      <c r="H24" s="337"/>
      <c r="I24" s="338"/>
      <c r="J24" s="338"/>
      <c r="K24" s="338"/>
      <c r="L24" s="338"/>
      <c r="M24" s="338"/>
      <c r="N24" s="338"/>
      <c r="O24" s="337"/>
      <c r="P24" s="337"/>
      <c r="Q24" s="338"/>
      <c r="R24" s="337"/>
      <c r="S24" s="337"/>
      <c r="T24" s="337"/>
      <c r="U24" s="337"/>
      <c r="V24" s="337"/>
      <c r="W24" s="339"/>
      <c r="X24" s="164"/>
      <c r="Y24" s="164"/>
      <c r="Z24" s="165"/>
      <c r="AA24" s="165"/>
      <c r="AB24" s="165"/>
      <c r="AC24" s="166"/>
    </row>
    <row r="25" spans="2:37" ht="15.75" thickBot="1" x14ac:dyDescent="0.3">
      <c r="B25" s="167"/>
      <c r="C25" s="168"/>
      <c r="D25" s="340">
        <v>1</v>
      </c>
      <c r="E25" s="340"/>
      <c r="F25" s="340">
        <v>2</v>
      </c>
      <c r="G25" s="340"/>
      <c r="H25" s="340">
        <v>3</v>
      </c>
      <c r="I25" s="340"/>
      <c r="J25" s="340">
        <v>4</v>
      </c>
      <c r="K25" s="340"/>
      <c r="L25" s="340">
        <v>5</v>
      </c>
      <c r="M25" s="300"/>
      <c r="N25" s="300">
        <v>6</v>
      </c>
      <c r="O25" s="301"/>
      <c r="P25" s="300">
        <v>7</v>
      </c>
      <c r="Q25" s="301"/>
      <c r="R25" s="300">
        <v>8</v>
      </c>
      <c r="S25" s="301"/>
      <c r="T25" s="300">
        <v>9</v>
      </c>
      <c r="U25" s="301"/>
      <c r="V25" s="300">
        <v>10</v>
      </c>
      <c r="W25" s="299"/>
      <c r="X25" s="298" t="s">
        <v>85</v>
      </c>
      <c r="Y25" s="299"/>
      <c r="Z25" s="169"/>
      <c r="AA25" s="169"/>
      <c r="AB25" s="169"/>
      <c r="AC25" s="169"/>
    </row>
    <row r="26" spans="2:37" x14ac:dyDescent="0.25">
      <c r="B26" s="170"/>
      <c r="C26" s="171"/>
      <c r="D26" s="172" t="s">
        <v>61</v>
      </c>
      <c r="E26" s="172" t="s">
        <v>62</v>
      </c>
      <c r="F26" s="172" t="s">
        <v>61</v>
      </c>
      <c r="G26" s="172" t="s">
        <v>62</v>
      </c>
      <c r="H26" s="172" t="s">
        <v>61</v>
      </c>
      <c r="I26" s="172" t="s">
        <v>62</v>
      </c>
      <c r="J26" s="172" t="s">
        <v>61</v>
      </c>
      <c r="K26" s="172" t="s">
        <v>62</v>
      </c>
      <c r="L26" s="172" t="s">
        <v>61</v>
      </c>
      <c r="M26" s="172" t="s">
        <v>62</v>
      </c>
      <c r="N26" s="172" t="s">
        <v>61</v>
      </c>
      <c r="O26" s="172" t="s">
        <v>62</v>
      </c>
      <c r="P26" s="172" t="s">
        <v>61</v>
      </c>
      <c r="Q26" s="172" t="s">
        <v>62</v>
      </c>
      <c r="R26" s="172" t="s">
        <v>61</v>
      </c>
      <c r="S26" s="172" t="s">
        <v>62</v>
      </c>
      <c r="T26" s="172" t="s">
        <v>61</v>
      </c>
      <c r="U26" s="172" t="s">
        <v>62</v>
      </c>
      <c r="V26" s="172" t="s">
        <v>61</v>
      </c>
      <c r="W26" s="172" t="s">
        <v>62</v>
      </c>
      <c r="X26" s="85" t="s">
        <v>86</v>
      </c>
      <c r="Y26" s="87" t="s">
        <v>87</v>
      </c>
      <c r="Z26" s="298" t="s">
        <v>72</v>
      </c>
      <c r="AA26" s="299"/>
      <c r="AB26" s="298" t="s">
        <v>88</v>
      </c>
      <c r="AC26" s="299"/>
    </row>
    <row r="27" spans="2:37" ht="14.1" customHeight="1" x14ac:dyDescent="0.25">
      <c r="B27" s="233" t="s">
        <v>89</v>
      </c>
      <c r="C27" s="234">
        <v>45831</v>
      </c>
      <c r="D27" s="175"/>
      <c r="E27" s="176"/>
      <c r="F27" s="175"/>
      <c r="G27" s="176"/>
      <c r="H27" s="175"/>
      <c r="I27" s="176"/>
      <c r="J27" s="175"/>
      <c r="K27" s="176"/>
      <c r="L27" s="175"/>
      <c r="M27" s="176"/>
      <c r="N27" s="177"/>
      <c r="O27" s="176"/>
      <c r="P27" s="175"/>
      <c r="Q27" s="176"/>
      <c r="R27" s="175"/>
      <c r="S27" s="176"/>
      <c r="T27" s="175"/>
      <c r="U27" s="176"/>
      <c r="V27" s="175"/>
      <c r="W27" s="178"/>
      <c r="X27" s="235"/>
      <c r="Y27" s="236"/>
      <c r="Z27" s="330"/>
      <c r="AA27" s="331"/>
      <c r="AB27" s="302" t="str">
        <f>TRUNC(SUM(Z27:Z33)*24,0) &amp; ":" &amp; RIGHT("00"&amp;ROUND(((SUM(Z27:Z33)*24)-TRUNC(SUM(Z27:Z33)*24,0))*60,2),2)</f>
        <v>0:00</v>
      </c>
      <c r="AC27" s="303"/>
      <c r="AD27" s="77"/>
    </row>
    <row r="28" spans="2:37" ht="14.1" customHeight="1" x14ac:dyDescent="0.25">
      <c r="B28" s="173" t="s">
        <v>90</v>
      </c>
      <c r="C28" s="174">
        <v>45832</v>
      </c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3"/>
      <c r="O28" s="182"/>
      <c r="P28" s="181"/>
      <c r="Q28" s="182"/>
      <c r="R28" s="181"/>
      <c r="S28" s="182"/>
      <c r="T28" s="181"/>
      <c r="U28" s="182"/>
      <c r="V28" s="181"/>
      <c r="W28" s="184"/>
      <c r="X28" s="185"/>
      <c r="Y28" s="186"/>
      <c r="Z28" s="316"/>
      <c r="AA28" s="317"/>
      <c r="AB28" s="304"/>
      <c r="AC28" s="305"/>
      <c r="AD28" s="77"/>
    </row>
    <row r="29" spans="2:37" ht="14.1" customHeight="1" x14ac:dyDescent="0.25">
      <c r="B29" s="173" t="s">
        <v>91</v>
      </c>
      <c r="C29" s="174">
        <v>45833</v>
      </c>
      <c r="D29" s="187"/>
      <c r="E29" s="188"/>
      <c r="F29" s="187"/>
      <c r="G29" s="188"/>
      <c r="H29" s="187"/>
      <c r="I29" s="188"/>
      <c r="J29" s="187"/>
      <c r="K29" s="188"/>
      <c r="L29" s="187"/>
      <c r="M29" s="188"/>
      <c r="N29" s="189"/>
      <c r="O29" s="188"/>
      <c r="P29" s="187"/>
      <c r="Q29" s="188"/>
      <c r="R29" s="187"/>
      <c r="S29" s="188"/>
      <c r="T29" s="187"/>
      <c r="U29" s="188"/>
      <c r="V29" s="187"/>
      <c r="W29" s="190"/>
      <c r="X29" s="191"/>
      <c r="Y29" s="192"/>
      <c r="Z29" s="314"/>
      <c r="AA29" s="315"/>
      <c r="AB29" s="306"/>
      <c r="AC29" s="307"/>
      <c r="AD29" s="77"/>
    </row>
    <row r="30" spans="2:37" ht="14.1" customHeight="1" x14ac:dyDescent="0.25">
      <c r="B30" s="173" t="s">
        <v>92</v>
      </c>
      <c r="C30" s="174">
        <v>45834</v>
      </c>
      <c r="D30" s="193"/>
      <c r="E30" s="194"/>
      <c r="F30" s="193"/>
      <c r="G30" s="194"/>
      <c r="H30" s="193"/>
      <c r="I30" s="194"/>
      <c r="J30" s="193"/>
      <c r="K30" s="194"/>
      <c r="L30" s="193"/>
      <c r="M30" s="194"/>
      <c r="N30" s="195"/>
      <c r="O30" s="194"/>
      <c r="P30" s="193"/>
      <c r="Q30" s="194"/>
      <c r="R30" s="193"/>
      <c r="S30" s="194"/>
      <c r="T30" s="193"/>
      <c r="U30" s="194"/>
      <c r="V30" s="193"/>
      <c r="W30" s="196"/>
      <c r="X30" s="197"/>
      <c r="Y30" s="198"/>
      <c r="Z30" s="316"/>
      <c r="AA30" s="317"/>
      <c r="AB30" s="304"/>
      <c r="AC30" s="305"/>
      <c r="AD30" s="77"/>
    </row>
    <row r="31" spans="2:37" ht="14.1" customHeight="1" x14ac:dyDescent="0.25">
      <c r="B31" s="173" t="s">
        <v>93</v>
      </c>
      <c r="C31" s="174">
        <v>45835</v>
      </c>
      <c r="D31" s="187"/>
      <c r="E31" s="188"/>
      <c r="F31" s="187"/>
      <c r="G31" s="188"/>
      <c r="H31" s="187"/>
      <c r="I31" s="188"/>
      <c r="J31" s="187"/>
      <c r="K31" s="188"/>
      <c r="L31" s="187"/>
      <c r="M31" s="188"/>
      <c r="N31" s="189"/>
      <c r="O31" s="188"/>
      <c r="P31" s="187"/>
      <c r="Q31" s="188"/>
      <c r="R31" s="187"/>
      <c r="S31" s="188"/>
      <c r="T31" s="187"/>
      <c r="U31" s="188"/>
      <c r="V31" s="187"/>
      <c r="W31" s="190"/>
      <c r="X31" s="191"/>
      <c r="Y31" s="192"/>
      <c r="Z31" s="314"/>
      <c r="AA31" s="315"/>
      <c r="AB31" s="306"/>
      <c r="AC31" s="307"/>
      <c r="AD31" s="77"/>
    </row>
    <row r="32" spans="2:37" ht="14.1" customHeight="1" thickBot="1" x14ac:dyDescent="0.3">
      <c r="B32" s="173" t="s">
        <v>94</v>
      </c>
      <c r="C32" s="174">
        <v>45836</v>
      </c>
      <c r="D32" s="193"/>
      <c r="E32" s="194"/>
      <c r="F32" s="193"/>
      <c r="G32" s="194"/>
      <c r="H32" s="193"/>
      <c r="I32" s="194"/>
      <c r="J32" s="193"/>
      <c r="K32" s="194"/>
      <c r="L32" s="193"/>
      <c r="M32" s="194"/>
      <c r="N32" s="195"/>
      <c r="O32" s="194"/>
      <c r="P32" s="193"/>
      <c r="Q32" s="194"/>
      <c r="R32" s="193"/>
      <c r="S32" s="194"/>
      <c r="T32" s="193"/>
      <c r="U32" s="194"/>
      <c r="V32" s="193"/>
      <c r="W32" s="196"/>
      <c r="X32" s="197"/>
      <c r="Y32" s="198"/>
      <c r="Z32" s="316"/>
      <c r="AA32" s="317"/>
      <c r="AB32" s="304"/>
      <c r="AC32" s="305"/>
      <c r="AD32" s="77"/>
    </row>
    <row r="33" spans="2:39" ht="14.1" customHeight="1" x14ac:dyDescent="0.25">
      <c r="B33" s="215" t="s">
        <v>95</v>
      </c>
      <c r="C33" s="216">
        <v>45837</v>
      </c>
      <c r="D33" s="237"/>
      <c r="E33" s="238"/>
      <c r="F33" s="237"/>
      <c r="G33" s="238"/>
      <c r="H33" s="237"/>
      <c r="I33" s="238"/>
      <c r="J33" s="237"/>
      <c r="K33" s="238"/>
      <c r="L33" s="237"/>
      <c r="M33" s="238"/>
      <c r="N33" s="239"/>
      <c r="O33" s="238"/>
      <c r="P33" s="237"/>
      <c r="Q33" s="238"/>
      <c r="R33" s="237"/>
      <c r="S33" s="238"/>
      <c r="T33" s="237"/>
      <c r="U33" s="238"/>
      <c r="V33" s="237"/>
      <c r="W33" s="240"/>
      <c r="X33" s="231"/>
      <c r="Y33" s="232"/>
      <c r="Z33" s="324"/>
      <c r="AA33" s="325"/>
      <c r="AB33" s="308"/>
      <c r="AC33" s="309"/>
      <c r="AD33" s="77"/>
      <c r="AE33" s="48"/>
      <c r="AF33" s="49"/>
      <c r="AG33" s="49"/>
      <c r="AH33" s="49"/>
      <c r="AI33" s="49"/>
      <c r="AJ33" s="49"/>
      <c r="AK33" s="49"/>
      <c r="AL33" s="49"/>
      <c r="AM33" s="50"/>
    </row>
    <row r="34" spans="2:39" ht="14.1" customHeight="1" x14ac:dyDescent="0.25">
      <c r="B34" s="173" t="s">
        <v>89</v>
      </c>
      <c r="C34" s="174">
        <v>45838</v>
      </c>
      <c r="D34" s="181"/>
      <c r="E34" s="182"/>
      <c r="F34" s="181"/>
      <c r="G34" s="182"/>
      <c r="H34" s="181"/>
      <c r="I34" s="182"/>
      <c r="J34" s="181"/>
      <c r="K34" s="182"/>
      <c r="L34" s="181"/>
      <c r="M34" s="182"/>
      <c r="N34" s="183"/>
      <c r="O34" s="182"/>
      <c r="P34" s="181"/>
      <c r="Q34" s="182"/>
      <c r="R34" s="181"/>
      <c r="S34" s="182"/>
      <c r="T34" s="181"/>
      <c r="U34" s="182"/>
      <c r="V34" s="181"/>
      <c r="W34" s="184"/>
      <c r="X34" s="185"/>
      <c r="Y34" s="186"/>
      <c r="Z34" s="326"/>
      <c r="AA34" s="327"/>
      <c r="AB34" s="310" t="str">
        <f>TRUNC(SUM(Z34:Z40)*24,0) &amp; ":" &amp; RIGHT("00"&amp;ROUND(((SUM(Z34:Z40)*24)-TRUNC(SUM(Z34:Z40)*24,0))*60,2),2)</f>
        <v>0:00</v>
      </c>
      <c r="AC34" s="311"/>
      <c r="AD34" s="77"/>
      <c r="AE34" s="11"/>
      <c r="AF34" s="297" t="s">
        <v>111</v>
      </c>
      <c r="AG34" s="297"/>
      <c r="AH34" s="297"/>
      <c r="AI34" s="297"/>
      <c r="AJ34" s="297"/>
      <c r="AK34" s="297"/>
      <c r="AL34" s="297"/>
      <c r="AM34" s="12"/>
    </row>
    <row r="35" spans="2:39" ht="14.1" customHeight="1" x14ac:dyDescent="0.25">
      <c r="B35" s="173" t="s">
        <v>90</v>
      </c>
      <c r="C35" s="174">
        <v>45839</v>
      </c>
      <c r="D35" s="187"/>
      <c r="E35" s="188"/>
      <c r="F35" s="187"/>
      <c r="G35" s="188"/>
      <c r="H35" s="187"/>
      <c r="I35" s="188"/>
      <c r="J35" s="187"/>
      <c r="K35" s="188"/>
      <c r="L35" s="187"/>
      <c r="M35" s="188"/>
      <c r="N35" s="189"/>
      <c r="O35" s="188"/>
      <c r="P35" s="187"/>
      <c r="Q35" s="188"/>
      <c r="R35" s="187"/>
      <c r="S35" s="188"/>
      <c r="T35" s="187"/>
      <c r="U35" s="188"/>
      <c r="V35" s="187"/>
      <c r="W35" s="190"/>
      <c r="X35" s="191"/>
      <c r="Y35" s="192"/>
      <c r="Z35" s="314"/>
      <c r="AA35" s="315"/>
      <c r="AB35" s="306"/>
      <c r="AC35" s="307"/>
      <c r="AD35" s="77"/>
      <c r="AE35" s="11"/>
      <c r="AI35" s="160" t="s">
        <v>81</v>
      </c>
      <c r="AM35" s="12"/>
    </row>
    <row r="36" spans="2:39" ht="14.1" customHeight="1" x14ac:dyDescent="0.25">
      <c r="B36" s="173" t="s">
        <v>91</v>
      </c>
      <c r="C36" s="174">
        <v>45840</v>
      </c>
      <c r="D36" s="193"/>
      <c r="E36" s="194"/>
      <c r="F36" s="193"/>
      <c r="G36" s="194"/>
      <c r="H36" s="193"/>
      <c r="I36" s="194"/>
      <c r="J36" s="193"/>
      <c r="K36" s="194"/>
      <c r="L36" s="193"/>
      <c r="M36" s="194"/>
      <c r="N36" s="195"/>
      <c r="O36" s="194"/>
      <c r="P36" s="193"/>
      <c r="Q36" s="194"/>
      <c r="R36" s="193"/>
      <c r="S36" s="194"/>
      <c r="T36" s="193"/>
      <c r="U36" s="194"/>
      <c r="V36" s="193"/>
      <c r="W36" s="196"/>
      <c r="X36" s="197"/>
      <c r="Y36" s="198"/>
      <c r="Z36" s="316"/>
      <c r="AA36" s="317"/>
      <c r="AB36" s="304"/>
      <c r="AC36" s="305"/>
      <c r="AD36" s="77"/>
      <c r="AE36" s="11"/>
      <c r="AF36" s="332" t="s">
        <v>82</v>
      </c>
      <c r="AG36" s="333"/>
      <c r="AH36" s="333"/>
      <c r="AI36" s="333"/>
      <c r="AJ36" s="333"/>
      <c r="AK36" s="333"/>
      <c r="AL36" s="334"/>
      <c r="AM36" s="12"/>
    </row>
    <row r="37" spans="2:39" ht="14.1" customHeight="1" x14ac:dyDescent="0.25">
      <c r="B37" s="173" t="s">
        <v>92</v>
      </c>
      <c r="C37" s="174">
        <v>45841</v>
      </c>
      <c r="D37" s="187"/>
      <c r="E37" s="188"/>
      <c r="F37" s="187"/>
      <c r="G37" s="188"/>
      <c r="H37" s="187"/>
      <c r="I37" s="188"/>
      <c r="J37" s="199"/>
      <c r="K37" s="200"/>
      <c r="L37" s="199"/>
      <c r="M37" s="200"/>
      <c r="N37" s="201"/>
      <c r="O37" s="200"/>
      <c r="P37" s="199"/>
      <c r="Q37" s="200"/>
      <c r="R37" s="199"/>
      <c r="S37" s="200"/>
      <c r="T37" s="199"/>
      <c r="U37" s="200"/>
      <c r="V37" s="199"/>
      <c r="W37" s="202"/>
      <c r="X37" s="191"/>
      <c r="Y37" s="192"/>
      <c r="Z37" s="314"/>
      <c r="AA37" s="315"/>
      <c r="AB37" s="306"/>
      <c r="AC37" s="307"/>
      <c r="AD37" s="77"/>
      <c r="AE37" s="11"/>
      <c r="AM37" s="12"/>
    </row>
    <row r="38" spans="2:39" ht="14.1" customHeight="1" x14ac:dyDescent="0.25">
      <c r="B38" s="173" t="s">
        <v>93</v>
      </c>
      <c r="C38" s="174">
        <v>45842</v>
      </c>
      <c r="D38" s="203"/>
      <c r="E38" s="204"/>
      <c r="F38" s="203"/>
      <c r="G38" s="204"/>
      <c r="H38" s="203"/>
      <c r="I38" s="204"/>
      <c r="J38" s="203"/>
      <c r="K38" s="204"/>
      <c r="L38" s="203"/>
      <c r="M38" s="204"/>
      <c r="N38" s="205"/>
      <c r="O38" s="204"/>
      <c r="P38" s="203"/>
      <c r="Q38" s="204"/>
      <c r="R38" s="203"/>
      <c r="S38" s="204"/>
      <c r="T38" s="203"/>
      <c r="U38" s="204"/>
      <c r="V38" s="203"/>
      <c r="W38" s="206"/>
      <c r="X38" s="207"/>
      <c r="Y38" s="208"/>
      <c r="Z38" s="316"/>
      <c r="AA38" s="317"/>
      <c r="AB38" s="304"/>
      <c r="AC38" s="305"/>
      <c r="AD38" s="77"/>
      <c r="AE38" s="11"/>
      <c r="AM38" s="12"/>
    </row>
    <row r="39" spans="2:39" ht="14.1" customHeight="1" x14ac:dyDescent="0.25">
      <c r="B39" s="173" t="s">
        <v>94</v>
      </c>
      <c r="C39" s="174">
        <v>45843</v>
      </c>
      <c r="D39" s="209"/>
      <c r="E39" s="210"/>
      <c r="F39" s="209"/>
      <c r="G39" s="210"/>
      <c r="H39" s="209"/>
      <c r="I39" s="210"/>
      <c r="J39" s="209"/>
      <c r="K39" s="210"/>
      <c r="L39" s="209"/>
      <c r="M39" s="210"/>
      <c r="N39" s="211"/>
      <c r="O39" s="210"/>
      <c r="P39" s="209"/>
      <c r="Q39" s="210"/>
      <c r="R39" s="209"/>
      <c r="S39" s="210"/>
      <c r="T39" s="209"/>
      <c r="U39" s="210"/>
      <c r="V39" s="209"/>
      <c r="W39" s="212"/>
      <c r="X39" s="213"/>
      <c r="Y39" s="214"/>
      <c r="Z39" s="314"/>
      <c r="AA39" s="315"/>
      <c r="AB39" s="306"/>
      <c r="AC39" s="307"/>
      <c r="AD39" s="77"/>
      <c r="AE39" s="11"/>
      <c r="AM39" s="12"/>
    </row>
    <row r="40" spans="2:39" ht="14.1" customHeight="1" x14ac:dyDescent="0.25">
      <c r="B40" s="215" t="s">
        <v>95</v>
      </c>
      <c r="C40" s="216">
        <v>45844</v>
      </c>
      <c r="D40" s="217"/>
      <c r="E40" s="218"/>
      <c r="F40" s="217"/>
      <c r="G40" s="218"/>
      <c r="H40" s="217"/>
      <c r="I40" s="218"/>
      <c r="J40" s="217"/>
      <c r="K40" s="218"/>
      <c r="L40" s="217"/>
      <c r="M40" s="218"/>
      <c r="N40" s="219"/>
      <c r="O40" s="218"/>
      <c r="P40" s="217"/>
      <c r="Q40" s="218"/>
      <c r="R40" s="217"/>
      <c r="S40" s="218"/>
      <c r="T40" s="217"/>
      <c r="U40" s="218"/>
      <c r="V40" s="217"/>
      <c r="W40" s="220"/>
      <c r="X40" s="221"/>
      <c r="Y40" s="222"/>
      <c r="Z40" s="318"/>
      <c r="AA40" s="319"/>
      <c r="AB40" s="312"/>
      <c r="AC40" s="313"/>
      <c r="AD40" s="77"/>
      <c r="AE40" s="11"/>
      <c r="AM40" s="12"/>
    </row>
    <row r="41" spans="2:39" ht="14.1" customHeight="1" x14ac:dyDescent="0.25">
      <c r="B41" s="241" t="s">
        <v>89</v>
      </c>
      <c r="C41" s="242">
        <v>45845</v>
      </c>
      <c r="D41" s="243"/>
      <c r="E41" s="244"/>
      <c r="F41" s="243"/>
      <c r="G41" s="244"/>
      <c r="H41" s="243"/>
      <c r="I41" s="244"/>
      <c r="J41" s="243"/>
      <c r="K41" s="244"/>
      <c r="L41" s="243"/>
      <c r="M41" s="244"/>
      <c r="N41" s="245"/>
      <c r="O41" s="244"/>
      <c r="P41" s="243"/>
      <c r="Q41" s="244"/>
      <c r="R41" s="243"/>
      <c r="S41" s="244"/>
      <c r="T41" s="243"/>
      <c r="U41" s="244"/>
      <c r="V41" s="243"/>
      <c r="W41" s="246"/>
      <c r="X41" s="247"/>
      <c r="Y41" s="248"/>
      <c r="Z41" s="322"/>
      <c r="AA41" s="323"/>
      <c r="AB41" s="302" t="str">
        <f>TRUNC(SUM(Z41:Z47)*24,0) &amp; ":" &amp; RIGHT("00"&amp;ROUND(((SUM(Z41:Z47)*24)-TRUNC(SUM(Z41:Z47)*24,0))*60,2),2)</f>
        <v>0:00</v>
      </c>
      <c r="AC41" s="303"/>
      <c r="AD41" s="77"/>
      <c r="AE41" s="11"/>
      <c r="AM41" s="12"/>
    </row>
    <row r="42" spans="2:39" ht="14.1" customHeight="1" x14ac:dyDescent="0.25">
      <c r="B42" s="173" t="s">
        <v>90</v>
      </c>
      <c r="C42" s="174">
        <v>45846</v>
      </c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3"/>
      <c r="O42" s="182"/>
      <c r="P42" s="181"/>
      <c r="Q42" s="182"/>
      <c r="R42" s="181"/>
      <c r="S42" s="182"/>
      <c r="T42" s="181"/>
      <c r="U42" s="182"/>
      <c r="V42" s="181"/>
      <c r="W42" s="184"/>
      <c r="X42" s="185"/>
      <c r="Y42" s="186"/>
      <c r="Z42" s="316"/>
      <c r="AA42" s="317"/>
      <c r="AB42" s="304"/>
      <c r="AC42" s="305"/>
      <c r="AD42" s="77"/>
      <c r="AE42" s="11"/>
      <c r="AM42" s="12"/>
    </row>
    <row r="43" spans="2:39" ht="14.1" customHeight="1" x14ac:dyDescent="0.25">
      <c r="B43" s="173" t="s">
        <v>91</v>
      </c>
      <c r="C43" s="174">
        <v>45847</v>
      </c>
      <c r="D43" s="187"/>
      <c r="E43" s="188"/>
      <c r="F43" s="187"/>
      <c r="G43" s="188"/>
      <c r="H43" s="187"/>
      <c r="I43" s="188"/>
      <c r="J43" s="187"/>
      <c r="K43" s="188"/>
      <c r="L43" s="187"/>
      <c r="M43" s="188"/>
      <c r="N43" s="189"/>
      <c r="O43" s="188"/>
      <c r="P43" s="187"/>
      <c r="Q43" s="188"/>
      <c r="R43" s="187"/>
      <c r="S43" s="188"/>
      <c r="T43" s="187"/>
      <c r="U43" s="188"/>
      <c r="V43" s="187"/>
      <c r="W43" s="190"/>
      <c r="X43" s="191"/>
      <c r="Y43" s="192"/>
      <c r="Z43" s="314"/>
      <c r="AA43" s="315"/>
      <c r="AB43" s="306"/>
      <c r="AC43" s="307"/>
      <c r="AD43" s="77"/>
      <c r="AE43" s="11"/>
      <c r="AM43" s="12"/>
    </row>
    <row r="44" spans="2:39" ht="14.1" customHeight="1" x14ac:dyDescent="0.25">
      <c r="B44" s="173" t="s">
        <v>92</v>
      </c>
      <c r="C44" s="174">
        <v>45848</v>
      </c>
      <c r="D44" s="193"/>
      <c r="E44" s="194"/>
      <c r="F44" s="193"/>
      <c r="G44" s="194"/>
      <c r="H44" s="193"/>
      <c r="I44" s="194"/>
      <c r="J44" s="193"/>
      <c r="K44" s="194"/>
      <c r="L44" s="193"/>
      <c r="M44" s="194"/>
      <c r="N44" s="195"/>
      <c r="O44" s="194"/>
      <c r="P44" s="193"/>
      <c r="Q44" s="194"/>
      <c r="R44" s="193"/>
      <c r="S44" s="194"/>
      <c r="T44" s="193"/>
      <c r="U44" s="194"/>
      <c r="V44" s="193"/>
      <c r="W44" s="196"/>
      <c r="X44" s="197"/>
      <c r="Y44" s="198"/>
      <c r="Z44" s="316"/>
      <c r="AA44" s="317"/>
      <c r="AB44" s="304"/>
      <c r="AC44" s="305"/>
      <c r="AD44" s="77"/>
      <c r="AE44" s="11"/>
      <c r="AM44" s="12"/>
    </row>
    <row r="45" spans="2:39" ht="14.1" customHeight="1" thickBot="1" x14ac:dyDescent="0.3">
      <c r="B45" s="173" t="s">
        <v>93</v>
      </c>
      <c r="C45" s="174">
        <v>45849</v>
      </c>
      <c r="D45" s="187"/>
      <c r="E45" s="188"/>
      <c r="F45" s="187"/>
      <c r="G45" s="188"/>
      <c r="H45" s="187"/>
      <c r="I45" s="188"/>
      <c r="J45" s="187"/>
      <c r="K45" s="188"/>
      <c r="L45" s="187"/>
      <c r="M45" s="188"/>
      <c r="N45" s="189"/>
      <c r="O45" s="188"/>
      <c r="P45" s="187"/>
      <c r="Q45" s="188"/>
      <c r="R45" s="187"/>
      <c r="S45" s="188"/>
      <c r="T45" s="187"/>
      <c r="U45" s="188"/>
      <c r="V45" s="187"/>
      <c r="W45" s="190"/>
      <c r="X45" s="191"/>
      <c r="Y45" s="192"/>
      <c r="Z45" s="314"/>
      <c r="AA45" s="315"/>
      <c r="AB45" s="306"/>
      <c r="AC45" s="307"/>
      <c r="AD45" s="77"/>
      <c r="AE45" s="293"/>
      <c r="AF45" s="294">
        <v>2</v>
      </c>
      <c r="AG45" s="13">
        <v>10</v>
      </c>
      <c r="AH45" s="13"/>
      <c r="AI45" s="13"/>
      <c r="AJ45" s="13"/>
      <c r="AK45" s="13"/>
      <c r="AL45" s="13"/>
      <c r="AM45" s="14"/>
    </row>
    <row r="46" spans="2:39" ht="14.1" customHeight="1" x14ac:dyDescent="0.25">
      <c r="B46" s="173" t="s">
        <v>94</v>
      </c>
      <c r="C46" s="174">
        <v>45850</v>
      </c>
      <c r="D46" s="193"/>
      <c r="E46" s="194"/>
      <c r="F46" s="193"/>
      <c r="G46" s="194"/>
      <c r="H46" s="193"/>
      <c r="I46" s="194"/>
      <c r="J46" s="193"/>
      <c r="K46" s="194"/>
      <c r="L46" s="193"/>
      <c r="M46" s="194"/>
      <c r="N46" s="195"/>
      <c r="O46" s="194"/>
      <c r="P46" s="193"/>
      <c r="Q46" s="194"/>
      <c r="R46" s="193"/>
      <c r="S46" s="194"/>
      <c r="T46" s="193"/>
      <c r="U46" s="194"/>
      <c r="V46" s="193"/>
      <c r="W46" s="196"/>
      <c r="X46" s="197"/>
      <c r="Y46" s="198"/>
      <c r="Z46" s="316"/>
      <c r="AA46" s="317"/>
      <c r="AB46" s="304"/>
      <c r="AC46" s="305"/>
      <c r="AD46" s="77"/>
    </row>
    <row r="47" spans="2:39" ht="14.1" customHeight="1" x14ac:dyDescent="0.25">
      <c r="B47" s="215" t="s">
        <v>95</v>
      </c>
      <c r="C47" s="216">
        <v>45851</v>
      </c>
      <c r="D47" s="237"/>
      <c r="E47" s="238"/>
      <c r="F47" s="237"/>
      <c r="G47" s="238"/>
      <c r="H47" s="237"/>
      <c r="I47" s="238"/>
      <c r="J47" s="237"/>
      <c r="K47" s="238"/>
      <c r="L47" s="237"/>
      <c r="M47" s="238"/>
      <c r="N47" s="239"/>
      <c r="O47" s="238"/>
      <c r="P47" s="237"/>
      <c r="Q47" s="238"/>
      <c r="R47" s="237"/>
      <c r="S47" s="238"/>
      <c r="T47" s="237"/>
      <c r="U47" s="238"/>
      <c r="V47" s="237"/>
      <c r="W47" s="240"/>
      <c r="X47" s="231"/>
      <c r="Y47" s="232"/>
      <c r="Z47" s="324"/>
      <c r="AA47" s="325"/>
      <c r="AB47" s="308"/>
      <c r="AC47" s="309"/>
      <c r="AD47" s="77"/>
    </row>
    <row r="48" spans="2:39" ht="14.1" customHeight="1" x14ac:dyDescent="0.25">
      <c r="B48" s="173" t="s">
        <v>89</v>
      </c>
      <c r="C48" s="174">
        <v>45852</v>
      </c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3"/>
      <c r="O48" s="182"/>
      <c r="P48" s="181"/>
      <c r="Q48" s="182"/>
      <c r="R48" s="181"/>
      <c r="S48" s="182"/>
      <c r="T48" s="181"/>
      <c r="U48" s="182"/>
      <c r="V48" s="181"/>
      <c r="W48" s="184"/>
      <c r="X48" s="185"/>
      <c r="Y48" s="186"/>
      <c r="Z48" s="326"/>
      <c r="AA48" s="327"/>
      <c r="AB48" s="310" t="str">
        <f>TRUNC(SUM(Z48:Z54)*24,0) &amp; ":" &amp; RIGHT("00"&amp;ROUND(((SUM(Z48:Z54)*24)-TRUNC(SUM(Z48:Z54)*24,0))*60,2),2)</f>
        <v>0:00</v>
      </c>
      <c r="AC48" s="311"/>
      <c r="AD48" s="77"/>
    </row>
    <row r="49" spans="2:30" ht="14.1" customHeight="1" x14ac:dyDescent="0.25">
      <c r="B49" s="173" t="s">
        <v>90</v>
      </c>
      <c r="C49" s="174">
        <v>45853</v>
      </c>
      <c r="D49" s="187"/>
      <c r="E49" s="188"/>
      <c r="F49" s="187"/>
      <c r="G49" s="188"/>
      <c r="H49" s="187"/>
      <c r="I49" s="188"/>
      <c r="J49" s="187"/>
      <c r="K49" s="188"/>
      <c r="L49" s="187"/>
      <c r="M49" s="188"/>
      <c r="N49" s="189"/>
      <c r="O49" s="188"/>
      <c r="P49" s="187"/>
      <c r="Q49" s="188"/>
      <c r="R49" s="187"/>
      <c r="S49" s="188"/>
      <c r="T49" s="187"/>
      <c r="U49" s="188"/>
      <c r="V49" s="187"/>
      <c r="W49" s="190"/>
      <c r="X49" s="191"/>
      <c r="Y49" s="192"/>
      <c r="Z49" s="314"/>
      <c r="AA49" s="315"/>
      <c r="AB49" s="306"/>
      <c r="AC49" s="307"/>
      <c r="AD49" s="77"/>
    </row>
    <row r="50" spans="2:30" ht="14.1" customHeight="1" x14ac:dyDescent="0.25">
      <c r="B50" s="173" t="s">
        <v>91</v>
      </c>
      <c r="C50" s="174">
        <v>45854</v>
      </c>
      <c r="D50" s="193"/>
      <c r="E50" s="194"/>
      <c r="F50" s="193"/>
      <c r="G50" s="194"/>
      <c r="H50" s="193"/>
      <c r="I50" s="194"/>
      <c r="J50" s="193"/>
      <c r="K50" s="194"/>
      <c r="L50" s="193"/>
      <c r="M50" s="194"/>
      <c r="N50" s="195"/>
      <c r="O50" s="194"/>
      <c r="P50" s="193"/>
      <c r="Q50" s="194"/>
      <c r="R50" s="193"/>
      <c r="S50" s="194"/>
      <c r="T50" s="193"/>
      <c r="U50" s="194"/>
      <c r="V50" s="193"/>
      <c r="W50" s="196"/>
      <c r="X50" s="197"/>
      <c r="Y50" s="198"/>
      <c r="Z50" s="316"/>
      <c r="AA50" s="317"/>
      <c r="AB50" s="304"/>
      <c r="AC50" s="305"/>
      <c r="AD50" s="77"/>
    </row>
    <row r="51" spans="2:30" ht="14.1" customHeight="1" x14ac:dyDescent="0.25">
      <c r="B51" s="173" t="s">
        <v>92</v>
      </c>
      <c r="C51" s="174">
        <v>45855</v>
      </c>
      <c r="D51" s="187"/>
      <c r="E51" s="188"/>
      <c r="F51" s="187"/>
      <c r="G51" s="188"/>
      <c r="H51" s="199"/>
      <c r="I51" s="200"/>
      <c r="J51" s="199"/>
      <c r="K51" s="200"/>
      <c r="L51" s="199"/>
      <c r="M51" s="200"/>
      <c r="N51" s="201"/>
      <c r="O51" s="200"/>
      <c r="P51" s="199"/>
      <c r="Q51" s="200"/>
      <c r="R51" s="199"/>
      <c r="S51" s="200"/>
      <c r="T51" s="199"/>
      <c r="U51" s="200"/>
      <c r="V51" s="199"/>
      <c r="W51" s="202"/>
      <c r="X51" s="191"/>
      <c r="Y51" s="192"/>
      <c r="Z51" s="314"/>
      <c r="AA51" s="315"/>
      <c r="AB51" s="306"/>
      <c r="AC51" s="307"/>
      <c r="AD51" s="77"/>
    </row>
    <row r="52" spans="2:30" ht="14.1" customHeight="1" x14ac:dyDescent="0.25">
      <c r="B52" s="173" t="s">
        <v>93</v>
      </c>
      <c r="C52" s="174">
        <v>45856</v>
      </c>
      <c r="D52" s="203"/>
      <c r="E52" s="204"/>
      <c r="F52" s="203"/>
      <c r="G52" s="204"/>
      <c r="H52" s="203"/>
      <c r="I52" s="204"/>
      <c r="J52" s="203"/>
      <c r="K52" s="204"/>
      <c r="L52" s="203"/>
      <c r="M52" s="204"/>
      <c r="N52" s="205"/>
      <c r="O52" s="204"/>
      <c r="P52" s="203"/>
      <c r="Q52" s="204"/>
      <c r="R52" s="203"/>
      <c r="S52" s="204"/>
      <c r="T52" s="203"/>
      <c r="U52" s="204"/>
      <c r="V52" s="203"/>
      <c r="W52" s="206"/>
      <c r="X52" s="207"/>
      <c r="Y52" s="208"/>
      <c r="Z52" s="316"/>
      <c r="AA52" s="317"/>
      <c r="AB52" s="304"/>
      <c r="AC52" s="305"/>
      <c r="AD52" s="77"/>
    </row>
    <row r="53" spans="2:30" ht="14.1" customHeight="1" x14ac:dyDescent="0.25">
      <c r="B53" s="173" t="s">
        <v>94</v>
      </c>
      <c r="C53" s="174">
        <v>45857</v>
      </c>
      <c r="D53" s="209"/>
      <c r="E53" s="210"/>
      <c r="F53" s="209"/>
      <c r="G53" s="210"/>
      <c r="H53" s="209"/>
      <c r="I53" s="210"/>
      <c r="J53" s="209"/>
      <c r="K53" s="210"/>
      <c r="L53" s="209"/>
      <c r="M53" s="210"/>
      <c r="N53" s="211"/>
      <c r="O53" s="210"/>
      <c r="P53" s="209"/>
      <c r="Q53" s="210"/>
      <c r="R53" s="209"/>
      <c r="S53" s="210"/>
      <c r="T53" s="209"/>
      <c r="U53" s="210"/>
      <c r="V53" s="209"/>
      <c r="W53" s="212"/>
      <c r="X53" s="213"/>
      <c r="Y53" s="214"/>
      <c r="Z53" s="314"/>
      <c r="AA53" s="315"/>
      <c r="AB53" s="306"/>
      <c r="AC53" s="307"/>
      <c r="AD53" s="77"/>
    </row>
    <row r="54" spans="2:30" ht="14.1" customHeight="1" x14ac:dyDescent="0.25">
      <c r="B54" s="215" t="s">
        <v>95</v>
      </c>
      <c r="C54" s="216">
        <v>45858</v>
      </c>
      <c r="D54" s="217"/>
      <c r="E54" s="218"/>
      <c r="F54" s="217"/>
      <c r="G54" s="218"/>
      <c r="H54" s="217"/>
      <c r="I54" s="218"/>
      <c r="J54" s="217"/>
      <c r="K54" s="218"/>
      <c r="L54" s="217"/>
      <c r="M54" s="218"/>
      <c r="N54" s="219"/>
      <c r="O54" s="218"/>
      <c r="P54" s="217"/>
      <c r="Q54" s="218"/>
      <c r="R54" s="217"/>
      <c r="S54" s="218"/>
      <c r="T54" s="217"/>
      <c r="U54" s="218"/>
      <c r="V54" s="217"/>
      <c r="W54" s="220"/>
      <c r="X54" s="221"/>
      <c r="Y54" s="222"/>
      <c r="Z54" s="318"/>
      <c r="AA54" s="319"/>
      <c r="AB54" s="312"/>
      <c r="AC54" s="313"/>
      <c r="AD54" s="77"/>
    </row>
    <row r="55" spans="2:30" ht="14.1" customHeight="1" x14ac:dyDescent="0.25">
      <c r="B55" s="173" t="s">
        <v>89</v>
      </c>
      <c r="C55" s="174">
        <v>45859</v>
      </c>
      <c r="D55" s="223"/>
      <c r="E55" s="224"/>
      <c r="F55" s="223"/>
      <c r="G55" s="224"/>
      <c r="H55" s="223"/>
      <c r="I55" s="224"/>
      <c r="J55" s="223"/>
      <c r="K55" s="224"/>
      <c r="L55" s="223"/>
      <c r="M55" s="224"/>
      <c r="N55" s="225"/>
      <c r="O55" s="224"/>
      <c r="P55" s="223"/>
      <c r="Q55" s="224"/>
      <c r="R55" s="223"/>
      <c r="S55" s="224"/>
      <c r="T55" s="223"/>
      <c r="U55" s="224"/>
      <c r="V55" s="223"/>
      <c r="W55" s="226"/>
      <c r="X55" s="179"/>
      <c r="Y55" s="180"/>
      <c r="Z55" s="322"/>
      <c r="AA55" s="323"/>
      <c r="AB55" s="302" t="str">
        <f>TRUNC(SUM(Z55:Z61)*24,0) &amp; ":" &amp; RIGHT("00"&amp;ROUND(((SUM(Z55:Z61)*24)-TRUNC(SUM(Z55:Z61)*24,0))*60,2),2)</f>
        <v>0:00</v>
      </c>
      <c r="AC55" s="303"/>
      <c r="AD55" s="77"/>
    </row>
    <row r="56" spans="2:30" ht="14.1" customHeight="1" x14ac:dyDescent="0.25">
      <c r="B56" s="173" t="s">
        <v>90</v>
      </c>
      <c r="C56" s="174">
        <v>45860</v>
      </c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3"/>
      <c r="O56" s="182"/>
      <c r="P56" s="181"/>
      <c r="Q56" s="182"/>
      <c r="R56" s="181"/>
      <c r="S56" s="182"/>
      <c r="T56" s="181"/>
      <c r="U56" s="182"/>
      <c r="V56" s="181"/>
      <c r="W56" s="184"/>
      <c r="X56" s="185"/>
      <c r="Y56" s="186"/>
      <c r="Z56" s="316"/>
      <c r="AA56" s="317"/>
      <c r="AB56" s="304"/>
      <c r="AC56" s="305"/>
      <c r="AD56" s="77"/>
    </row>
    <row r="57" spans="2:30" ht="14.1" customHeight="1" x14ac:dyDescent="0.25">
      <c r="B57" s="173" t="s">
        <v>91</v>
      </c>
      <c r="C57" s="174">
        <v>45861</v>
      </c>
      <c r="D57" s="187"/>
      <c r="E57" s="188"/>
      <c r="F57" s="187"/>
      <c r="G57" s="188"/>
      <c r="H57" s="187"/>
      <c r="I57" s="188"/>
      <c r="J57" s="187"/>
      <c r="K57" s="188"/>
      <c r="L57" s="187"/>
      <c r="M57" s="188"/>
      <c r="N57" s="189"/>
      <c r="O57" s="188"/>
      <c r="P57" s="187"/>
      <c r="Q57" s="188"/>
      <c r="R57" s="187"/>
      <c r="S57" s="188"/>
      <c r="T57" s="187"/>
      <c r="U57" s="188"/>
      <c r="V57" s="187"/>
      <c r="W57" s="190"/>
      <c r="X57" s="191"/>
      <c r="Y57" s="192"/>
      <c r="Z57" s="314"/>
      <c r="AA57" s="315"/>
      <c r="AB57" s="306"/>
      <c r="AC57" s="307"/>
      <c r="AD57" s="77"/>
    </row>
    <row r="58" spans="2:30" ht="14.1" customHeight="1" x14ac:dyDescent="0.25">
      <c r="B58" s="173" t="s">
        <v>92</v>
      </c>
      <c r="C58" s="174">
        <v>45862</v>
      </c>
      <c r="D58" s="193"/>
      <c r="E58" s="194"/>
      <c r="F58" s="193"/>
      <c r="G58" s="194"/>
      <c r="H58" s="193"/>
      <c r="I58" s="194"/>
      <c r="J58" s="193"/>
      <c r="K58" s="194"/>
      <c r="L58" s="193"/>
      <c r="M58" s="194"/>
      <c r="N58" s="195"/>
      <c r="O58" s="194"/>
      <c r="P58" s="193"/>
      <c r="Q58" s="194"/>
      <c r="R58" s="193"/>
      <c r="S58" s="194"/>
      <c r="T58" s="193"/>
      <c r="U58" s="194"/>
      <c r="V58" s="193"/>
      <c r="W58" s="196"/>
      <c r="X58" s="197"/>
      <c r="Y58" s="198"/>
      <c r="Z58" s="316"/>
      <c r="AA58" s="317"/>
      <c r="AB58" s="304"/>
      <c r="AC58" s="305"/>
      <c r="AD58" s="77"/>
    </row>
    <row r="59" spans="2:30" ht="14.1" customHeight="1" x14ac:dyDescent="0.25">
      <c r="B59" s="173" t="s">
        <v>93</v>
      </c>
      <c r="C59" s="174">
        <v>45863</v>
      </c>
      <c r="D59" s="187"/>
      <c r="E59" s="188"/>
      <c r="F59" s="187"/>
      <c r="G59" s="188"/>
      <c r="H59" s="187"/>
      <c r="I59" s="188"/>
      <c r="J59" s="187"/>
      <c r="K59" s="188"/>
      <c r="L59" s="187"/>
      <c r="M59" s="188"/>
      <c r="N59" s="189"/>
      <c r="O59" s="188"/>
      <c r="P59" s="187"/>
      <c r="Q59" s="188"/>
      <c r="R59" s="187"/>
      <c r="S59" s="188"/>
      <c r="T59" s="187"/>
      <c r="U59" s="188"/>
      <c r="V59" s="187"/>
      <c r="W59" s="190"/>
      <c r="X59" s="191"/>
      <c r="Y59" s="192"/>
      <c r="Z59" s="314"/>
      <c r="AA59" s="315"/>
      <c r="AB59" s="306"/>
      <c r="AC59" s="307"/>
      <c r="AD59" s="77"/>
    </row>
    <row r="60" spans="2:30" ht="14.1" customHeight="1" x14ac:dyDescent="0.25">
      <c r="B60" s="173" t="s">
        <v>94</v>
      </c>
      <c r="C60" s="174">
        <v>45864</v>
      </c>
      <c r="D60" s="193"/>
      <c r="E60" s="194"/>
      <c r="F60" s="193"/>
      <c r="G60" s="194"/>
      <c r="H60" s="193"/>
      <c r="I60" s="194"/>
      <c r="J60" s="193"/>
      <c r="K60" s="194"/>
      <c r="L60" s="193"/>
      <c r="M60" s="194"/>
      <c r="N60" s="195"/>
      <c r="O60" s="194"/>
      <c r="P60" s="193"/>
      <c r="Q60" s="194"/>
      <c r="R60" s="193"/>
      <c r="S60" s="194"/>
      <c r="T60" s="193"/>
      <c r="U60" s="194"/>
      <c r="V60" s="193"/>
      <c r="W60" s="196"/>
      <c r="X60" s="197"/>
      <c r="Y60" s="198"/>
      <c r="Z60" s="316"/>
      <c r="AA60" s="317"/>
      <c r="AB60" s="304"/>
      <c r="AC60" s="305"/>
      <c r="AD60" s="77"/>
    </row>
    <row r="61" spans="2:30" ht="14.1" customHeight="1" thickBot="1" x14ac:dyDescent="0.3">
      <c r="B61" s="227" t="s">
        <v>95</v>
      </c>
      <c r="C61" s="228">
        <v>45865</v>
      </c>
      <c r="D61" s="251"/>
      <c r="E61" s="252"/>
      <c r="F61" s="251"/>
      <c r="G61" s="252"/>
      <c r="H61" s="251"/>
      <c r="I61" s="252"/>
      <c r="J61" s="251"/>
      <c r="K61" s="252"/>
      <c r="L61" s="251"/>
      <c r="M61" s="252"/>
      <c r="N61" s="253"/>
      <c r="O61" s="252"/>
      <c r="P61" s="251"/>
      <c r="Q61" s="252"/>
      <c r="R61" s="251"/>
      <c r="S61" s="252"/>
      <c r="T61" s="251"/>
      <c r="U61" s="252"/>
      <c r="V61" s="251"/>
      <c r="W61" s="254"/>
      <c r="X61" s="255"/>
      <c r="Y61" s="256"/>
      <c r="Z61" s="320"/>
      <c r="AA61" s="321"/>
      <c r="AB61" s="308"/>
      <c r="AC61" s="309"/>
      <c r="AD61" s="77"/>
    </row>
    <row r="62" spans="2:30" ht="16.5" thickTop="1" thickBot="1" x14ac:dyDescent="0.3">
      <c r="B62" s="229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49"/>
      <c r="Y62" s="250"/>
      <c r="Z62" s="328"/>
      <c r="AA62" s="329"/>
      <c r="AB62" s="285"/>
      <c r="AC62" s="286"/>
    </row>
    <row r="63" spans="2:30" x14ac:dyDescent="0.25"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</row>
    <row r="64" spans="2:30" x14ac:dyDescent="0.25"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</row>
    <row r="65" spans="3:29" x14ac:dyDescent="0.25"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</row>
    <row r="66" spans="3:29" x14ac:dyDescent="0.25"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</row>
    <row r="67" spans="3:29" x14ac:dyDescent="0.25"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</row>
    <row r="68" spans="3:29" x14ac:dyDescent="0.25"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</row>
    <row r="69" spans="3:29" x14ac:dyDescent="0.25"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</row>
    <row r="70" spans="3:29" x14ac:dyDescent="0.25"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</row>
    <row r="71" spans="3:29" x14ac:dyDescent="0.25"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</row>
    <row r="72" spans="3:29" x14ac:dyDescent="0.25"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</row>
    <row r="73" spans="3:29" x14ac:dyDescent="0.25"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</row>
    <row r="74" spans="3:29" x14ac:dyDescent="0.25"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</row>
    <row r="75" spans="3:29" x14ac:dyDescent="0.25"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</row>
    <row r="76" spans="3:29" x14ac:dyDescent="0.25"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</row>
    <row r="77" spans="3:29" x14ac:dyDescent="0.25"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</row>
    <row r="78" spans="3:29" x14ac:dyDescent="0.25"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</row>
    <row r="79" spans="3:29" x14ac:dyDescent="0.25"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</row>
    <row r="80" spans="3:29" x14ac:dyDescent="0.25"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</row>
    <row r="81" spans="3:29" x14ac:dyDescent="0.25"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</row>
    <row r="82" spans="3:29" x14ac:dyDescent="0.25"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</row>
    <row r="83" spans="3:29" x14ac:dyDescent="0.25"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</row>
    <row r="84" spans="3:29" x14ac:dyDescent="0.25"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</row>
    <row r="85" spans="3:29" x14ac:dyDescent="0.25"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</row>
    <row r="86" spans="3:29" x14ac:dyDescent="0.25"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</row>
    <row r="87" spans="3:29" x14ac:dyDescent="0.25"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</row>
    <row r="88" spans="3:29" x14ac:dyDescent="0.25"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</row>
    <row r="89" spans="3:29" x14ac:dyDescent="0.25">
      <c r="X89" s="77"/>
      <c r="Y89" s="77"/>
      <c r="Z89" s="77"/>
    </row>
    <row r="90" spans="3:29" x14ac:dyDescent="0.25">
      <c r="X90" s="77"/>
      <c r="Y90" s="77"/>
      <c r="Z90" s="77"/>
    </row>
    <row r="91" spans="3:29" x14ac:dyDescent="0.25">
      <c r="X91" s="77"/>
      <c r="Y91" s="77"/>
      <c r="Z91" s="77"/>
    </row>
    <row r="92" spans="3:29" x14ac:dyDescent="0.25">
      <c r="X92" s="77"/>
      <c r="Y92" s="77"/>
      <c r="Z92" s="77"/>
    </row>
    <row r="93" spans="3:29" x14ac:dyDescent="0.25">
      <c r="X93" s="77"/>
      <c r="Y93" s="77"/>
      <c r="Z93" s="77"/>
    </row>
    <row r="94" spans="3:29" x14ac:dyDescent="0.25">
      <c r="X94" s="77"/>
      <c r="Y94" s="77"/>
      <c r="Z94" s="77"/>
    </row>
    <row r="95" spans="3:29" x14ac:dyDescent="0.25">
      <c r="X95" s="77"/>
      <c r="Y95" s="77"/>
      <c r="Z95" s="77"/>
    </row>
    <row r="96" spans="3:29" x14ac:dyDescent="0.25">
      <c r="X96" s="77"/>
      <c r="Y96" s="77"/>
      <c r="Z96" s="77"/>
    </row>
  </sheetData>
  <mergeCells count="63"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7:AA47"/>
    <mergeCell ref="Z48:AA48"/>
    <mergeCell ref="Z49:AA49"/>
    <mergeCell ref="Z50:AA50"/>
    <mergeCell ref="Z51:AA51"/>
    <mergeCell ref="Z52:AA52"/>
    <mergeCell ref="Z41:AA41"/>
    <mergeCell ref="Z42:AA42"/>
    <mergeCell ref="Z43:AA43"/>
    <mergeCell ref="Z44:AA44"/>
    <mergeCell ref="AB27:AC33"/>
    <mergeCell ref="AB34:AC40"/>
    <mergeCell ref="AB41:AC47"/>
    <mergeCell ref="Z45:AA45"/>
    <mergeCell ref="Z46:AA46"/>
    <mergeCell ref="Z35:AA35"/>
    <mergeCell ref="Z36:AA36"/>
    <mergeCell ref="Z37:AA37"/>
    <mergeCell ref="Z38:AA38"/>
    <mergeCell ref="Z39:AA39"/>
    <mergeCell ref="Z40:AA40"/>
    <mergeCell ref="AB26:AC26"/>
    <mergeCell ref="P25:Q25"/>
    <mergeCell ref="R25:S25"/>
    <mergeCell ref="T25:U25"/>
    <mergeCell ref="V25:W25"/>
    <mergeCell ref="X25:Y25"/>
    <mergeCell ref="Z26:AA26"/>
    <mergeCell ref="AA1:AB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14,15 à 18"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52</v>
      </c>
      <c r="Q1" t="s">
        <v>26</v>
      </c>
      <c r="AA1" t="s">
        <v>54</v>
      </c>
      <c r="AB1" t="s">
        <v>15</v>
      </c>
    </row>
    <row r="2" spans="4:28" x14ac:dyDescent="0.25">
      <c r="D2" t="s">
        <v>13</v>
      </c>
      <c r="E2" s="297"/>
      <c r="F2" s="297"/>
      <c r="G2" s="297"/>
      <c r="P2" t="s">
        <v>22</v>
      </c>
      <c r="Q2" t="s">
        <v>21</v>
      </c>
      <c r="T2" s="33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41</v>
      </c>
      <c r="AB3" t="s">
        <v>4</v>
      </c>
    </row>
    <row r="4" spans="4:28" x14ac:dyDescent="0.25">
      <c r="D4" t="s">
        <v>14</v>
      </c>
      <c r="E4" s="345"/>
      <c r="F4" s="345"/>
      <c r="G4" s="345"/>
      <c r="P4" t="s">
        <v>23</v>
      </c>
      <c r="Q4" t="s">
        <v>53</v>
      </c>
      <c r="T4" s="35"/>
      <c r="U4" t="s">
        <v>32</v>
      </c>
    </row>
    <row r="5" spans="4:28" x14ac:dyDescent="0.25">
      <c r="T5" s="36"/>
      <c r="U5" t="s">
        <v>33</v>
      </c>
    </row>
    <row r="6" spans="4:28" x14ac:dyDescent="0.25">
      <c r="D6" t="s">
        <v>35</v>
      </c>
      <c r="F6" s="77"/>
      <c r="G6" s="77"/>
      <c r="H6" s="77"/>
      <c r="T6" s="37"/>
      <c r="U6" t="s">
        <v>34</v>
      </c>
    </row>
    <row r="7" spans="4:28" ht="15.75" thickBot="1" x14ac:dyDescent="0.3"/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73"/>
      <c r="P9" s="74"/>
      <c r="Q9" s="75"/>
      <c r="R9" s="76"/>
    </row>
    <row r="10" spans="4:28" ht="15.75" thickBot="1" x14ac:dyDescent="0.3">
      <c r="D10" s="38"/>
      <c r="E10" s="44"/>
      <c r="F10" s="45"/>
      <c r="G10" s="46"/>
      <c r="H10" s="47"/>
      <c r="O10" s="64"/>
      <c r="P10" s="65"/>
      <c r="Q10" s="66"/>
      <c r="R10" s="67"/>
    </row>
    <row r="11" spans="4:28" x14ac:dyDescent="0.25">
      <c r="O11" s="64"/>
      <c r="P11" s="65"/>
      <c r="Q11" s="66"/>
      <c r="R11" s="67"/>
    </row>
    <row r="12" spans="4:28" x14ac:dyDescent="0.25">
      <c r="O12" s="64"/>
      <c r="P12" s="65"/>
      <c r="Q12" s="66"/>
      <c r="R12" s="67"/>
    </row>
    <row r="13" spans="4:28" x14ac:dyDescent="0.25">
      <c r="O13" s="64"/>
      <c r="P13" s="65"/>
      <c r="Q13" s="66"/>
      <c r="R13" s="67"/>
    </row>
    <row r="14" spans="4:28" x14ac:dyDescent="0.25">
      <c r="O14" s="64"/>
      <c r="P14" s="65"/>
      <c r="Q14" s="66"/>
      <c r="R14" s="67"/>
    </row>
    <row r="15" spans="4:28" x14ac:dyDescent="0.25">
      <c r="O15" s="64"/>
      <c r="P15" s="65"/>
      <c r="Q15" s="66"/>
      <c r="R15" s="67"/>
    </row>
    <row r="16" spans="4:28" ht="15.75" thickBot="1" x14ac:dyDescent="0.3">
      <c r="O16" s="64"/>
      <c r="P16" s="65"/>
      <c r="Q16" s="66"/>
      <c r="R16" s="67"/>
    </row>
    <row r="17" spans="4:18" ht="15.75" thickBot="1" x14ac:dyDescent="0.3">
      <c r="D17" s="346" t="s">
        <v>17</v>
      </c>
      <c r="E17" s="347"/>
      <c r="F17" s="347"/>
      <c r="G17" s="348"/>
      <c r="O17" s="64"/>
      <c r="P17" s="65"/>
      <c r="Q17" s="66"/>
      <c r="R17" s="67"/>
    </row>
    <row r="18" spans="4:18" x14ac:dyDescent="0.25">
      <c r="D18" s="11"/>
      <c r="G18" s="12"/>
      <c r="O18" s="64"/>
      <c r="P18" s="65"/>
      <c r="Q18" s="66"/>
      <c r="R18" s="67"/>
    </row>
    <row r="19" spans="4:18" x14ac:dyDescent="0.25">
      <c r="D19" s="11" t="s">
        <v>18</v>
      </c>
      <c r="E19" s="4"/>
      <c r="G19" s="12"/>
      <c r="O19" s="64"/>
      <c r="P19" s="65"/>
      <c r="Q19" s="66"/>
      <c r="R19" s="67"/>
    </row>
    <row r="20" spans="4:18" ht="15.75" thickBot="1" x14ac:dyDescent="0.3">
      <c r="D20" s="24" t="s">
        <v>19</v>
      </c>
      <c r="E20" s="25"/>
      <c r="F20" s="13"/>
      <c r="G20" s="14"/>
      <c r="O20" s="64"/>
      <c r="P20" s="65"/>
      <c r="Q20" s="66"/>
      <c r="R20" s="67"/>
    </row>
    <row r="21" spans="4:18" x14ac:dyDescent="0.25">
      <c r="O21" s="64"/>
      <c r="P21" s="65"/>
      <c r="Q21" s="66"/>
      <c r="R21" s="67"/>
    </row>
    <row r="22" spans="4:18" x14ac:dyDescent="0.25">
      <c r="E22" s="61"/>
      <c r="O22" s="64"/>
      <c r="P22" s="65"/>
      <c r="Q22" s="66"/>
      <c r="R22" s="67"/>
    </row>
    <row r="23" spans="4:18" x14ac:dyDescent="0.25">
      <c r="O23" s="64"/>
      <c r="P23" s="65"/>
      <c r="Q23" s="66"/>
      <c r="R23" s="67"/>
    </row>
    <row r="24" spans="4:18" x14ac:dyDescent="0.25">
      <c r="O24" s="64"/>
      <c r="P24" s="65"/>
      <c r="Q24" s="66"/>
      <c r="R24" s="67"/>
    </row>
    <row r="25" spans="4:18" x14ac:dyDescent="0.25">
      <c r="O25" s="64"/>
      <c r="P25" s="65"/>
      <c r="Q25" s="66"/>
      <c r="R25" s="67"/>
    </row>
    <row r="26" spans="4:18" x14ac:dyDescent="0.25">
      <c r="O26" s="64"/>
      <c r="P26" s="65"/>
      <c r="Q26" s="66"/>
      <c r="R26" s="67"/>
    </row>
    <row r="27" spans="4:18" x14ac:dyDescent="0.25">
      <c r="O27" s="64"/>
      <c r="P27" s="65"/>
      <c r="Q27" s="66"/>
      <c r="R27" s="67"/>
    </row>
    <row r="28" spans="4:18" x14ac:dyDescent="0.25">
      <c r="O28" s="64"/>
      <c r="P28" s="65"/>
      <c r="Q28" s="66"/>
      <c r="R28" s="67"/>
    </row>
    <row r="29" spans="4:18" x14ac:dyDescent="0.25">
      <c r="O29" s="64"/>
      <c r="P29" s="68"/>
      <c r="Q29" s="66"/>
      <c r="R29" s="67"/>
    </row>
    <row r="30" spans="4:18" x14ac:dyDescent="0.25">
      <c r="O30" s="64"/>
      <c r="P30" s="68"/>
      <c r="Q30" s="66"/>
      <c r="R30" s="67"/>
    </row>
    <row r="31" spans="4:18" x14ac:dyDescent="0.25">
      <c r="O31" s="64"/>
      <c r="P31" s="68"/>
      <c r="Q31" s="66"/>
      <c r="R31" s="67"/>
    </row>
    <row r="32" spans="4:18" x14ac:dyDescent="0.25">
      <c r="O32" s="64"/>
      <c r="P32" s="68"/>
      <c r="Q32" s="66"/>
      <c r="R32" s="67"/>
    </row>
    <row r="33" spans="15:18" x14ac:dyDescent="0.25">
      <c r="O33" s="64"/>
      <c r="P33" s="68"/>
      <c r="Q33" s="66"/>
      <c r="R33" s="67"/>
    </row>
    <row r="34" spans="15:18" x14ac:dyDescent="0.25">
      <c r="O34" s="64"/>
      <c r="P34" s="68"/>
      <c r="Q34" s="66"/>
      <c r="R34" s="67"/>
    </row>
    <row r="35" spans="15:18" x14ac:dyDescent="0.25">
      <c r="O35" s="64"/>
      <c r="P35" s="68"/>
      <c r="Q35" s="66"/>
      <c r="R35" s="67"/>
    </row>
    <row r="36" spans="15:18" x14ac:dyDescent="0.25">
      <c r="O36" s="64"/>
      <c r="P36" s="68"/>
      <c r="Q36" s="66"/>
      <c r="R36" s="67"/>
    </row>
    <row r="37" spans="15:18" x14ac:dyDescent="0.25">
      <c r="O37" s="64"/>
      <c r="P37" s="68"/>
      <c r="Q37" s="66"/>
      <c r="R37" s="67"/>
    </row>
    <row r="38" spans="15:18" x14ac:dyDescent="0.25">
      <c r="O38" s="64"/>
      <c r="P38" s="68"/>
      <c r="Q38" s="66"/>
      <c r="R38" s="67"/>
    </row>
    <row r="39" spans="15:18" x14ac:dyDescent="0.25">
      <c r="O39" s="64"/>
      <c r="P39" s="68"/>
      <c r="Q39" s="66"/>
      <c r="R39" s="67"/>
    </row>
    <row r="40" spans="15:18" x14ac:dyDescent="0.25">
      <c r="O40" s="64"/>
      <c r="P40" s="68"/>
      <c r="Q40" s="66"/>
      <c r="R40" s="67"/>
    </row>
    <row r="41" spans="15:18" x14ac:dyDescent="0.25">
      <c r="O41" s="64"/>
      <c r="P41" s="68"/>
      <c r="Q41" s="66"/>
      <c r="R41" s="67"/>
    </row>
    <row r="42" spans="15:18" x14ac:dyDescent="0.25">
      <c r="O42" s="64"/>
      <c r="P42" s="68"/>
      <c r="Q42" s="66"/>
      <c r="R42" s="67"/>
    </row>
    <row r="43" spans="15:18" x14ac:dyDescent="0.25">
      <c r="O43" s="64"/>
      <c r="P43" s="68"/>
      <c r="Q43" s="66"/>
      <c r="R43" s="67"/>
    </row>
    <row r="44" spans="15:18" x14ac:dyDescent="0.25">
      <c r="O44" s="64"/>
      <c r="P44" s="68"/>
      <c r="Q44" s="66"/>
      <c r="R44" s="67"/>
    </row>
    <row r="45" spans="15:18" x14ac:dyDescent="0.25">
      <c r="O45" s="64"/>
      <c r="P45" s="68"/>
      <c r="Q45" s="66"/>
      <c r="R45" s="67"/>
    </row>
    <row r="46" spans="15:18" x14ac:dyDescent="0.25">
      <c r="O46" s="64"/>
      <c r="P46" s="68"/>
      <c r="Q46" s="66"/>
      <c r="R46" s="67"/>
    </row>
    <row r="47" spans="15:18" x14ac:dyDescent="0.25">
      <c r="O47" s="64"/>
      <c r="P47" s="68"/>
      <c r="Q47" s="66"/>
      <c r="R47" s="67"/>
    </row>
    <row r="48" spans="15:18" x14ac:dyDescent="0.25">
      <c r="O48" s="64"/>
      <c r="P48" s="68"/>
      <c r="Q48" s="66"/>
      <c r="R48" s="67"/>
    </row>
    <row r="49" spans="15:18" ht="15.75" thickBot="1" x14ac:dyDescent="0.3">
      <c r="O49" s="69"/>
      <c r="P49" s="70"/>
      <c r="Q49" s="71"/>
      <c r="R49" s="7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B20" sqref="B2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49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349" t="s">
        <v>46</v>
      </c>
      <c r="M2" s="350"/>
      <c r="N2" s="350"/>
      <c r="O2" s="350"/>
      <c r="P2" s="350"/>
      <c r="Q2" s="351"/>
    </row>
    <row r="3" spans="1:17" ht="15.75" thickBot="1" x14ac:dyDescent="0.3">
      <c r="A3" s="1"/>
      <c r="B3" s="43"/>
      <c r="C3" s="28"/>
      <c r="D3" s="31"/>
      <c r="L3" s="352"/>
      <c r="M3" s="353"/>
      <c r="N3" s="353"/>
      <c r="O3" s="353"/>
      <c r="P3" s="353"/>
      <c r="Q3" s="354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43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43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43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43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43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43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43"/>
      <c r="C13" s="6"/>
      <c r="D13" s="31"/>
      <c r="L13" s="11"/>
      <c r="M13" s="51"/>
      <c r="N13" s="355" t="s">
        <v>47</v>
      </c>
      <c r="O13" s="355"/>
      <c r="P13" s="51"/>
      <c r="Q13" s="12"/>
    </row>
    <row r="14" spans="1:17" x14ac:dyDescent="0.25">
      <c r="A14" s="1"/>
      <c r="B14" s="43"/>
      <c r="C14" s="6"/>
      <c r="D14" s="31"/>
      <c r="L14" s="52" t="s">
        <v>48</v>
      </c>
      <c r="M14" s="51"/>
      <c r="N14" s="51"/>
      <c r="O14" s="51"/>
      <c r="P14" s="51"/>
      <c r="Q14" s="12"/>
    </row>
    <row r="15" spans="1:17" x14ac:dyDescent="0.25">
      <c r="A15" s="1"/>
      <c r="B15" s="43"/>
      <c r="C15" s="6"/>
      <c r="D15" s="31"/>
      <c r="L15" s="52"/>
      <c r="M15" s="51"/>
      <c r="N15" s="51"/>
      <c r="O15" s="51"/>
      <c r="P15" s="51"/>
      <c r="Q15" s="12"/>
    </row>
    <row r="16" spans="1:17" x14ac:dyDescent="0.25">
      <c r="A16" s="1"/>
      <c r="B16" s="43"/>
      <c r="C16" s="6"/>
      <c r="D16" s="31"/>
      <c r="L16" s="11"/>
      <c r="M16" s="53"/>
      <c r="N16" s="51"/>
      <c r="O16" s="51"/>
      <c r="P16" s="51"/>
      <c r="Q16" s="12"/>
    </row>
    <row r="17" spans="1:22" x14ac:dyDescent="0.25">
      <c r="A17" s="1"/>
      <c r="B17" s="43"/>
      <c r="C17" s="6"/>
      <c r="D17" s="31"/>
      <c r="L17" s="11"/>
      <c r="M17" s="51"/>
      <c r="N17" s="51"/>
      <c r="O17" s="51"/>
      <c r="P17" s="51"/>
      <c r="Q17" s="12"/>
    </row>
    <row r="18" spans="1:22" x14ac:dyDescent="0.25">
      <c r="A18" s="1"/>
      <c r="B18" s="43"/>
      <c r="C18" s="6"/>
      <c r="D18" s="31"/>
      <c r="L18" s="11"/>
      <c r="M18" s="51"/>
      <c r="N18" s="51"/>
      <c r="O18" s="51"/>
      <c r="P18" s="51"/>
      <c r="Q18" s="12"/>
    </row>
    <row r="19" spans="1:22" x14ac:dyDescent="0.25">
      <c r="A19" s="1"/>
      <c r="B19" s="43"/>
      <c r="C19" s="6"/>
      <c r="D19" s="31"/>
      <c r="L19" s="11"/>
      <c r="M19" s="51"/>
      <c r="N19" s="51"/>
      <c r="O19" s="51"/>
      <c r="P19" s="51"/>
      <c r="Q19" s="12"/>
    </row>
    <row r="20" spans="1:22" x14ac:dyDescent="0.25">
      <c r="A20" s="1"/>
      <c r="B20" s="43"/>
      <c r="C20" s="6"/>
      <c r="D20" s="31"/>
      <c r="L20" s="11"/>
      <c r="M20" s="51"/>
      <c r="N20" s="51"/>
      <c r="O20" s="51"/>
      <c r="P20" s="51"/>
      <c r="Q20" s="12"/>
    </row>
    <row r="21" spans="1:22" x14ac:dyDescent="0.25">
      <c r="A21" s="1"/>
      <c r="B21" s="43"/>
      <c r="C21" s="6"/>
      <c r="D21" s="31"/>
      <c r="L21" s="11"/>
      <c r="M21" s="51"/>
      <c r="N21" s="51"/>
      <c r="O21" s="51"/>
      <c r="P21" s="51"/>
      <c r="Q21" s="12"/>
    </row>
    <row r="22" spans="1:22" x14ac:dyDescent="0.25">
      <c r="A22" s="1"/>
      <c r="B22" s="43"/>
      <c r="C22" s="6"/>
      <c r="D22" s="31"/>
      <c r="L22" s="11"/>
      <c r="M22" s="51"/>
      <c r="N22" s="51"/>
      <c r="O22" s="51"/>
      <c r="P22" s="51"/>
      <c r="Q22" s="12"/>
    </row>
    <row r="23" spans="1:22" x14ac:dyDescent="0.25">
      <c r="A23" s="1"/>
      <c r="B23" s="43"/>
      <c r="C23" s="6"/>
      <c r="D23" s="31"/>
      <c r="L23" s="11"/>
      <c r="M23" s="51"/>
      <c r="N23" s="51"/>
      <c r="O23" s="51"/>
      <c r="P23" s="51"/>
      <c r="Q23" s="12"/>
    </row>
    <row r="24" spans="1:22" x14ac:dyDescent="0.25">
      <c r="A24" s="1"/>
      <c r="B24" s="43"/>
      <c r="C24" s="6"/>
      <c r="D24" s="31"/>
      <c r="L24" s="11"/>
      <c r="M24" s="51"/>
      <c r="N24" s="51"/>
      <c r="O24" s="51"/>
      <c r="P24" s="51"/>
      <c r="Q24" s="12"/>
      <c r="V24" s="62"/>
    </row>
    <row r="25" spans="1:22" x14ac:dyDescent="0.25">
      <c r="A25" s="1"/>
      <c r="B25" s="43"/>
      <c r="C25" s="6"/>
      <c r="D25" s="31"/>
      <c r="L25" s="11"/>
      <c r="M25" s="51"/>
      <c r="N25" s="51"/>
      <c r="O25" s="51"/>
      <c r="P25" s="51"/>
      <c r="Q25" s="12"/>
    </row>
    <row r="26" spans="1:22" x14ac:dyDescent="0.25">
      <c r="A26" s="1"/>
      <c r="B26" s="43"/>
      <c r="C26" s="6"/>
      <c r="D26" s="31"/>
      <c r="L26" s="11"/>
      <c r="M26" s="51"/>
      <c r="N26" s="51"/>
      <c r="O26" s="51"/>
      <c r="P26" s="51"/>
      <c r="Q26" s="12"/>
    </row>
    <row r="27" spans="1:22" x14ac:dyDescent="0.25">
      <c r="A27" s="1"/>
      <c r="B27" s="43"/>
      <c r="C27" s="6"/>
      <c r="D27" s="31"/>
      <c r="L27" s="11"/>
      <c r="M27" s="51"/>
      <c r="N27" s="51"/>
      <c r="O27" s="51"/>
      <c r="P27" s="51"/>
      <c r="Q27" s="12"/>
    </row>
    <row r="28" spans="1:22" x14ac:dyDescent="0.25">
      <c r="A28" s="1"/>
      <c r="B28" s="43"/>
      <c r="C28" s="6"/>
      <c r="D28" s="31"/>
      <c r="L28" s="11"/>
      <c r="M28" s="51"/>
      <c r="N28" s="51"/>
      <c r="O28" s="51"/>
      <c r="P28" s="51"/>
      <c r="Q28" s="12"/>
    </row>
    <row r="29" spans="1:22" x14ac:dyDescent="0.25">
      <c r="A29" s="1"/>
      <c r="B29" s="43"/>
      <c r="C29" s="6"/>
      <c r="D29" s="31"/>
      <c r="L29" s="11"/>
      <c r="M29" s="51"/>
      <c r="N29" s="51"/>
      <c r="O29" s="51"/>
      <c r="P29" s="51"/>
      <c r="Q29" s="12"/>
    </row>
    <row r="30" spans="1:22" ht="15.75" thickBot="1" x14ac:dyDescent="0.3">
      <c r="A30" s="2"/>
      <c r="B30" s="291"/>
      <c r="C30" s="7"/>
      <c r="D30" s="32"/>
      <c r="L30" s="11"/>
      <c r="M30" s="51"/>
      <c r="N30" s="51"/>
      <c r="O30" s="51"/>
      <c r="P30" s="51"/>
      <c r="Q30" s="12"/>
    </row>
    <row r="31" spans="1:22" ht="15.75" thickTop="1" x14ac:dyDescent="0.25">
      <c r="L31" s="11"/>
      <c r="M31" s="51"/>
      <c r="N31" s="51"/>
      <c r="O31" s="51"/>
      <c r="P31" s="51"/>
      <c r="Q31" s="12"/>
    </row>
    <row r="32" spans="1:22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45</v>
      </c>
    </row>
    <row r="39" spans="1:17" ht="15.75" x14ac:dyDescent="0.25">
      <c r="B39" t="s">
        <v>28</v>
      </c>
      <c r="C39" s="297"/>
      <c r="D39" s="297"/>
      <c r="E39" s="9" t="s">
        <v>27</v>
      </c>
    </row>
    <row r="41" spans="1:17" s="39" customFormat="1" ht="15.75" x14ac:dyDescent="0.25">
      <c r="B41" s="39" t="s">
        <v>36</v>
      </c>
      <c r="C41" s="295"/>
      <c r="E41" s="40" t="s">
        <v>37</v>
      </c>
    </row>
    <row r="42" spans="1:17" s="39" customFormat="1" ht="15.75" x14ac:dyDescent="0.25">
      <c r="B42" s="39" t="s">
        <v>38</v>
      </c>
      <c r="C42" s="296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295"/>
      <c r="E44" s="10" t="s">
        <v>9</v>
      </c>
    </row>
    <row r="45" spans="1:17" x14ac:dyDescent="0.25">
      <c r="B45" s="8" t="s">
        <v>6</v>
      </c>
      <c r="C45" s="296"/>
      <c r="E45" s="10" t="s">
        <v>10</v>
      </c>
    </row>
    <row r="46" spans="1:17" x14ac:dyDescent="0.25">
      <c r="B46" s="8" t="s">
        <v>7</v>
      </c>
      <c r="C46" s="296"/>
    </row>
    <row r="47" spans="1:17" x14ac:dyDescent="0.25">
      <c r="B47" s="8" t="s">
        <v>8</v>
      </c>
      <c r="C47" s="296"/>
    </row>
    <row r="49" spans="2:4" x14ac:dyDescent="0.25">
      <c r="B49" s="8" t="s">
        <v>42</v>
      </c>
      <c r="C49" t="s">
        <v>43</v>
      </c>
      <c r="D49" s="39"/>
    </row>
    <row r="50" spans="2:4" x14ac:dyDescent="0.25">
      <c r="C50" t="s">
        <v>44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O44" sqref="BO44"/>
    </sheetView>
  </sheetViews>
  <sheetFormatPr baseColWidth="10" defaultRowHeight="15" x14ac:dyDescent="0.25"/>
  <cols>
    <col min="1" max="64" width="6.7109375" style="39" customWidth="1"/>
    <col min="65" max="16384" width="11.42578125" style="39"/>
  </cols>
  <sheetData>
    <row r="1" spans="1:65" ht="15.75" thickBot="1" x14ac:dyDescent="0.3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>
        <v>0</v>
      </c>
      <c r="V1" s="79">
        <v>0</v>
      </c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</row>
    <row r="2" spans="1:65" ht="15.75" thickBot="1" x14ac:dyDescent="0.3">
      <c r="A2" s="336"/>
      <c r="B2" s="337"/>
      <c r="C2" s="337"/>
      <c r="D2" s="337"/>
      <c r="E2" s="337"/>
      <c r="F2" s="337"/>
      <c r="G2" s="337"/>
      <c r="H2" s="366" t="s">
        <v>55</v>
      </c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7"/>
      <c r="U2" s="368">
        <v>0</v>
      </c>
      <c r="V2" s="369"/>
      <c r="W2" s="369"/>
      <c r="X2" s="369"/>
      <c r="Y2" s="369"/>
      <c r="Z2" s="369"/>
      <c r="AA2" s="369"/>
      <c r="AB2" s="369"/>
      <c r="AC2" s="369"/>
      <c r="AD2" s="369"/>
      <c r="AE2" s="369"/>
      <c r="AF2" s="369"/>
      <c r="AG2" s="369"/>
      <c r="AH2" s="369"/>
      <c r="AI2" s="369"/>
      <c r="AJ2" s="369"/>
      <c r="AK2" s="369"/>
      <c r="AL2" s="369"/>
      <c r="AM2" s="369"/>
      <c r="AN2" s="369"/>
      <c r="AO2" s="360" t="s">
        <v>56</v>
      </c>
      <c r="AP2" s="361"/>
      <c r="AQ2" s="361"/>
      <c r="AR2" s="361"/>
      <c r="AS2" s="361"/>
      <c r="AT2" s="361"/>
      <c r="AU2" s="361"/>
      <c r="AV2" s="361"/>
      <c r="AW2" s="361"/>
      <c r="AX2" s="361"/>
      <c r="AY2" s="361"/>
      <c r="AZ2" s="361"/>
      <c r="BA2" s="362"/>
      <c r="BB2" s="363"/>
      <c r="BC2" s="364"/>
      <c r="BD2" s="364"/>
      <c r="BE2" s="364"/>
      <c r="BF2" s="364"/>
      <c r="BG2" s="364"/>
      <c r="BH2" s="364"/>
      <c r="BI2" s="364"/>
      <c r="BJ2" s="364"/>
      <c r="BK2" s="364"/>
      <c r="BL2" s="365"/>
    </row>
    <row r="3" spans="1:65" ht="15.75" thickBot="1" x14ac:dyDescent="0.3">
      <c r="A3" s="340">
        <v>1</v>
      </c>
      <c r="B3" s="340"/>
      <c r="C3" s="340">
        <v>2</v>
      </c>
      <c r="D3" s="340"/>
      <c r="E3" s="340">
        <v>3</v>
      </c>
      <c r="F3" s="340"/>
      <c r="G3" s="340">
        <v>4</v>
      </c>
      <c r="H3" s="340"/>
      <c r="I3" s="300">
        <v>5</v>
      </c>
      <c r="J3" s="301"/>
      <c r="K3" s="300">
        <v>6</v>
      </c>
      <c r="L3" s="301"/>
      <c r="M3" s="300">
        <v>7</v>
      </c>
      <c r="N3" s="301"/>
      <c r="O3" s="300">
        <v>8</v>
      </c>
      <c r="P3" s="301"/>
      <c r="Q3" s="300">
        <v>9</v>
      </c>
      <c r="R3" s="301"/>
      <c r="S3" s="300">
        <v>10</v>
      </c>
      <c r="T3" s="299"/>
      <c r="U3" s="298">
        <v>1</v>
      </c>
      <c r="V3" s="301"/>
      <c r="W3" s="300">
        <v>2</v>
      </c>
      <c r="X3" s="301"/>
      <c r="Y3" s="300">
        <v>3</v>
      </c>
      <c r="Z3" s="301"/>
      <c r="AA3" s="300">
        <v>4</v>
      </c>
      <c r="AB3" s="301"/>
      <c r="AC3" s="300">
        <v>5</v>
      </c>
      <c r="AD3" s="301"/>
      <c r="AE3" s="300">
        <v>6</v>
      </c>
      <c r="AF3" s="301"/>
      <c r="AG3" s="300">
        <v>7</v>
      </c>
      <c r="AH3" s="301"/>
      <c r="AI3" s="300">
        <v>8</v>
      </c>
      <c r="AJ3" s="301"/>
      <c r="AK3" s="300">
        <v>9</v>
      </c>
      <c r="AL3" s="301"/>
      <c r="AM3" s="300">
        <v>10</v>
      </c>
      <c r="AN3" s="299"/>
      <c r="AO3" s="357" t="s">
        <v>57</v>
      </c>
      <c r="AP3" s="358"/>
      <c r="AQ3" s="358"/>
      <c r="AR3" s="359"/>
      <c r="AS3" s="357" t="s">
        <v>58</v>
      </c>
      <c r="AT3" s="358"/>
      <c r="AU3" s="358"/>
      <c r="AV3" s="358"/>
      <c r="AW3" s="358"/>
      <c r="AX3" s="358"/>
      <c r="AY3" s="298" t="s">
        <v>59</v>
      </c>
      <c r="AZ3" s="356"/>
      <c r="BA3" s="299"/>
      <c r="BB3" s="370" t="s">
        <v>60</v>
      </c>
      <c r="BC3" s="371"/>
      <c r="BD3" s="371"/>
      <c r="BE3" s="371"/>
      <c r="BF3" s="371"/>
      <c r="BG3" s="371"/>
      <c r="BH3" s="371"/>
      <c r="BI3" s="371"/>
      <c r="BJ3" s="371"/>
      <c r="BK3" s="371"/>
      <c r="BL3" s="372"/>
    </row>
    <row r="4" spans="1:65" ht="12.75" customHeight="1" x14ac:dyDescent="0.25">
      <c r="A4" s="80" t="s">
        <v>61</v>
      </c>
      <c r="B4" s="80" t="s">
        <v>62</v>
      </c>
      <c r="C4" s="80" t="s">
        <v>61</v>
      </c>
      <c r="D4" s="80" t="s">
        <v>62</v>
      </c>
      <c r="E4" s="80" t="s">
        <v>61</v>
      </c>
      <c r="F4" s="80" t="s">
        <v>62</v>
      </c>
      <c r="G4" s="80" t="s">
        <v>61</v>
      </c>
      <c r="H4" s="80" t="s">
        <v>62</v>
      </c>
      <c r="I4" s="80" t="s">
        <v>61</v>
      </c>
      <c r="J4" s="80" t="s">
        <v>62</v>
      </c>
      <c r="K4" s="80" t="s">
        <v>61</v>
      </c>
      <c r="L4" s="80" t="s">
        <v>62</v>
      </c>
      <c r="M4" s="80" t="s">
        <v>61</v>
      </c>
      <c r="N4" s="80" t="s">
        <v>62</v>
      </c>
      <c r="O4" s="80" t="s">
        <v>61</v>
      </c>
      <c r="P4" s="80" t="s">
        <v>62</v>
      </c>
      <c r="Q4" s="80" t="s">
        <v>61</v>
      </c>
      <c r="R4" s="80" t="s">
        <v>62</v>
      </c>
      <c r="S4" s="80" t="s">
        <v>61</v>
      </c>
      <c r="T4" s="81" t="s">
        <v>62</v>
      </c>
      <c r="U4" s="80" t="s">
        <v>61</v>
      </c>
      <c r="V4" s="80" t="s">
        <v>62</v>
      </c>
      <c r="W4" s="80" t="s">
        <v>61</v>
      </c>
      <c r="X4" s="80" t="s">
        <v>62</v>
      </c>
      <c r="Y4" s="80" t="s">
        <v>61</v>
      </c>
      <c r="Z4" s="80" t="s">
        <v>62</v>
      </c>
      <c r="AA4" s="80" t="s">
        <v>61</v>
      </c>
      <c r="AB4" s="80" t="s">
        <v>62</v>
      </c>
      <c r="AC4" s="80" t="s">
        <v>61</v>
      </c>
      <c r="AD4" s="80" t="s">
        <v>62</v>
      </c>
      <c r="AE4" s="80" t="s">
        <v>61</v>
      </c>
      <c r="AF4" s="80" t="s">
        <v>62</v>
      </c>
      <c r="AG4" s="80" t="s">
        <v>61</v>
      </c>
      <c r="AH4" s="80" t="s">
        <v>62</v>
      </c>
      <c r="AI4" s="80" t="s">
        <v>61</v>
      </c>
      <c r="AJ4" s="80" t="s">
        <v>62</v>
      </c>
      <c r="AK4" s="80" t="s">
        <v>61</v>
      </c>
      <c r="AL4" s="80" t="s">
        <v>62</v>
      </c>
      <c r="AM4" s="80" t="s">
        <v>61</v>
      </c>
      <c r="AN4" s="81" t="s">
        <v>62</v>
      </c>
      <c r="AO4" s="82" t="s">
        <v>63</v>
      </c>
      <c r="AP4" s="83" t="s">
        <v>64</v>
      </c>
      <c r="AQ4" s="83" t="s">
        <v>65</v>
      </c>
      <c r="AR4" s="84" t="s">
        <v>66</v>
      </c>
      <c r="AS4" s="85" t="s">
        <v>61</v>
      </c>
      <c r="AT4" s="86" t="s">
        <v>4</v>
      </c>
      <c r="AU4" s="86" t="s">
        <v>67</v>
      </c>
      <c r="AV4" s="86" t="s">
        <v>4</v>
      </c>
      <c r="AW4" s="86" t="s">
        <v>68</v>
      </c>
      <c r="AX4" s="86" t="s">
        <v>62</v>
      </c>
      <c r="AY4" s="85" t="s">
        <v>69</v>
      </c>
      <c r="AZ4" s="86" t="s">
        <v>70</v>
      </c>
      <c r="BA4" s="87" t="s">
        <v>71</v>
      </c>
      <c r="BB4" s="63">
        <v>1</v>
      </c>
      <c r="BC4" s="63">
        <v>2</v>
      </c>
      <c r="BD4" s="63">
        <v>3</v>
      </c>
      <c r="BE4" s="63">
        <v>4</v>
      </c>
      <c r="BF4" s="63">
        <v>5</v>
      </c>
      <c r="BG4" s="63">
        <v>6</v>
      </c>
      <c r="BH4" s="63">
        <v>7</v>
      </c>
      <c r="BI4" s="63">
        <v>8</v>
      </c>
      <c r="BJ4" s="63">
        <v>9</v>
      </c>
      <c r="BK4" s="63">
        <v>10</v>
      </c>
      <c r="BL4" s="88" t="s">
        <v>72</v>
      </c>
      <c r="BM4" s="89" t="s">
        <v>73</v>
      </c>
    </row>
    <row r="5" spans="1:65" x14ac:dyDescent="0.25">
      <c r="A5" s="90">
        <v>0</v>
      </c>
      <c r="B5" s="91">
        <v>0</v>
      </c>
      <c r="C5" s="90">
        <v>0</v>
      </c>
      <c r="D5" s="91">
        <v>0</v>
      </c>
      <c r="E5" s="90">
        <v>0</v>
      </c>
      <c r="F5" s="91">
        <v>0</v>
      </c>
      <c r="G5" s="90">
        <v>0</v>
      </c>
      <c r="H5" s="91">
        <v>0</v>
      </c>
      <c r="I5" s="90">
        <v>0</v>
      </c>
      <c r="J5" s="91">
        <v>0</v>
      </c>
      <c r="K5" s="90">
        <v>0</v>
      </c>
      <c r="L5" s="91">
        <v>0</v>
      </c>
      <c r="M5" s="90">
        <v>0</v>
      </c>
      <c r="N5" s="91">
        <v>0</v>
      </c>
      <c r="O5" s="90">
        <v>0</v>
      </c>
      <c r="P5" s="91">
        <v>0</v>
      </c>
      <c r="Q5" s="90">
        <v>0</v>
      </c>
      <c r="R5" s="91">
        <v>0</v>
      </c>
      <c r="S5" s="90">
        <v>0</v>
      </c>
      <c r="T5" s="91">
        <v>0</v>
      </c>
      <c r="U5" s="92">
        <v>0</v>
      </c>
      <c r="V5" s="91">
        <v>0</v>
      </c>
      <c r="W5" s="90">
        <v>0</v>
      </c>
      <c r="X5" s="91">
        <v>0</v>
      </c>
      <c r="Y5" s="90">
        <v>0</v>
      </c>
      <c r="Z5" s="91">
        <v>0</v>
      </c>
      <c r="AA5" s="90">
        <v>0</v>
      </c>
      <c r="AB5" s="91">
        <v>0</v>
      </c>
      <c r="AC5" s="90">
        <v>0</v>
      </c>
      <c r="AD5" s="91">
        <v>0</v>
      </c>
      <c r="AE5" s="90">
        <v>0</v>
      </c>
      <c r="AF5" s="91">
        <v>0</v>
      </c>
      <c r="AG5" s="90">
        <v>0</v>
      </c>
      <c r="AH5" s="91">
        <v>0</v>
      </c>
      <c r="AI5" s="90">
        <v>0</v>
      </c>
      <c r="AJ5" s="91">
        <v>0</v>
      </c>
      <c r="AK5" s="90">
        <v>0</v>
      </c>
      <c r="AL5" s="91">
        <v>0</v>
      </c>
      <c r="AM5" s="93">
        <v>0</v>
      </c>
      <c r="AN5" s="94">
        <v>0</v>
      </c>
      <c r="AO5" s="95">
        <f t="shared" ref="AO5:AO42" si="0">IF(AND(V5*24&gt;=11,V5*24&lt;=13.5),IF((W5-V5)*24&gt;=1,1,IF(AND(V5*24&gt;=18.5,V5*24&lt;=22),6,0)),0)</f>
        <v>0</v>
      </c>
      <c r="AP5" s="96">
        <f t="shared" ref="AP5:AP42" si="1">IF(AND(X5*24&gt;=11,X5*24&lt;=13.5),IF((Y5-X5)*24&gt;=1,1,IF(AND(X5*24&gt;=18.5,X5*24&lt;=22),6,0)),0)</f>
        <v>0</v>
      </c>
      <c r="AQ5" s="96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97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98">
        <f t="shared" ref="AS5:AS42" si="4">IF(U5*24&gt;11,0,U5)</f>
        <v>0</v>
      </c>
      <c r="AT5" s="99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99">
        <f t="shared" ref="AU5:AU42" si="6">IF(U5&gt;0,IF(AS5&gt;0,IF(AND(AN5&gt;0,AN5=AT5),0,IF(AND(AB5&gt;0,AB5=AT5),AM5,IF(AND(Z5&gt;0,Z5=AT5),AA5,IF(AND(X5&gt;0,X5=AT5),Y5,W5)))),U5),0)</f>
        <v>0</v>
      </c>
      <c r="AV5" s="99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99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99">
        <f t="shared" ref="AX5:AX42" si="9">IF(AW5&gt;0,IF(AND(AN5&gt;0, AN5*24&gt;18.5),AN5,IF(AND(AB5&gt;0,AB5*24&gt;18.5),AB5,IF(AND(Z5&gt;0,Z5*24&gt;18.5),Z5,IF(AND(X5&gt;0,X5*24&gt;18.5),X5,V5)))),0)</f>
        <v>0</v>
      </c>
      <c r="AY5" s="95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100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97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101">
        <f>ROUNDUP((V5 - U5) * 288, 0) / 288</f>
        <v>0</v>
      </c>
      <c r="BC5" s="102">
        <f>ROUNDUP((X5 - W5) * 288, 0) / 288</f>
        <v>0</v>
      </c>
      <c r="BD5" s="102">
        <f>ROUNDUP((Z5 - Y5) * 288, 0) / 288</f>
        <v>0</v>
      </c>
      <c r="BE5" s="102">
        <f>ROUNDUP((AB5 - AA5) * 288, 0) / 288</f>
        <v>0</v>
      </c>
      <c r="BF5" s="102">
        <f>ROUNDUP((AD5 - AC5) * 288, 0) / 288</f>
        <v>0</v>
      </c>
      <c r="BG5" s="102">
        <f>ROUNDUP((AF5 - AE5) * 288, 0) / 288</f>
        <v>0</v>
      </c>
      <c r="BH5" s="102">
        <f>ROUNDUP((AH5 - AG5) * 288, 0) / 288</f>
        <v>0</v>
      </c>
      <c r="BI5" s="102">
        <f>ROUNDUP((AJ5 - AI5) * 288, 0) / 288</f>
        <v>0</v>
      </c>
      <c r="BJ5" s="102">
        <f>ROUNDUP((AL5 - AK5) * 288, 0) / 288</f>
        <v>0</v>
      </c>
      <c r="BK5" s="103">
        <f>ROUNDUP((AN5 - AM5) * 288, 0) / 288</f>
        <v>0</v>
      </c>
      <c r="BL5" s="104">
        <f t="shared" ref="BL5:BL42" si="13">SUM(BB5:BK5)</f>
        <v>0</v>
      </c>
      <c r="BM5" s="105">
        <v>0</v>
      </c>
    </row>
    <row r="6" spans="1:65" x14ac:dyDescent="0.25">
      <c r="A6" s="106">
        <v>0</v>
      </c>
      <c r="B6" s="107">
        <v>0</v>
      </c>
      <c r="C6" s="106">
        <v>0</v>
      </c>
      <c r="D6" s="107">
        <v>0</v>
      </c>
      <c r="E6" s="106">
        <v>0</v>
      </c>
      <c r="F6" s="107">
        <v>0</v>
      </c>
      <c r="G6" s="106">
        <v>0</v>
      </c>
      <c r="H6" s="107">
        <v>0</v>
      </c>
      <c r="I6" s="106">
        <v>0</v>
      </c>
      <c r="J6" s="107">
        <v>0</v>
      </c>
      <c r="K6" s="106">
        <v>0</v>
      </c>
      <c r="L6" s="107">
        <v>0</v>
      </c>
      <c r="M6" s="106">
        <v>0</v>
      </c>
      <c r="N6" s="107">
        <v>0</v>
      </c>
      <c r="O6" s="106">
        <v>0</v>
      </c>
      <c r="P6" s="107">
        <v>0</v>
      </c>
      <c r="Q6" s="106">
        <v>0</v>
      </c>
      <c r="R6" s="107">
        <v>0</v>
      </c>
      <c r="S6" s="106">
        <v>0</v>
      </c>
      <c r="T6" s="107">
        <v>0</v>
      </c>
      <c r="U6" s="108">
        <v>0</v>
      </c>
      <c r="V6" s="107">
        <v>0</v>
      </c>
      <c r="W6" s="106">
        <v>0</v>
      </c>
      <c r="X6" s="107">
        <v>0</v>
      </c>
      <c r="Y6" s="106">
        <v>0</v>
      </c>
      <c r="Z6" s="107">
        <v>0</v>
      </c>
      <c r="AA6" s="106">
        <v>0</v>
      </c>
      <c r="AB6" s="107">
        <v>0</v>
      </c>
      <c r="AC6" s="109">
        <v>0</v>
      </c>
      <c r="AD6" s="107">
        <v>0</v>
      </c>
      <c r="AE6" s="109">
        <v>0</v>
      </c>
      <c r="AF6" s="107">
        <v>0</v>
      </c>
      <c r="AG6" s="109">
        <v>0</v>
      </c>
      <c r="AH6" s="107">
        <v>0</v>
      </c>
      <c r="AI6" s="109">
        <v>0</v>
      </c>
      <c r="AJ6" s="107">
        <v>0</v>
      </c>
      <c r="AK6" s="109">
        <v>0</v>
      </c>
      <c r="AL6" s="107">
        <v>0</v>
      </c>
      <c r="AM6" s="106">
        <v>0</v>
      </c>
      <c r="AN6" s="110">
        <v>0</v>
      </c>
      <c r="AO6" s="111">
        <f t="shared" si="0"/>
        <v>0</v>
      </c>
      <c r="AP6" s="112">
        <f t="shared" si="1"/>
        <v>0</v>
      </c>
      <c r="AQ6" s="112">
        <f t="shared" si="2"/>
        <v>0</v>
      </c>
      <c r="AR6" s="113">
        <f t="shared" si="3"/>
        <v>0</v>
      </c>
      <c r="AS6" s="114">
        <f t="shared" si="4"/>
        <v>0</v>
      </c>
      <c r="AT6" s="115">
        <f t="shared" si="5"/>
        <v>0</v>
      </c>
      <c r="AU6" s="115">
        <f t="shared" si="6"/>
        <v>0</v>
      </c>
      <c r="AV6" s="115">
        <f t="shared" si="7"/>
        <v>0</v>
      </c>
      <c r="AW6" s="115">
        <f t="shared" si="8"/>
        <v>0</v>
      </c>
      <c r="AX6" s="115">
        <f t="shared" si="9"/>
        <v>0</v>
      </c>
      <c r="AY6" s="111">
        <f t="shared" si="10"/>
        <v>0</v>
      </c>
      <c r="AZ6" s="116">
        <f t="shared" si="11"/>
        <v>0</v>
      </c>
      <c r="BA6" s="113">
        <f t="shared" si="12"/>
        <v>0</v>
      </c>
      <c r="BB6" s="114">
        <f>ROUNDUP((V6 - U6) * 288, 0) / 288</f>
        <v>0</v>
      </c>
      <c r="BC6" s="117">
        <f>ROUNDUP((X6 - W6) * 288, 0) / 288</f>
        <v>0</v>
      </c>
      <c r="BD6" s="117">
        <f>ROUNDUP((Z6 - Y6) * 288, 0) / 288</f>
        <v>0</v>
      </c>
      <c r="BE6" s="117">
        <f>ROUNDUP((AB6 - AA6) * 288, 0) / 288</f>
        <v>0</v>
      </c>
      <c r="BF6" s="117">
        <f>ROUNDUP((AD6 - AC6) * 288, 0) / 288</f>
        <v>0</v>
      </c>
      <c r="BG6" s="117">
        <f>ROUNDUP((AF6 - AE6) * 288, 0) / 288</f>
        <v>0</v>
      </c>
      <c r="BH6" s="117">
        <f>ROUNDUP((AH6 - AG6) * 288, 0) / 288</f>
        <v>0</v>
      </c>
      <c r="BI6" s="117">
        <f>ROUNDUP((AJ6 - AI6) * 288, 0) / 288</f>
        <v>0</v>
      </c>
      <c r="BJ6" s="117">
        <f>ROUNDUP((AL6 - AK6) * 288, 0) / 288</f>
        <v>0</v>
      </c>
      <c r="BK6" s="117">
        <f>ROUNDUP((AN6 - AM6) * 288, 0) / 288</f>
        <v>0</v>
      </c>
      <c r="BL6" s="118">
        <f t="shared" si="13"/>
        <v>0</v>
      </c>
      <c r="BM6" s="105">
        <v>0</v>
      </c>
    </row>
    <row r="7" spans="1:65" x14ac:dyDescent="0.25">
      <c r="A7" s="106">
        <v>0</v>
      </c>
      <c r="B7" s="107">
        <v>0</v>
      </c>
      <c r="C7" s="106">
        <v>0</v>
      </c>
      <c r="D7" s="107">
        <v>0</v>
      </c>
      <c r="E7" s="106">
        <v>0</v>
      </c>
      <c r="F7" s="107">
        <v>0</v>
      </c>
      <c r="G7" s="106">
        <v>0</v>
      </c>
      <c r="H7" s="107">
        <v>0</v>
      </c>
      <c r="I7" s="106">
        <v>0</v>
      </c>
      <c r="J7" s="107">
        <v>0</v>
      </c>
      <c r="K7" s="106">
        <v>0</v>
      </c>
      <c r="L7" s="107">
        <v>0</v>
      </c>
      <c r="M7" s="106">
        <v>0</v>
      </c>
      <c r="N7" s="107">
        <v>0</v>
      </c>
      <c r="O7" s="106">
        <v>0</v>
      </c>
      <c r="P7" s="107">
        <v>0</v>
      </c>
      <c r="Q7" s="106">
        <v>0</v>
      </c>
      <c r="R7" s="107">
        <v>0</v>
      </c>
      <c r="S7" s="106">
        <v>0</v>
      </c>
      <c r="T7" s="107">
        <v>0</v>
      </c>
      <c r="U7" s="108">
        <v>0</v>
      </c>
      <c r="V7" s="107">
        <v>0</v>
      </c>
      <c r="W7" s="106">
        <v>0</v>
      </c>
      <c r="X7" s="107">
        <v>0</v>
      </c>
      <c r="Y7" s="106">
        <v>0</v>
      </c>
      <c r="Z7" s="107">
        <v>0</v>
      </c>
      <c r="AA7" s="106">
        <v>0</v>
      </c>
      <c r="AB7" s="107">
        <v>0</v>
      </c>
      <c r="AC7" s="109">
        <v>0</v>
      </c>
      <c r="AD7" s="107">
        <v>0</v>
      </c>
      <c r="AE7" s="109">
        <v>0</v>
      </c>
      <c r="AF7" s="107">
        <v>0</v>
      </c>
      <c r="AG7" s="109">
        <v>0</v>
      </c>
      <c r="AH7" s="107">
        <v>0</v>
      </c>
      <c r="AI7" s="109">
        <v>0</v>
      </c>
      <c r="AJ7" s="107">
        <v>0</v>
      </c>
      <c r="AK7" s="109">
        <v>0</v>
      </c>
      <c r="AL7" s="107">
        <v>0</v>
      </c>
      <c r="AM7" s="106">
        <v>0</v>
      </c>
      <c r="AN7" s="110">
        <v>0</v>
      </c>
      <c r="AO7" s="111">
        <f t="shared" si="0"/>
        <v>0</v>
      </c>
      <c r="AP7" s="112">
        <f t="shared" si="1"/>
        <v>0</v>
      </c>
      <c r="AQ7" s="112">
        <f t="shared" si="2"/>
        <v>0</v>
      </c>
      <c r="AR7" s="113">
        <f t="shared" si="3"/>
        <v>0</v>
      </c>
      <c r="AS7" s="114">
        <f t="shared" si="4"/>
        <v>0</v>
      </c>
      <c r="AT7" s="115">
        <f t="shared" si="5"/>
        <v>0</v>
      </c>
      <c r="AU7" s="115">
        <f t="shared" si="6"/>
        <v>0</v>
      </c>
      <c r="AV7" s="115">
        <f t="shared" si="7"/>
        <v>0</v>
      </c>
      <c r="AW7" s="115">
        <f t="shared" si="8"/>
        <v>0</v>
      </c>
      <c r="AX7" s="115">
        <f t="shared" si="9"/>
        <v>0</v>
      </c>
      <c r="AY7" s="111">
        <f t="shared" si="10"/>
        <v>0</v>
      </c>
      <c r="AZ7" s="116">
        <f t="shared" si="11"/>
        <v>0</v>
      </c>
      <c r="BA7" s="113">
        <f t="shared" si="12"/>
        <v>0</v>
      </c>
      <c r="BB7" s="114">
        <f t="shared" ref="BB7:BB42" si="14">ROUNDUP((V7 - U7) * 288, 0) / 288</f>
        <v>0</v>
      </c>
      <c r="BC7" s="117">
        <f t="shared" ref="BC7:BC42" si="15">ROUNDUP((X7 - W7) * 288, 0) / 288</f>
        <v>0</v>
      </c>
      <c r="BD7" s="117">
        <f t="shared" ref="BD7:BD42" si="16">ROUNDUP((Z7 - Y7) * 288, 0) / 288</f>
        <v>0</v>
      </c>
      <c r="BE7" s="117">
        <f t="shared" ref="BE7:BE42" si="17">ROUNDUP((AB7 - AA7) * 288, 0) / 288</f>
        <v>0</v>
      </c>
      <c r="BF7" s="117">
        <f t="shared" ref="BF7:BF42" si="18">ROUNDUP((AD7 - AC7) * 288, 0) / 288</f>
        <v>0</v>
      </c>
      <c r="BG7" s="117">
        <f t="shared" ref="BG7:BG42" si="19">ROUNDUP((AF7 - AE7) * 288, 0) / 288</f>
        <v>0</v>
      </c>
      <c r="BH7" s="117">
        <f t="shared" ref="BH7:BH42" si="20">ROUNDUP((AH7 - AG7) * 288, 0) / 288</f>
        <v>0</v>
      </c>
      <c r="BI7" s="117">
        <f t="shared" ref="BI7:BI42" si="21">ROUNDUP((AJ7 - AI7) * 288, 0) / 288</f>
        <v>0</v>
      </c>
      <c r="BJ7" s="117">
        <f t="shared" ref="BJ7:BJ42" si="22">ROUNDUP((AL7 - AK7) * 288, 0) / 288</f>
        <v>0</v>
      </c>
      <c r="BK7" s="117">
        <f t="shared" ref="BK7:BK42" si="23">ROUNDUP((AN7 - AM7) * 288, 0) / 288</f>
        <v>0</v>
      </c>
      <c r="BL7" s="118">
        <f t="shared" si="13"/>
        <v>0</v>
      </c>
      <c r="BM7" s="105">
        <v>0</v>
      </c>
    </row>
    <row r="8" spans="1:65" x14ac:dyDescent="0.25">
      <c r="A8" s="106">
        <v>0</v>
      </c>
      <c r="B8" s="107">
        <v>0</v>
      </c>
      <c r="C8" s="106">
        <v>0</v>
      </c>
      <c r="D8" s="107">
        <v>0</v>
      </c>
      <c r="E8" s="106">
        <v>0</v>
      </c>
      <c r="F8" s="107">
        <v>0</v>
      </c>
      <c r="G8" s="106">
        <v>0</v>
      </c>
      <c r="H8" s="107">
        <v>0</v>
      </c>
      <c r="I8" s="106">
        <v>0</v>
      </c>
      <c r="J8" s="107">
        <v>0</v>
      </c>
      <c r="K8" s="106">
        <v>0</v>
      </c>
      <c r="L8" s="107">
        <v>0</v>
      </c>
      <c r="M8" s="106">
        <v>0</v>
      </c>
      <c r="N8" s="107">
        <v>0</v>
      </c>
      <c r="O8" s="106">
        <v>0</v>
      </c>
      <c r="P8" s="107">
        <v>0</v>
      </c>
      <c r="Q8" s="106">
        <v>0</v>
      </c>
      <c r="R8" s="107">
        <v>0</v>
      </c>
      <c r="S8" s="106">
        <v>0</v>
      </c>
      <c r="T8" s="107">
        <v>0</v>
      </c>
      <c r="U8" s="108">
        <v>0</v>
      </c>
      <c r="V8" s="107">
        <v>0</v>
      </c>
      <c r="W8" s="106">
        <v>0</v>
      </c>
      <c r="X8" s="107">
        <v>0</v>
      </c>
      <c r="Y8" s="106">
        <v>0</v>
      </c>
      <c r="Z8" s="107">
        <v>0</v>
      </c>
      <c r="AA8" s="106">
        <v>0</v>
      </c>
      <c r="AB8" s="107">
        <v>0</v>
      </c>
      <c r="AC8" s="109">
        <v>0</v>
      </c>
      <c r="AD8" s="107">
        <v>0</v>
      </c>
      <c r="AE8" s="109">
        <v>0</v>
      </c>
      <c r="AF8" s="107">
        <v>0</v>
      </c>
      <c r="AG8" s="109">
        <v>0</v>
      </c>
      <c r="AH8" s="107">
        <v>0</v>
      </c>
      <c r="AI8" s="109">
        <v>0</v>
      </c>
      <c r="AJ8" s="107">
        <v>0</v>
      </c>
      <c r="AK8" s="109">
        <v>0</v>
      </c>
      <c r="AL8" s="107">
        <v>0</v>
      </c>
      <c r="AM8" s="106">
        <v>0</v>
      </c>
      <c r="AN8" s="110">
        <v>0</v>
      </c>
      <c r="AO8" s="111">
        <f t="shared" si="0"/>
        <v>0</v>
      </c>
      <c r="AP8" s="112">
        <f t="shared" si="1"/>
        <v>0</v>
      </c>
      <c r="AQ8" s="112">
        <f t="shared" si="2"/>
        <v>0</v>
      </c>
      <c r="AR8" s="113">
        <f t="shared" si="3"/>
        <v>0</v>
      </c>
      <c r="AS8" s="114">
        <f t="shared" si="4"/>
        <v>0</v>
      </c>
      <c r="AT8" s="115">
        <f t="shared" si="5"/>
        <v>0</v>
      </c>
      <c r="AU8" s="115">
        <f t="shared" si="6"/>
        <v>0</v>
      </c>
      <c r="AV8" s="115">
        <f t="shared" si="7"/>
        <v>0</v>
      </c>
      <c r="AW8" s="115">
        <f t="shared" si="8"/>
        <v>0</v>
      </c>
      <c r="AX8" s="115">
        <f t="shared" si="9"/>
        <v>0</v>
      </c>
      <c r="AY8" s="111">
        <f t="shared" si="10"/>
        <v>0</v>
      </c>
      <c r="AZ8" s="116">
        <f t="shared" si="11"/>
        <v>0</v>
      </c>
      <c r="BA8" s="113">
        <f t="shared" si="12"/>
        <v>0</v>
      </c>
      <c r="BB8" s="114">
        <f t="shared" si="14"/>
        <v>0</v>
      </c>
      <c r="BC8" s="117">
        <f t="shared" si="15"/>
        <v>0</v>
      </c>
      <c r="BD8" s="117">
        <f t="shared" si="16"/>
        <v>0</v>
      </c>
      <c r="BE8" s="117">
        <f t="shared" si="17"/>
        <v>0</v>
      </c>
      <c r="BF8" s="117">
        <f t="shared" si="18"/>
        <v>0</v>
      </c>
      <c r="BG8" s="117">
        <f t="shared" si="19"/>
        <v>0</v>
      </c>
      <c r="BH8" s="117">
        <f t="shared" si="20"/>
        <v>0</v>
      </c>
      <c r="BI8" s="117">
        <f t="shared" si="21"/>
        <v>0</v>
      </c>
      <c r="BJ8" s="117">
        <f t="shared" si="22"/>
        <v>0</v>
      </c>
      <c r="BK8" s="117">
        <f t="shared" si="23"/>
        <v>0</v>
      </c>
      <c r="BL8" s="118">
        <f t="shared" si="13"/>
        <v>0</v>
      </c>
      <c r="BM8" s="105">
        <v>0</v>
      </c>
    </row>
    <row r="9" spans="1:65" x14ac:dyDescent="0.25">
      <c r="A9" s="106">
        <v>0</v>
      </c>
      <c r="B9" s="107">
        <v>0</v>
      </c>
      <c r="C9" s="106">
        <v>0</v>
      </c>
      <c r="D9" s="107">
        <v>0</v>
      </c>
      <c r="E9" s="106">
        <v>0</v>
      </c>
      <c r="F9" s="107">
        <v>0</v>
      </c>
      <c r="G9" s="106">
        <v>0</v>
      </c>
      <c r="H9" s="107">
        <v>0</v>
      </c>
      <c r="I9" s="106">
        <v>0</v>
      </c>
      <c r="J9" s="107">
        <v>0</v>
      </c>
      <c r="K9" s="106">
        <v>0</v>
      </c>
      <c r="L9" s="107">
        <v>0</v>
      </c>
      <c r="M9" s="106">
        <v>0</v>
      </c>
      <c r="N9" s="107">
        <v>0</v>
      </c>
      <c r="O9" s="106">
        <v>0</v>
      </c>
      <c r="P9" s="107">
        <v>0</v>
      </c>
      <c r="Q9" s="106">
        <v>0</v>
      </c>
      <c r="R9" s="107">
        <v>0</v>
      </c>
      <c r="S9" s="106">
        <v>0</v>
      </c>
      <c r="T9" s="107">
        <v>0</v>
      </c>
      <c r="U9" s="108">
        <v>0</v>
      </c>
      <c r="V9" s="107">
        <v>0</v>
      </c>
      <c r="W9" s="106">
        <v>0</v>
      </c>
      <c r="X9" s="107">
        <v>0</v>
      </c>
      <c r="Y9" s="106">
        <v>0</v>
      </c>
      <c r="Z9" s="107">
        <v>0</v>
      </c>
      <c r="AA9" s="106">
        <v>0</v>
      </c>
      <c r="AB9" s="107">
        <v>0</v>
      </c>
      <c r="AC9" s="109">
        <v>0</v>
      </c>
      <c r="AD9" s="107">
        <v>0</v>
      </c>
      <c r="AE9" s="109">
        <v>0</v>
      </c>
      <c r="AF9" s="107">
        <v>0</v>
      </c>
      <c r="AG9" s="109">
        <v>0</v>
      </c>
      <c r="AH9" s="107">
        <v>0</v>
      </c>
      <c r="AI9" s="109">
        <v>0</v>
      </c>
      <c r="AJ9" s="107">
        <v>0</v>
      </c>
      <c r="AK9" s="109">
        <v>0</v>
      </c>
      <c r="AL9" s="107">
        <v>0</v>
      </c>
      <c r="AM9" s="106">
        <v>0</v>
      </c>
      <c r="AN9" s="110">
        <v>0</v>
      </c>
      <c r="AO9" s="111">
        <f t="shared" si="0"/>
        <v>0</v>
      </c>
      <c r="AP9" s="112">
        <f t="shared" si="1"/>
        <v>0</v>
      </c>
      <c r="AQ9" s="112">
        <f t="shared" si="2"/>
        <v>0</v>
      </c>
      <c r="AR9" s="113">
        <f t="shared" si="3"/>
        <v>0</v>
      </c>
      <c r="AS9" s="114">
        <f t="shared" si="4"/>
        <v>0</v>
      </c>
      <c r="AT9" s="115">
        <f t="shared" si="5"/>
        <v>0</v>
      </c>
      <c r="AU9" s="115">
        <f t="shared" si="6"/>
        <v>0</v>
      </c>
      <c r="AV9" s="115">
        <f t="shared" si="7"/>
        <v>0</v>
      </c>
      <c r="AW9" s="115">
        <f t="shared" si="8"/>
        <v>0</v>
      </c>
      <c r="AX9" s="115">
        <f t="shared" si="9"/>
        <v>0</v>
      </c>
      <c r="AY9" s="111">
        <f t="shared" si="10"/>
        <v>0</v>
      </c>
      <c r="AZ9" s="116">
        <f t="shared" si="11"/>
        <v>0</v>
      </c>
      <c r="BA9" s="113">
        <f t="shared" si="12"/>
        <v>0</v>
      </c>
      <c r="BB9" s="114">
        <f t="shared" si="14"/>
        <v>0</v>
      </c>
      <c r="BC9" s="117">
        <f t="shared" si="15"/>
        <v>0</v>
      </c>
      <c r="BD9" s="117">
        <f t="shared" si="16"/>
        <v>0</v>
      </c>
      <c r="BE9" s="117">
        <f t="shared" si="17"/>
        <v>0</v>
      </c>
      <c r="BF9" s="117">
        <f t="shared" si="18"/>
        <v>0</v>
      </c>
      <c r="BG9" s="117">
        <f t="shared" si="19"/>
        <v>0</v>
      </c>
      <c r="BH9" s="117">
        <f t="shared" si="20"/>
        <v>0</v>
      </c>
      <c r="BI9" s="117">
        <f t="shared" si="21"/>
        <v>0</v>
      </c>
      <c r="BJ9" s="117">
        <f t="shared" si="22"/>
        <v>0</v>
      </c>
      <c r="BK9" s="117">
        <f t="shared" si="23"/>
        <v>0</v>
      </c>
      <c r="BL9" s="118">
        <f t="shared" si="13"/>
        <v>0</v>
      </c>
      <c r="BM9" s="105">
        <v>0</v>
      </c>
    </row>
    <row r="10" spans="1:65" x14ac:dyDescent="0.25">
      <c r="A10" s="106">
        <v>0</v>
      </c>
      <c r="B10" s="107">
        <v>0</v>
      </c>
      <c r="C10" s="106">
        <v>0</v>
      </c>
      <c r="D10" s="107">
        <v>0</v>
      </c>
      <c r="E10" s="106">
        <v>0</v>
      </c>
      <c r="F10" s="107">
        <v>0</v>
      </c>
      <c r="G10" s="106">
        <v>0</v>
      </c>
      <c r="H10" s="107">
        <v>0</v>
      </c>
      <c r="I10" s="106">
        <v>0</v>
      </c>
      <c r="J10" s="107">
        <v>0</v>
      </c>
      <c r="K10" s="106">
        <v>0</v>
      </c>
      <c r="L10" s="107">
        <v>0</v>
      </c>
      <c r="M10" s="106">
        <v>0</v>
      </c>
      <c r="N10" s="107">
        <v>0</v>
      </c>
      <c r="O10" s="106">
        <v>0</v>
      </c>
      <c r="P10" s="107">
        <v>0</v>
      </c>
      <c r="Q10" s="106">
        <v>0</v>
      </c>
      <c r="R10" s="107">
        <v>0</v>
      </c>
      <c r="S10" s="106">
        <v>0</v>
      </c>
      <c r="T10" s="107">
        <v>0</v>
      </c>
      <c r="U10" s="108">
        <v>0</v>
      </c>
      <c r="V10" s="107">
        <v>0</v>
      </c>
      <c r="W10" s="106">
        <v>0</v>
      </c>
      <c r="X10" s="107">
        <v>0</v>
      </c>
      <c r="Y10" s="106">
        <v>0</v>
      </c>
      <c r="Z10" s="107">
        <v>0</v>
      </c>
      <c r="AA10" s="106">
        <v>0</v>
      </c>
      <c r="AB10" s="107">
        <v>0</v>
      </c>
      <c r="AC10" s="109">
        <v>0</v>
      </c>
      <c r="AD10" s="107">
        <v>0</v>
      </c>
      <c r="AE10" s="109">
        <v>0</v>
      </c>
      <c r="AF10" s="107">
        <v>0</v>
      </c>
      <c r="AG10" s="109">
        <v>0</v>
      </c>
      <c r="AH10" s="107">
        <v>0</v>
      </c>
      <c r="AI10" s="109">
        <v>0</v>
      </c>
      <c r="AJ10" s="107">
        <v>0</v>
      </c>
      <c r="AK10" s="109">
        <v>0</v>
      </c>
      <c r="AL10" s="107">
        <v>0</v>
      </c>
      <c r="AM10" s="106">
        <v>0</v>
      </c>
      <c r="AN10" s="110">
        <v>0</v>
      </c>
      <c r="AO10" s="111">
        <f t="shared" si="0"/>
        <v>0</v>
      </c>
      <c r="AP10" s="112">
        <f t="shared" si="1"/>
        <v>0</v>
      </c>
      <c r="AQ10" s="112">
        <f t="shared" si="2"/>
        <v>0</v>
      </c>
      <c r="AR10" s="113">
        <f t="shared" si="3"/>
        <v>0</v>
      </c>
      <c r="AS10" s="114">
        <f t="shared" si="4"/>
        <v>0</v>
      </c>
      <c r="AT10" s="115">
        <f t="shared" si="5"/>
        <v>0</v>
      </c>
      <c r="AU10" s="115">
        <f t="shared" si="6"/>
        <v>0</v>
      </c>
      <c r="AV10" s="115">
        <f t="shared" si="7"/>
        <v>0</v>
      </c>
      <c r="AW10" s="115">
        <f t="shared" si="8"/>
        <v>0</v>
      </c>
      <c r="AX10" s="115">
        <f t="shared" si="9"/>
        <v>0</v>
      </c>
      <c r="AY10" s="111">
        <f t="shared" si="10"/>
        <v>0</v>
      </c>
      <c r="AZ10" s="116">
        <f t="shared" si="11"/>
        <v>0</v>
      </c>
      <c r="BA10" s="113">
        <f t="shared" si="12"/>
        <v>0</v>
      </c>
      <c r="BB10" s="114">
        <f t="shared" si="14"/>
        <v>0</v>
      </c>
      <c r="BC10" s="117">
        <f t="shared" si="15"/>
        <v>0</v>
      </c>
      <c r="BD10" s="117">
        <f t="shared" si="16"/>
        <v>0</v>
      </c>
      <c r="BE10" s="117">
        <f t="shared" si="17"/>
        <v>0</v>
      </c>
      <c r="BF10" s="117">
        <f t="shared" si="18"/>
        <v>0</v>
      </c>
      <c r="BG10" s="117">
        <f t="shared" si="19"/>
        <v>0</v>
      </c>
      <c r="BH10" s="117">
        <f t="shared" si="20"/>
        <v>0</v>
      </c>
      <c r="BI10" s="117">
        <f t="shared" si="21"/>
        <v>0</v>
      </c>
      <c r="BJ10" s="117">
        <f t="shared" si="22"/>
        <v>0</v>
      </c>
      <c r="BK10" s="117">
        <f t="shared" si="23"/>
        <v>0</v>
      </c>
      <c r="BL10" s="118">
        <f t="shared" si="13"/>
        <v>0</v>
      </c>
      <c r="BM10" s="105">
        <v>0</v>
      </c>
    </row>
    <row r="11" spans="1:65" x14ac:dyDescent="0.25">
      <c r="A11" s="106">
        <v>0</v>
      </c>
      <c r="B11" s="107">
        <v>0</v>
      </c>
      <c r="C11" s="106">
        <v>0</v>
      </c>
      <c r="D11" s="107">
        <v>0</v>
      </c>
      <c r="E11" s="106">
        <v>0</v>
      </c>
      <c r="F11" s="107">
        <v>0</v>
      </c>
      <c r="G11" s="106">
        <v>0</v>
      </c>
      <c r="H11" s="107">
        <v>0</v>
      </c>
      <c r="I11" s="106">
        <v>0</v>
      </c>
      <c r="J11" s="107">
        <v>0</v>
      </c>
      <c r="K11" s="106">
        <v>0</v>
      </c>
      <c r="L11" s="107">
        <v>0</v>
      </c>
      <c r="M11" s="106">
        <v>0</v>
      </c>
      <c r="N11" s="107">
        <v>0</v>
      </c>
      <c r="O11" s="106">
        <v>0</v>
      </c>
      <c r="P11" s="107">
        <v>0</v>
      </c>
      <c r="Q11" s="106">
        <v>0</v>
      </c>
      <c r="R11" s="107">
        <v>0</v>
      </c>
      <c r="S11" s="106">
        <v>0</v>
      </c>
      <c r="T11" s="107">
        <v>0</v>
      </c>
      <c r="U11" s="108">
        <v>0</v>
      </c>
      <c r="V11" s="107">
        <v>0</v>
      </c>
      <c r="W11" s="106">
        <v>0</v>
      </c>
      <c r="X11" s="107">
        <v>0</v>
      </c>
      <c r="Y11" s="106">
        <v>0</v>
      </c>
      <c r="Z11" s="107">
        <v>0</v>
      </c>
      <c r="AA11" s="106">
        <v>0</v>
      </c>
      <c r="AB11" s="107">
        <v>0</v>
      </c>
      <c r="AC11" s="109">
        <v>0</v>
      </c>
      <c r="AD11" s="107">
        <v>0</v>
      </c>
      <c r="AE11" s="109">
        <v>0</v>
      </c>
      <c r="AF11" s="107">
        <v>0</v>
      </c>
      <c r="AG11" s="109">
        <v>0</v>
      </c>
      <c r="AH11" s="107">
        <v>0</v>
      </c>
      <c r="AI11" s="109">
        <v>0</v>
      </c>
      <c r="AJ11" s="107">
        <v>0</v>
      </c>
      <c r="AK11" s="109">
        <v>0</v>
      </c>
      <c r="AL11" s="107">
        <v>0</v>
      </c>
      <c r="AM11" s="106">
        <v>0</v>
      </c>
      <c r="AN11" s="110">
        <v>0</v>
      </c>
      <c r="AO11" s="111">
        <f t="shared" si="0"/>
        <v>0</v>
      </c>
      <c r="AP11" s="112">
        <f t="shared" si="1"/>
        <v>0</v>
      </c>
      <c r="AQ11" s="112">
        <f t="shared" si="2"/>
        <v>0</v>
      </c>
      <c r="AR11" s="113">
        <f t="shared" si="3"/>
        <v>0</v>
      </c>
      <c r="AS11" s="114">
        <f t="shared" si="4"/>
        <v>0</v>
      </c>
      <c r="AT11" s="115">
        <f t="shared" si="5"/>
        <v>0</v>
      </c>
      <c r="AU11" s="115">
        <f t="shared" si="6"/>
        <v>0</v>
      </c>
      <c r="AV11" s="115">
        <f t="shared" si="7"/>
        <v>0</v>
      </c>
      <c r="AW11" s="115">
        <f t="shared" si="8"/>
        <v>0</v>
      </c>
      <c r="AX11" s="115">
        <f t="shared" si="9"/>
        <v>0</v>
      </c>
      <c r="AY11" s="111">
        <f t="shared" si="10"/>
        <v>0</v>
      </c>
      <c r="AZ11" s="116">
        <f t="shared" si="11"/>
        <v>0</v>
      </c>
      <c r="BA11" s="113">
        <f t="shared" si="12"/>
        <v>0</v>
      </c>
      <c r="BB11" s="114">
        <f t="shared" si="14"/>
        <v>0</v>
      </c>
      <c r="BC11" s="117">
        <f t="shared" si="15"/>
        <v>0</v>
      </c>
      <c r="BD11" s="117">
        <f t="shared" si="16"/>
        <v>0</v>
      </c>
      <c r="BE11" s="117">
        <f t="shared" si="17"/>
        <v>0</v>
      </c>
      <c r="BF11" s="117">
        <f t="shared" si="18"/>
        <v>0</v>
      </c>
      <c r="BG11" s="117">
        <f t="shared" si="19"/>
        <v>0</v>
      </c>
      <c r="BH11" s="117">
        <f t="shared" si="20"/>
        <v>0</v>
      </c>
      <c r="BI11" s="117">
        <f t="shared" si="21"/>
        <v>0</v>
      </c>
      <c r="BJ11" s="117">
        <f t="shared" si="22"/>
        <v>0</v>
      </c>
      <c r="BK11" s="117">
        <f t="shared" si="23"/>
        <v>0</v>
      </c>
      <c r="BL11" s="118">
        <f t="shared" si="13"/>
        <v>0</v>
      </c>
      <c r="BM11" s="105">
        <v>0</v>
      </c>
    </row>
    <row r="12" spans="1:65" x14ac:dyDescent="0.25">
      <c r="A12" s="106">
        <v>0</v>
      </c>
      <c r="B12" s="107">
        <v>0</v>
      </c>
      <c r="C12" s="106">
        <v>0</v>
      </c>
      <c r="D12" s="107">
        <v>0</v>
      </c>
      <c r="E12" s="106">
        <v>0</v>
      </c>
      <c r="F12" s="107">
        <v>0</v>
      </c>
      <c r="G12" s="106">
        <v>0</v>
      </c>
      <c r="H12" s="107">
        <v>0</v>
      </c>
      <c r="I12" s="106">
        <v>0</v>
      </c>
      <c r="J12" s="107">
        <v>0</v>
      </c>
      <c r="K12" s="106">
        <v>0</v>
      </c>
      <c r="L12" s="107">
        <v>0</v>
      </c>
      <c r="M12" s="106">
        <v>0</v>
      </c>
      <c r="N12" s="107">
        <v>0</v>
      </c>
      <c r="O12" s="106">
        <v>0</v>
      </c>
      <c r="P12" s="107">
        <v>0</v>
      </c>
      <c r="Q12" s="106">
        <v>0</v>
      </c>
      <c r="R12" s="107">
        <v>0</v>
      </c>
      <c r="S12" s="106">
        <v>0</v>
      </c>
      <c r="T12" s="107">
        <v>0</v>
      </c>
      <c r="U12" s="108">
        <v>0</v>
      </c>
      <c r="V12" s="107">
        <v>0</v>
      </c>
      <c r="W12" s="106">
        <v>0</v>
      </c>
      <c r="X12" s="107">
        <v>0</v>
      </c>
      <c r="Y12" s="106">
        <v>0</v>
      </c>
      <c r="Z12" s="107">
        <v>0</v>
      </c>
      <c r="AA12" s="106">
        <v>0</v>
      </c>
      <c r="AB12" s="107">
        <v>0</v>
      </c>
      <c r="AC12" s="109">
        <v>0</v>
      </c>
      <c r="AD12" s="107">
        <v>0</v>
      </c>
      <c r="AE12" s="109">
        <v>0</v>
      </c>
      <c r="AF12" s="107">
        <v>0</v>
      </c>
      <c r="AG12" s="109">
        <v>0</v>
      </c>
      <c r="AH12" s="107">
        <v>0</v>
      </c>
      <c r="AI12" s="109">
        <v>0</v>
      </c>
      <c r="AJ12" s="107">
        <v>0</v>
      </c>
      <c r="AK12" s="109">
        <v>0</v>
      </c>
      <c r="AL12" s="107">
        <v>0</v>
      </c>
      <c r="AM12" s="106">
        <v>0</v>
      </c>
      <c r="AN12" s="110">
        <v>0</v>
      </c>
      <c r="AO12" s="111">
        <f t="shared" si="0"/>
        <v>0</v>
      </c>
      <c r="AP12" s="112">
        <f t="shared" si="1"/>
        <v>0</v>
      </c>
      <c r="AQ12" s="112">
        <f t="shared" si="2"/>
        <v>0</v>
      </c>
      <c r="AR12" s="113">
        <f t="shared" si="3"/>
        <v>0</v>
      </c>
      <c r="AS12" s="114">
        <f t="shared" si="4"/>
        <v>0</v>
      </c>
      <c r="AT12" s="115">
        <f t="shared" si="5"/>
        <v>0</v>
      </c>
      <c r="AU12" s="115">
        <f t="shared" si="6"/>
        <v>0</v>
      </c>
      <c r="AV12" s="115">
        <f t="shared" si="7"/>
        <v>0</v>
      </c>
      <c r="AW12" s="115">
        <f t="shared" si="8"/>
        <v>0</v>
      </c>
      <c r="AX12" s="115">
        <f t="shared" si="9"/>
        <v>0</v>
      </c>
      <c r="AY12" s="111">
        <f t="shared" si="10"/>
        <v>0</v>
      </c>
      <c r="AZ12" s="116">
        <f t="shared" si="11"/>
        <v>0</v>
      </c>
      <c r="BA12" s="113">
        <f t="shared" si="12"/>
        <v>0</v>
      </c>
      <c r="BB12" s="114">
        <f t="shared" si="14"/>
        <v>0</v>
      </c>
      <c r="BC12" s="117">
        <f t="shared" si="15"/>
        <v>0</v>
      </c>
      <c r="BD12" s="117">
        <f t="shared" si="16"/>
        <v>0</v>
      </c>
      <c r="BE12" s="117">
        <f t="shared" si="17"/>
        <v>0</v>
      </c>
      <c r="BF12" s="117">
        <f t="shared" si="18"/>
        <v>0</v>
      </c>
      <c r="BG12" s="117">
        <f t="shared" si="19"/>
        <v>0</v>
      </c>
      <c r="BH12" s="117">
        <f t="shared" si="20"/>
        <v>0</v>
      </c>
      <c r="BI12" s="117">
        <f t="shared" si="21"/>
        <v>0</v>
      </c>
      <c r="BJ12" s="117">
        <f t="shared" si="22"/>
        <v>0</v>
      </c>
      <c r="BK12" s="117">
        <f t="shared" si="23"/>
        <v>0</v>
      </c>
      <c r="BL12" s="118">
        <f t="shared" si="13"/>
        <v>0</v>
      </c>
      <c r="BM12" s="105">
        <v>0</v>
      </c>
    </row>
    <row r="13" spans="1:65" x14ac:dyDescent="0.25">
      <c r="A13" s="106">
        <v>0</v>
      </c>
      <c r="B13" s="107">
        <v>0</v>
      </c>
      <c r="C13" s="106">
        <v>0</v>
      </c>
      <c r="D13" s="107">
        <v>0</v>
      </c>
      <c r="E13" s="106">
        <v>0</v>
      </c>
      <c r="F13" s="107">
        <v>0</v>
      </c>
      <c r="G13" s="106">
        <v>0</v>
      </c>
      <c r="H13" s="107">
        <v>0</v>
      </c>
      <c r="I13" s="106">
        <v>0</v>
      </c>
      <c r="J13" s="107">
        <v>0</v>
      </c>
      <c r="K13" s="106">
        <v>0</v>
      </c>
      <c r="L13" s="107">
        <v>0</v>
      </c>
      <c r="M13" s="106">
        <v>0</v>
      </c>
      <c r="N13" s="107">
        <v>0</v>
      </c>
      <c r="O13" s="106">
        <v>0</v>
      </c>
      <c r="P13" s="107">
        <v>0</v>
      </c>
      <c r="Q13" s="106">
        <v>0</v>
      </c>
      <c r="R13" s="107">
        <v>0</v>
      </c>
      <c r="S13" s="106">
        <v>0</v>
      </c>
      <c r="T13" s="107">
        <v>0</v>
      </c>
      <c r="U13" s="108">
        <v>0</v>
      </c>
      <c r="V13" s="107">
        <v>0</v>
      </c>
      <c r="W13" s="106">
        <v>0</v>
      </c>
      <c r="X13" s="107">
        <v>0</v>
      </c>
      <c r="Y13" s="106">
        <v>0</v>
      </c>
      <c r="Z13" s="107">
        <v>0</v>
      </c>
      <c r="AA13" s="106">
        <v>0</v>
      </c>
      <c r="AB13" s="107">
        <v>0</v>
      </c>
      <c r="AC13" s="109">
        <v>0</v>
      </c>
      <c r="AD13" s="107">
        <v>0</v>
      </c>
      <c r="AE13" s="109">
        <v>0</v>
      </c>
      <c r="AF13" s="107">
        <v>0</v>
      </c>
      <c r="AG13" s="109">
        <v>0</v>
      </c>
      <c r="AH13" s="107">
        <v>0</v>
      </c>
      <c r="AI13" s="109">
        <v>0</v>
      </c>
      <c r="AJ13" s="107">
        <v>0</v>
      </c>
      <c r="AK13" s="109">
        <v>0</v>
      </c>
      <c r="AL13" s="107">
        <v>0</v>
      </c>
      <c r="AM13" s="106">
        <v>0</v>
      </c>
      <c r="AN13" s="110">
        <v>0</v>
      </c>
      <c r="AO13" s="111">
        <f t="shared" si="0"/>
        <v>0</v>
      </c>
      <c r="AP13" s="112">
        <f t="shared" si="1"/>
        <v>0</v>
      </c>
      <c r="AQ13" s="112">
        <f t="shared" si="2"/>
        <v>0</v>
      </c>
      <c r="AR13" s="113">
        <f t="shared" si="3"/>
        <v>0</v>
      </c>
      <c r="AS13" s="114">
        <f t="shared" si="4"/>
        <v>0</v>
      </c>
      <c r="AT13" s="115">
        <f t="shared" si="5"/>
        <v>0</v>
      </c>
      <c r="AU13" s="115">
        <f t="shared" si="6"/>
        <v>0</v>
      </c>
      <c r="AV13" s="115">
        <f t="shared" si="7"/>
        <v>0</v>
      </c>
      <c r="AW13" s="115">
        <f t="shared" si="8"/>
        <v>0</v>
      </c>
      <c r="AX13" s="115">
        <f t="shared" si="9"/>
        <v>0</v>
      </c>
      <c r="AY13" s="111">
        <f t="shared" si="10"/>
        <v>0</v>
      </c>
      <c r="AZ13" s="116">
        <f t="shared" si="11"/>
        <v>0</v>
      </c>
      <c r="BA13" s="113">
        <f t="shared" si="12"/>
        <v>0</v>
      </c>
      <c r="BB13" s="114">
        <f t="shared" si="14"/>
        <v>0</v>
      </c>
      <c r="BC13" s="117">
        <f t="shared" si="15"/>
        <v>0</v>
      </c>
      <c r="BD13" s="117">
        <f t="shared" si="16"/>
        <v>0</v>
      </c>
      <c r="BE13" s="117">
        <f t="shared" si="17"/>
        <v>0</v>
      </c>
      <c r="BF13" s="117">
        <f t="shared" si="18"/>
        <v>0</v>
      </c>
      <c r="BG13" s="117">
        <f t="shared" si="19"/>
        <v>0</v>
      </c>
      <c r="BH13" s="117">
        <f t="shared" si="20"/>
        <v>0</v>
      </c>
      <c r="BI13" s="117">
        <f t="shared" si="21"/>
        <v>0</v>
      </c>
      <c r="BJ13" s="117">
        <f t="shared" si="22"/>
        <v>0</v>
      </c>
      <c r="BK13" s="117">
        <f t="shared" si="23"/>
        <v>0</v>
      </c>
      <c r="BL13" s="118">
        <f t="shared" si="13"/>
        <v>0</v>
      </c>
      <c r="BM13" s="105">
        <v>0</v>
      </c>
    </row>
    <row r="14" spans="1:65" x14ac:dyDescent="0.25">
      <c r="A14" s="106">
        <v>0</v>
      </c>
      <c r="B14" s="107">
        <v>0</v>
      </c>
      <c r="C14" s="106">
        <v>0</v>
      </c>
      <c r="D14" s="107">
        <v>0</v>
      </c>
      <c r="E14" s="106">
        <v>0</v>
      </c>
      <c r="F14" s="107">
        <v>0</v>
      </c>
      <c r="G14" s="106">
        <v>0</v>
      </c>
      <c r="H14" s="107">
        <v>0</v>
      </c>
      <c r="I14" s="106">
        <v>0</v>
      </c>
      <c r="J14" s="107">
        <v>0</v>
      </c>
      <c r="K14" s="106">
        <v>0</v>
      </c>
      <c r="L14" s="107">
        <v>0</v>
      </c>
      <c r="M14" s="106">
        <v>0</v>
      </c>
      <c r="N14" s="107">
        <v>0</v>
      </c>
      <c r="O14" s="106">
        <v>0</v>
      </c>
      <c r="P14" s="107">
        <v>0</v>
      </c>
      <c r="Q14" s="106">
        <v>0</v>
      </c>
      <c r="R14" s="107">
        <v>0</v>
      </c>
      <c r="S14" s="106">
        <v>0</v>
      </c>
      <c r="T14" s="107">
        <v>0</v>
      </c>
      <c r="U14" s="108">
        <v>0</v>
      </c>
      <c r="V14" s="107">
        <v>0</v>
      </c>
      <c r="W14" s="106">
        <v>0</v>
      </c>
      <c r="X14" s="107">
        <v>0</v>
      </c>
      <c r="Y14" s="106">
        <v>0</v>
      </c>
      <c r="Z14" s="107">
        <v>0</v>
      </c>
      <c r="AA14" s="106">
        <v>0</v>
      </c>
      <c r="AB14" s="107">
        <v>0</v>
      </c>
      <c r="AC14" s="109">
        <v>0</v>
      </c>
      <c r="AD14" s="107">
        <v>0</v>
      </c>
      <c r="AE14" s="109">
        <v>0</v>
      </c>
      <c r="AF14" s="107">
        <v>0</v>
      </c>
      <c r="AG14" s="109">
        <v>0</v>
      </c>
      <c r="AH14" s="107">
        <v>0</v>
      </c>
      <c r="AI14" s="109">
        <v>0</v>
      </c>
      <c r="AJ14" s="107">
        <v>0</v>
      </c>
      <c r="AK14" s="109">
        <v>0</v>
      </c>
      <c r="AL14" s="107">
        <v>0</v>
      </c>
      <c r="AM14" s="106">
        <v>0</v>
      </c>
      <c r="AN14" s="110">
        <v>0</v>
      </c>
      <c r="AO14" s="111">
        <f t="shared" si="0"/>
        <v>0</v>
      </c>
      <c r="AP14" s="112">
        <f t="shared" si="1"/>
        <v>0</v>
      </c>
      <c r="AQ14" s="112">
        <f t="shared" si="2"/>
        <v>0</v>
      </c>
      <c r="AR14" s="113">
        <f t="shared" si="3"/>
        <v>0</v>
      </c>
      <c r="AS14" s="114">
        <f t="shared" si="4"/>
        <v>0</v>
      </c>
      <c r="AT14" s="115">
        <f t="shared" si="5"/>
        <v>0</v>
      </c>
      <c r="AU14" s="115">
        <f t="shared" si="6"/>
        <v>0</v>
      </c>
      <c r="AV14" s="115">
        <f t="shared" si="7"/>
        <v>0</v>
      </c>
      <c r="AW14" s="115">
        <f t="shared" si="8"/>
        <v>0</v>
      </c>
      <c r="AX14" s="115">
        <f t="shared" si="9"/>
        <v>0</v>
      </c>
      <c r="AY14" s="111">
        <f t="shared" si="10"/>
        <v>0</v>
      </c>
      <c r="AZ14" s="116">
        <f t="shared" si="11"/>
        <v>0</v>
      </c>
      <c r="BA14" s="113">
        <f t="shared" si="12"/>
        <v>0</v>
      </c>
      <c r="BB14" s="114">
        <f t="shared" si="14"/>
        <v>0</v>
      </c>
      <c r="BC14" s="117">
        <f t="shared" si="15"/>
        <v>0</v>
      </c>
      <c r="BD14" s="117">
        <f t="shared" si="16"/>
        <v>0</v>
      </c>
      <c r="BE14" s="117">
        <f t="shared" si="17"/>
        <v>0</v>
      </c>
      <c r="BF14" s="117">
        <f t="shared" si="18"/>
        <v>0</v>
      </c>
      <c r="BG14" s="117">
        <f t="shared" si="19"/>
        <v>0</v>
      </c>
      <c r="BH14" s="117">
        <f t="shared" si="20"/>
        <v>0</v>
      </c>
      <c r="BI14" s="117">
        <f t="shared" si="21"/>
        <v>0</v>
      </c>
      <c r="BJ14" s="117">
        <f t="shared" si="22"/>
        <v>0</v>
      </c>
      <c r="BK14" s="117">
        <f t="shared" si="23"/>
        <v>0</v>
      </c>
      <c r="BL14" s="118">
        <f t="shared" si="13"/>
        <v>0</v>
      </c>
      <c r="BM14" s="105">
        <v>0</v>
      </c>
    </row>
    <row r="15" spans="1:65" x14ac:dyDescent="0.25">
      <c r="A15" s="106">
        <v>0</v>
      </c>
      <c r="B15" s="107">
        <v>0</v>
      </c>
      <c r="C15" s="106">
        <v>0</v>
      </c>
      <c r="D15" s="107">
        <v>0</v>
      </c>
      <c r="E15" s="106">
        <v>0</v>
      </c>
      <c r="F15" s="107">
        <v>0</v>
      </c>
      <c r="G15" s="106">
        <v>0</v>
      </c>
      <c r="H15" s="107">
        <v>0</v>
      </c>
      <c r="I15" s="106">
        <v>0</v>
      </c>
      <c r="J15" s="107">
        <v>0</v>
      </c>
      <c r="K15" s="106">
        <v>0</v>
      </c>
      <c r="L15" s="107">
        <v>0</v>
      </c>
      <c r="M15" s="106">
        <v>0</v>
      </c>
      <c r="N15" s="107">
        <v>0</v>
      </c>
      <c r="O15" s="106">
        <v>0</v>
      </c>
      <c r="P15" s="107">
        <v>0</v>
      </c>
      <c r="Q15" s="106">
        <v>0</v>
      </c>
      <c r="R15" s="107">
        <v>0</v>
      </c>
      <c r="S15" s="106">
        <v>0</v>
      </c>
      <c r="T15" s="107">
        <v>0</v>
      </c>
      <c r="U15" s="108">
        <v>0</v>
      </c>
      <c r="V15" s="107">
        <v>0</v>
      </c>
      <c r="W15" s="106">
        <v>0</v>
      </c>
      <c r="X15" s="107">
        <v>0</v>
      </c>
      <c r="Y15" s="106">
        <v>0</v>
      </c>
      <c r="Z15" s="107">
        <v>0</v>
      </c>
      <c r="AA15" s="106">
        <v>0</v>
      </c>
      <c r="AB15" s="107">
        <v>0</v>
      </c>
      <c r="AC15" s="109">
        <v>0</v>
      </c>
      <c r="AD15" s="107">
        <v>0</v>
      </c>
      <c r="AE15" s="109">
        <v>0</v>
      </c>
      <c r="AF15" s="107">
        <v>0</v>
      </c>
      <c r="AG15" s="109">
        <v>0</v>
      </c>
      <c r="AH15" s="107">
        <v>0</v>
      </c>
      <c r="AI15" s="109">
        <v>0</v>
      </c>
      <c r="AJ15" s="107">
        <v>0</v>
      </c>
      <c r="AK15" s="109">
        <v>0</v>
      </c>
      <c r="AL15" s="107">
        <v>0</v>
      </c>
      <c r="AM15" s="106">
        <v>0</v>
      </c>
      <c r="AN15" s="110">
        <v>0</v>
      </c>
      <c r="AO15" s="111">
        <f t="shared" si="0"/>
        <v>0</v>
      </c>
      <c r="AP15" s="112">
        <f t="shared" si="1"/>
        <v>0</v>
      </c>
      <c r="AQ15" s="112">
        <f t="shared" si="2"/>
        <v>0</v>
      </c>
      <c r="AR15" s="113">
        <f t="shared" si="3"/>
        <v>0</v>
      </c>
      <c r="AS15" s="114">
        <f t="shared" si="4"/>
        <v>0</v>
      </c>
      <c r="AT15" s="115">
        <f t="shared" si="5"/>
        <v>0</v>
      </c>
      <c r="AU15" s="115">
        <f t="shared" si="6"/>
        <v>0</v>
      </c>
      <c r="AV15" s="115">
        <f t="shared" si="7"/>
        <v>0</v>
      </c>
      <c r="AW15" s="115">
        <f t="shared" si="8"/>
        <v>0</v>
      </c>
      <c r="AX15" s="115">
        <f t="shared" si="9"/>
        <v>0</v>
      </c>
      <c r="AY15" s="111">
        <f t="shared" si="10"/>
        <v>0</v>
      </c>
      <c r="AZ15" s="116">
        <f t="shared" si="11"/>
        <v>0</v>
      </c>
      <c r="BA15" s="113">
        <f t="shared" si="12"/>
        <v>0</v>
      </c>
      <c r="BB15" s="114">
        <f t="shared" si="14"/>
        <v>0</v>
      </c>
      <c r="BC15" s="117">
        <f t="shared" si="15"/>
        <v>0</v>
      </c>
      <c r="BD15" s="117">
        <f t="shared" si="16"/>
        <v>0</v>
      </c>
      <c r="BE15" s="117">
        <f t="shared" si="17"/>
        <v>0</v>
      </c>
      <c r="BF15" s="117">
        <f t="shared" si="18"/>
        <v>0</v>
      </c>
      <c r="BG15" s="117">
        <f t="shared" si="19"/>
        <v>0</v>
      </c>
      <c r="BH15" s="117">
        <f t="shared" si="20"/>
        <v>0</v>
      </c>
      <c r="BI15" s="117">
        <f t="shared" si="21"/>
        <v>0</v>
      </c>
      <c r="BJ15" s="117">
        <f t="shared" si="22"/>
        <v>0</v>
      </c>
      <c r="BK15" s="117">
        <f t="shared" si="23"/>
        <v>0</v>
      </c>
      <c r="BL15" s="118">
        <f t="shared" si="13"/>
        <v>0</v>
      </c>
      <c r="BM15" s="105">
        <v>0</v>
      </c>
    </row>
    <row r="16" spans="1:65" x14ac:dyDescent="0.25">
      <c r="A16" s="106">
        <v>0</v>
      </c>
      <c r="B16" s="107">
        <v>0</v>
      </c>
      <c r="C16" s="106">
        <v>0</v>
      </c>
      <c r="D16" s="107">
        <v>0</v>
      </c>
      <c r="E16" s="106">
        <v>0</v>
      </c>
      <c r="F16" s="107">
        <v>0</v>
      </c>
      <c r="G16" s="106">
        <v>0</v>
      </c>
      <c r="H16" s="107">
        <v>0</v>
      </c>
      <c r="I16" s="106">
        <v>0</v>
      </c>
      <c r="J16" s="107">
        <v>0</v>
      </c>
      <c r="K16" s="106">
        <v>0</v>
      </c>
      <c r="L16" s="107">
        <v>0</v>
      </c>
      <c r="M16" s="106">
        <v>0</v>
      </c>
      <c r="N16" s="107">
        <v>0</v>
      </c>
      <c r="O16" s="106">
        <v>0</v>
      </c>
      <c r="P16" s="107">
        <v>0</v>
      </c>
      <c r="Q16" s="106">
        <v>0</v>
      </c>
      <c r="R16" s="107">
        <v>0</v>
      </c>
      <c r="S16" s="106">
        <v>0</v>
      </c>
      <c r="T16" s="107">
        <v>0</v>
      </c>
      <c r="U16" s="108">
        <v>0</v>
      </c>
      <c r="V16" s="107">
        <v>0</v>
      </c>
      <c r="W16" s="106">
        <v>0</v>
      </c>
      <c r="X16" s="107">
        <v>0</v>
      </c>
      <c r="Y16" s="106">
        <v>0</v>
      </c>
      <c r="Z16" s="107">
        <v>0</v>
      </c>
      <c r="AA16" s="106">
        <v>0</v>
      </c>
      <c r="AB16" s="107">
        <v>0</v>
      </c>
      <c r="AC16" s="109">
        <v>0</v>
      </c>
      <c r="AD16" s="107">
        <v>0</v>
      </c>
      <c r="AE16" s="109">
        <v>0</v>
      </c>
      <c r="AF16" s="107">
        <v>0</v>
      </c>
      <c r="AG16" s="109">
        <v>0</v>
      </c>
      <c r="AH16" s="107">
        <v>0</v>
      </c>
      <c r="AI16" s="109">
        <v>0</v>
      </c>
      <c r="AJ16" s="107">
        <v>0</v>
      </c>
      <c r="AK16" s="109">
        <v>0</v>
      </c>
      <c r="AL16" s="107">
        <v>0</v>
      </c>
      <c r="AM16" s="106">
        <v>0</v>
      </c>
      <c r="AN16" s="110">
        <v>0</v>
      </c>
      <c r="AO16" s="111">
        <f t="shared" si="0"/>
        <v>0</v>
      </c>
      <c r="AP16" s="112">
        <f t="shared" si="1"/>
        <v>0</v>
      </c>
      <c r="AQ16" s="112">
        <f t="shared" si="2"/>
        <v>0</v>
      </c>
      <c r="AR16" s="113">
        <f t="shared" si="3"/>
        <v>0</v>
      </c>
      <c r="AS16" s="114">
        <f t="shared" si="4"/>
        <v>0</v>
      </c>
      <c r="AT16" s="115">
        <f t="shared" si="5"/>
        <v>0</v>
      </c>
      <c r="AU16" s="115">
        <f t="shared" si="6"/>
        <v>0</v>
      </c>
      <c r="AV16" s="115">
        <f t="shared" si="7"/>
        <v>0</v>
      </c>
      <c r="AW16" s="115">
        <f t="shared" si="8"/>
        <v>0</v>
      </c>
      <c r="AX16" s="115">
        <f t="shared" si="9"/>
        <v>0</v>
      </c>
      <c r="AY16" s="111">
        <f t="shared" si="10"/>
        <v>0</v>
      </c>
      <c r="AZ16" s="116">
        <f t="shared" si="11"/>
        <v>0</v>
      </c>
      <c r="BA16" s="113">
        <f t="shared" si="12"/>
        <v>0</v>
      </c>
      <c r="BB16" s="114">
        <f t="shared" si="14"/>
        <v>0</v>
      </c>
      <c r="BC16" s="117">
        <f t="shared" si="15"/>
        <v>0</v>
      </c>
      <c r="BD16" s="117">
        <f t="shared" si="16"/>
        <v>0</v>
      </c>
      <c r="BE16" s="117">
        <f t="shared" si="17"/>
        <v>0</v>
      </c>
      <c r="BF16" s="117">
        <f t="shared" si="18"/>
        <v>0</v>
      </c>
      <c r="BG16" s="117">
        <f t="shared" si="19"/>
        <v>0</v>
      </c>
      <c r="BH16" s="117">
        <f t="shared" si="20"/>
        <v>0</v>
      </c>
      <c r="BI16" s="117">
        <f t="shared" si="21"/>
        <v>0</v>
      </c>
      <c r="BJ16" s="117">
        <f t="shared" si="22"/>
        <v>0</v>
      </c>
      <c r="BK16" s="117">
        <f t="shared" si="23"/>
        <v>0</v>
      </c>
      <c r="BL16" s="118">
        <f t="shared" si="13"/>
        <v>0</v>
      </c>
      <c r="BM16" s="105">
        <v>0</v>
      </c>
    </row>
    <row r="17" spans="1:65" x14ac:dyDescent="0.25">
      <c r="A17" s="106">
        <v>0</v>
      </c>
      <c r="B17" s="107">
        <v>0</v>
      </c>
      <c r="C17" s="106">
        <v>0</v>
      </c>
      <c r="D17" s="107">
        <v>0</v>
      </c>
      <c r="E17" s="106">
        <v>0</v>
      </c>
      <c r="F17" s="107">
        <v>0</v>
      </c>
      <c r="G17" s="106">
        <v>0</v>
      </c>
      <c r="H17" s="107">
        <v>0</v>
      </c>
      <c r="I17" s="106">
        <v>0</v>
      </c>
      <c r="J17" s="107">
        <v>0</v>
      </c>
      <c r="K17" s="106">
        <v>0</v>
      </c>
      <c r="L17" s="107">
        <v>0</v>
      </c>
      <c r="M17" s="106">
        <v>0</v>
      </c>
      <c r="N17" s="107">
        <v>0</v>
      </c>
      <c r="O17" s="106">
        <v>0</v>
      </c>
      <c r="P17" s="107">
        <v>0</v>
      </c>
      <c r="Q17" s="106">
        <v>0</v>
      </c>
      <c r="R17" s="107">
        <v>0</v>
      </c>
      <c r="S17" s="106">
        <v>0</v>
      </c>
      <c r="T17" s="107">
        <v>0</v>
      </c>
      <c r="U17" s="108">
        <v>0</v>
      </c>
      <c r="V17" s="107">
        <v>0</v>
      </c>
      <c r="W17" s="106">
        <v>0</v>
      </c>
      <c r="X17" s="107">
        <v>0</v>
      </c>
      <c r="Y17" s="106">
        <v>0</v>
      </c>
      <c r="Z17" s="107">
        <v>0</v>
      </c>
      <c r="AA17" s="106">
        <v>0</v>
      </c>
      <c r="AB17" s="107">
        <v>0</v>
      </c>
      <c r="AC17" s="109">
        <v>0</v>
      </c>
      <c r="AD17" s="107">
        <v>0</v>
      </c>
      <c r="AE17" s="109">
        <v>0</v>
      </c>
      <c r="AF17" s="107">
        <v>0</v>
      </c>
      <c r="AG17" s="109">
        <v>0</v>
      </c>
      <c r="AH17" s="107">
        <v>0</v>
      </c>
      <c r="AI17" s="109">
        <v>0</v>
      </c>
      <c r="AJ17" s="107">
        <v>0</v>
      </c>
      <c r="AK17" s="109">
        <v>0</v>
      </c>
      <c r="AL17" s="107">
        <v>0</v>
      </c>
      <c r="AM17" s="106">
        <v>0</v>
      </c>
      <c r="AN17" s="110">
        <v>0</v>
      </c>
      <c r="AO17" s="111">
        <f t="shared" si="0"/>
        <v>0</v>
      </c>
      <c r="AP17" s="112">
        <f t="shared" si="1"/>
        <v>0</v>
      </c>
      <c r="AQ17" s="112">
        <f t="shared" si="2"/>
        <v>0</v>
      </c>
      <c r="AR17" s="113">
        <f t="shared" si="3"/>
        <v>0</v>
      </c>
      <c r="AS17" s="114">
        <f t="shared" si="4"/>
        <v>0</v>
      </c>
      <c r="AT17" s="115">
        <f t="shared" si="5"/>
        <v>0</v>
      </c>
      <c r="AU17" s="115">
        <f t="shared" si="6"/>
        <v>0</v>
      </c>
      <c r="AV17" s="115">
        <f t="shared" si="7"/>
        <v>0</v>
      </c>
      <c r="AW17" s="115">
        <f t="shared" si="8"/>
        <v>0</v>
      </c>
      <c r="AX17" s="115">
        <f t="shared" si="9"/>
        <v>0</v>
      </c>
      <c r="AY17" s="111">
        <f t="shared" si="10"/>
        <v>0</v>
      </c>
      <c r="AZ17" s="116">
        <f t="shared" si="11"/>
        <v>0</v>
      </c>
      <c r="BA17" s="113">
        <f t="shared" si="12"/>
        <v>0</v>
      </c>
      <c r="BB17" s="114">
        <f t="shared" si="14"/>
        <v>0</v>
      </c>
      <c r="BC17" s="117">
        <f t="shared" si="15"/>
        <v>0</v>
      </c>
      <c r="BD17" s="117">
        <f t="shared" si="16"/>
        <v>0</v>
      </c>
      <c r="BE17" s="117">
        <f t="shared" si="17"/>
        <v>0</v>
      </c>
      <c r="BF17" s="117">
        <f t="shared" si="18"/>
        <v>0</v>
      </c>
      <c r="BG17" s="117">
        <f t="shared" si="19"/>
        <v>0</v>
      </c>
      <c r="BH17" s="117">
        <f t="shared" si="20"/>
        <v>0</v>
      </c>
      <c r="BI17" s="117">
        <f t="shared" si="21"/>
        <v>0</v>
      </c>
      <c r="BJ17" s="117">
        <f t="shared" si="22"/>
        <v>0</v>
      </c>
      <c r="BK17" s="117">
        <f t="shared" si="23"/>
        <v>0</v>
      </c>
      <c r="BL17" s="118">
        <f t="shared" si="13"/>
        <v>0</v>
      </c>
      <c r="BM17" s="105">
        <v>0</v>
      </c>
    </row>
    <row r="18" spans="1:65" x14ac:dyDescent="0.25">
      <c r="A18" s="106">
        <v>0</v>
      </c>
      <c r="B18" s="107">
        <v>0</v>
      </c>
      <c r="C18" s="106">
        <v>0</v>
      </c>
      <c r="D18" s="107">
        <v>0</v>
      </c>
      <c r="E18" s="106">
        <v>0</v>
      </c>
      <c r="F18" s="107">
        <v>0</v>
      </c>
      <c r="G18" s="106">
        <v>0</v>
      </c>
      <c r="H18" s="107">
        <v>0</v>
      </c>
      <c r="I18" s="106">
        <v>0</v>
      </c>
      <c r="J18" s="107">
        <v>0</v>
      </c>
      <c r="K18" s="106">
        <v>0</v>
      </c>
      <c r="L18" s="107">
        <v>0</v>
      </c>
      <c r="M18" s="106">
        <v>0</v>
      </c>
      <c r="N18" s="107">
        <v>0</v>
      </c>
      <c r="O18" s="106">
        <v>0</v>
      </c>
      <c r="P18" s="107">
        <v>0</v>
      </c>
      <c r="Q18" s="106">
        <v>0</v>
      </c>
      <c r="R18" s="107">
        <v>0</v>
      </c>
      <c r="S18" s="106">
        <v>0</v>
      </c>
      <c r="T18" s="107">
        <v>0</v>
      </c>
      <c r="U18" s="108">
        <v>0</v>
      </c>
      <c r="V18" s="107">
        <v>0</v>
      </c>
      <c r="W18" s="106">
        <v>0</v>
      </c>
      <c r="X18" s="107">
        <v>0</v>
      </c>
      <c r="Y18" s="106">
        <v>0</v>
      </c>
      <c r="Z18" s="107">
        <v>0</v>
      </c>
      <c r="AA18" s="106">
        <v>0</v>
      </c>
      <c r="AB18" s="107">
        <v>0</v>
      </c>
      <c r="AC18" s="109">
        <v>0</v>
      </c>
      <c r="AD18" s="107">
        <v>0</v>
      </c>
      <c r="AE18" s="109">
        <v>0</v>
      </c>
      <c r="AF18" s="107">
        <v>0</v>
      </c>
      <c r="AG18" s="109">
        <v>0</v>
      </c>
      <c r="AH18" s="107">
        <v>0</v>
      </c>
      <c r="AI18" s="109">
        <v>0</v>
      </c>
      <c r="AJ18" s="107">
        <v>0</v>
      </c>
      <c r="AK18" s="109">
        <v>0</v>
      </c>
      <c r="AL18" s="107">
        <v>0</v>
      </c>
      <c r="AM18" s="106">
        <v>0</v>
      </c>
      <c r="AN18" s="110">
        <v>0</v>
      </c>
      <c r="AO18" s="111">
        <f t="shared" si="0"/>
        <v>0</v>
      </c>
      <c r="AP18" s="112">
        <f t="shared" si="1"/>
        <v>0</v>
      </c>
      <c r="AQ18" s="112">
        <f t="shared" si="2"/>
        <v>0</v>
      </c>
      <c r="AR18" s="113">
        <f t="shared" si="3"/>
        <v>0</v>
      </c>
      <c r="AS18" s="114">
        <f t="shared" si="4"/>
        <v>0</v>
      </c>
      <c r="AT18" s="115">
        <f t="shared" si="5"/>
        <v>0</v>
      </c>
      <c r="AU18" s="115">
        <f t="shared" si="6"/>
        <v>0</v>
      </c>
      <c r="AV18" s="115">
        <f t="shared" si="7"/>
        <v>0</v>
      </c>
      <c r="AW18" s="115">
        <f t="shared" si="8"/>
        <v>0</v>
      </c>
      <c r="AX18" s="115">
        <f t="shared" si="9"/>
        <v>0</v>
      </c>
      <c r="AY18" s="111">
        <f t="shared" si="10"/>
        <v>0</v>
      </c>
      <c r="AZ18" s="116">
        <f t="shared" si="11"/>
        <v>0</v>
      </c>
      <c r="BA18" s="113">
        <f t="shared" si="12"/>
        <v>0</v>
      </c>
      <c r="BB18" s="114">
        <f t="shared" si="14"/>
        <v>0</v>
      </c>
      <c r="BC18" s="117">
        <f t="shared" si="15"/>
        <v>0</v>
      </c>
      <c r="BD18" s="117">
        <f t="shared" si="16"/>
        <v>0</v>
      </c>
      <c r="BE18" s="117">
        <f t="shared" si="17"/>
        <v>0</v>
      </c>
      <c r="BF18" s="117">
        <f t="shared" si="18"/>
        <v>0</v>
      </c>
      <c r="BG18" s="117">
        <f t="shared" si="19"/>
        <v>0</v>
      </c>
      <c r="BH18" s="117">
        <f t="shared" si="20"/>
        <v>0</v>
      </c>
      <c r="BI18" s="117">
        <f t="shared" si="21"/>
        <v>0</v>
      </c>
      <c r="BJ18" s="117">
        <f t="shared" si="22"/>
        <v>0</v>
      </c>
      <c r="BK18" s="117">
        <f t="shared" si="23"/>
        <v>0</v>
      </c>
      <c r="BL18" s="118">
        <f t="shared" si="13"/>
        <v>0</v>
      </c>
      <c r="BM18" s="105">
        <v>0</v>
      </c>
    </row>
    <row r="19" spans="1:65" x14ac:dyDescent="0.25">
      <c r="A19" s="106">
        <v>0</v>
      </c>
      <c r="B19" s="107">
        <v>0</v>
      </c>
      <c r="C19" s="106">
        <v>0</v>
      </c>
      <c r="D19" s="107">
        <v>0</v>
      </c>
      <c r="E19" s="106">
        <v>0</v>
      </c>
      <c r="F19" s="107">
        <v>0</v>
      </c>
      <c r="G19" s="106">
        <v>0</v>
      </c>
      <c r="H19" s="107">
        <v>0</v>
      </c>
      <c r="I19" s="106">
        <v>0</v>
      </c>
      <c r="J19" s="107">
        <v>0</v>
      </c>
      <c r="K19" s="106">
        <v>0</v>
      </c>
      <c r="L19" s="107">
        <v>0</v>
      </c>
      <c r="M19" s="106">
        <v>0</v>
      </c>
      <c r="N19" s="107">
        <v>0</v>
      </c>
      <c r="O19" s="106">
        <v>0</v>
      </c>
      <c r="P19" s="107">
        <v>0</v>
      </c>
      <c r="Q19" s="106">
        <v>0</v>
      </c>
      <c r="R19" s="107">
        <v>0</v>
      </c>
      <c r="S19" s="106">
        <v>0</v>
      </c>
      <c r="T19" s="107">
        <v>0</v>
      </c>
      <c r="U19" s="108">
        <v>0</v>
      </c>
      <c r="V19" s="107">
        <v>0</v>
      </c>
      <c r="W19" s="106">
        <v>0</v>
      </c>
      <c r="X19" s="107">
        <v>0</v>
      </c>
      <c r="Y19" s="106">
        <v>0</v>
      </c>
      <c r="Z19" s="107">
        <v>0</v>
      </c>
      <c r="AA19" s="106">
        <v>0</v>
      </c>
      <c r="AB19" s="107">
        <v>0</v>
      </c>
      <c r="AC19" s="109">
        <v>0</v>
      </c>
      <c r="AD19" s="107">
        <v>0</v>
      </c>
      <c r="AE19" s="109">
        <v>0</v>
      </c>
      <c r="AF19" s="107">
        <v>0</v>
      </c>
      <c r="AG19" s="109">
        <v>0</v>
      </c>
      <c r="AH19" s="107">
        <v>0</v>
      </c>
      <c r="AI19" s="109">
        <v>0</v>
      </c>
      <c r="AJ19" s="107">
        <v>0</v>
      </c>
      <c r="AK19" s="109">
        <v>0</v>
      </c>
      <c r="AL19" s="107">
        <v>0</v>
      </c>
      <c r="AM19" s="106">
        <v>0</v>
      </c>
      <c r="AN19" s="110">
        <v>0</v>
      </c>
      <c r="AO19" s="111">
        <f t="shared" si="0"/>
        <v>0</v>
      </c>
      <c r="AP19" s="112">
        <f t="shared" si="1"/>
        <v>0</v>
      </c>
      <c r="AQ19" s="112">
        <f t="shared" si="2"/>
        <v>0</v>
      </c>
      <c r="AR19" s="113">
        <f t="shared" si="3"/>
        <v>0</v>
      </c>
      <c r="AS19" s="114">
        <f t="shared" si="4"/>
        <v>0</v>
      </c>
      <c r="AT19" s="115">
        <f t="shared" si="5"/>
        <v>0</v>
      </c>
      <c r="AU19" s="115">
        <f t="shared" si="6"/>
        <v>0</v>
      </c>
      <c r="AV19" s="115">
        <f t="shared" si="7"/>
        <v>0</v>
      </c>
      <c r="AW19" s="115">
        <f t="shared" si="8"/>
        <v>0</v>
      </c>
      <c r="AX19" s="115">
        <f t="shared" si="9"/>
        <v>0</v>
      </c>
      <c r="AY19" s="111">
        <f t="shared" si="10"/>
        <v>0</v>
      </c>
      <c r="AZ19" s="116">
        <f t="shared" si="11"/>
        <v>0</v>
      </c>
      <c r="BA19" s="113">
        <f t="shared" si="12"/>
        <v>0</v>
      </c>
      <c r="BB19" s="114">
        <f t="shared" si="14"/>
        <v>0</v>
      </c>
      <c r="BC19" s="117">
        <f t="shared" si="15"/>
        <v>0</v>
      </c>
      <c r="BD19" s="117">
        <f t="shared" si="16"/>
        <v>0</v>
      </c>
      <c r="BE19" s="117">
        <f t="shared" si="17"/>
        <v>0</v>
      </c>
      <c r="BF19" s="117">
        <f t="shared" si="18"/>
        <v>0</v>
      </c>
      <c r="BG19" s="117">
        <f t="shared" si="19"/>
        <v>0</v>
      </c>
      <c r="BH19" s="117">
        <f t="shared" si="20"/>
        <v>0</v>
      </c>
      <c r="BI19" s="117">
        <f t="shared" si="21"/>
        <v>0</v>
      </c>
      <c r="BJ19" s="117">
        <f t="shared" si="22"/>
        <v>0</v>
      </c>
      <c r="BK19" s="117">
        <f t="shared" si="23"/>
        <v>0</v>
      </c>
      <c r="BL19" s="118">
        <f t="shared" si="13"/>
        <v>0</v>
      </c>
      <c r="BM19" s="105">
        <v>0</v>
      </c>
    </row>
    <row r="20" spans="1:65" x14ac:dyDescent="0.25">
      <c r="A20" s="106">
        <v>0</v>
      </c>
      <c r="B20" s="107">
        <v>0</v>
      </c>
      <c r="C20" s="106">
        <v>0</v>
      </c>
      <c r="D20" s="107">
        <v>0</v>
      </c>
      <c r="E20" s="106">
        <v>0</v>
      </c>
      <c r="F20" s="107">
        <v>0</v>
      </c>
      <c r="G20" s="106">
        <v>0</v>
      </c>
      <c r="H20" s="107">
        <v>0</v>
      </c>
      <c r="I20" s="106">
        <v>0</v>
      </c>
      <c r="J20" s="107">
        <v>0</v>
      </c>
      <c r="K20" s="106">
        <v>0</v>
      </c>
      <c r="L20" s="107">
        <v>0</v>
      </c>
      <c r="M20" s="106">
        <v>0</v>
      </c>
      <c r="N20" s="107">
        <v>0</v>
      </c>
      <c r="O20" s="106">
        <v>0</v>
      </c>
      <c r="P20" s="107">
        <v>0</v>
      </c>
      <c r="Q20" s="106">
        <v>0</v>
      </c>
      <c r="R20" s="107">
        <v>0</v>
      </c>
      <c r="S20" s="106">
        <v>0</v>
      </c>
      <c r="T20" s="107">
        <v>0</v>
      </c>
      <c r="U20" s="108">
        <v>0</v>
      </c>
      <c r="V20" s="107">
        <v>0</v>
      </c>
      <c r="W20" s="106">
        <v>0</v>
      </c>
      <c r="X20" s="107">
        <v>0</v>
      </c>
      <c r="Y20" s="106">
        <v>0</v>
      </c>
      <c r="Z20" s="107">
        <v>0</v>
      </c>
      <c r="AA20" s="106">
        <v>0</v>
      </c>
      <c r="AB20" s="107">
        <v>0</v>
      </c>
      <c r="AC20" s="109">
        <v>0</v>
      </c>
      <c r="AD20" s="107">
        <v>0</v>
      </c>
      <c r="AE20" s="109">
        <v>0</v>
      </c>
      <c r="AF20" s="107">
        <v>0</v>
      </c>
      <c r="AG20" s="109">
        <v>0</v>
      </c>
      <c r="AH20" s="107">
        <v>0</v>
      </c>
      <c r="AI20" s="109">
        <v>0</v>
      </c>
      <c r="AJ20" s="107">
        <v>0</v>
      </c>
      <c r="AK20" s="109">
        <v>0</v>
      </c>
      <c r="AL20" s="107">
        <v>0</v>
      </c>
      <c r="AM20" s="106">
        <v>0</v>
      </c>
      <c r="AN20" s="110">
        <v>0</v>
      </c>
      <c r="AO20" s="111">
        <f t="shared" si="0"/>
        <v>0</v>
      </c>
      <c r="AP20" s="112">
        <f t="shared" si="1"/>
        <v>0</v>
      </c>
      <c r="AQ20" s="112">
        <f t="shared" si="2"/>
        <v>0</v>
      </c>
      <c r="AR20" s="113">
        <f t="shared" si="3"/>
        <v>0</v>
      </c>
      <c r="AS20" s="114">
        <f t="shared" si="4"/>
        <v>0</v>
      </c>
      <c r="AT20" s="115">
        <f t="shared" si="5"/>
        <v>0</v>
      </c>
      <c r="AU20" s="115">
        <f t="shared" si="6"/>
        <v>0</v>
      </c>
      <c r="AV20" s="115">
        <f t="shared" si="7"/>
        <v>0</v>
      </c>
      <c r="AW20" s="115">
        <f t="shared" si="8"/>
        <v>0</v>
      </c>
      <c r="AX20" s="115">
        <f t="shared" si="9"/>
        <v>0</v>
      </c>
      <c r="AY20" s="111">
        <f t="shared" si="10"/>
        <v>0</v>
      </c>
      <c r="AZ20" s="116">
        <f t="shared" si="11"/>
        <v>0</v>
      </c>
      <c r="BA20" s="113">
        <f t="shared" si="12"/>
        <v>0</v>
      </c>
      <c r="BB20" s="114">
        <f t="shared" si="14"/>
        <v>0</v>
      </c>
      <c r="BC20" s="117">
        <f t="shared" si="15"/>
        <v>0</v>
      </c>
      <c r="BD20" s="117">
        <f t="shared" si="16"/>
        <v>0</v>
      </c>
      <c r="BE20" s="117">
        <f t="shared" si="17"/>
        <v>0</v>
      </c>
      <c r="BF20" s="117">
        <f t="shared" si="18"/>
        <v>0</v>
      </c>
      <c r="BG20" s="117">
        <f t="shared" si="19"/>
        <v>0</v>
      </c>
      <c r="BH20" s="117">
        <f t="shared" si="20"/>
        <v>0</v>
      </c>
      <c r="BI20" s="117">
        <f t="shared" si="21"/>
        <v>0</v>
      </c>
      <c r="BJ20" s="117">
        <f t="shared" si="22"/>
        <v>0</v>
      </c>
      <c r="BK20" s="117">
        <f t="shared" si="23"/>
        <v>0</v>
      </c>
      <c r="BL20" s="118">
        <f t="shared" si="13"/>
        <v>0</v>
      </c>
      <c r="BM20" s="105">
        <v>0</v>
      </c>
    </row>
    <row r="21" spans="1:65" x14ac:dyDescent="0.25">
      <c r="A21" s="106">
        <v>0</v>
      </c>
      <c r="B21" s="107">
        <v>0</v>
      </c>
      <c r="C21" s="106">
        <v>0</v>
      </c>
      <c r="D21" s="107">
        <v>0</v>
      </c>
      <c r="E21" s="106">
        <v>0</v>
      </c>
      <c r="F21" s="107">
        <v>0</v>
      </c>
      <c r="G21" s="106">
        <v>0</v>
      </c>
      <c r="H21" s="107">
        <v>0</v>
      </c>
      <c r="I21" s="106">
        <v>0</v>
      </c>
      <c r="J21" s="107">
        <v>0</v>
      </c>
      <c r="K21" s="106">
        <v>0</v>
      </c>
      <c r="L21" s="107">
        <v>0</v>
      </c>
      <c r="M21" s="106">
        <v>0</v>
      </c>
      <c r="N21" s="107">
        <v>0</v>
      </c>
      <c r="O21" s="106">
        <v>0</v>
      </c>
      <c r="P21" s="107">
        <v>0</v>
      </c>
      <c r="Q21" s="106">
        <v>0</v>
      </c>
      <c r="R21" s="107">
        <v>0</v>
      </c>
      <c r="S21" s="106">
        <v>0</v>
      </c>
      <c r="T21" s="107">
        <v>0</v>
      </c>
      <c r="U21" s="108">
        <v>0</v>
      </c>
      <c r="V21" s="107">
        <v>0</v>
      </c>
      <c r="W21" s="106">
        <v>0</v>
      </c>
      <c r="X21" s="107">
        <v>0</v>
      </c>
      <c r="Y21" s="106">
        <v>0</v>
      </c>
      <c r="Z21" s="107">
        <v>0</v>
      </c>
      <c r="AA21" s="106">
        <v>0</v>
      </c>
      <c r="AB21" s="107">
        <v>0</v>
      </c>
      <c r="AC21" s="109">
        <v>0</v>
      </c>
      <c r="AD21" s="107">
        <v>0</v>
      </c>
      <c r="AE21" s="109">
        <v>0</v>
      </c>
      <c r="AF21" s="107">
        <v>0</v>
      </c>
      <c r="AG21" s="109">
        <v>0</v>
      </c>
      <c r="AH21" s="107">
        <v>0</v>
      </c>
      <c r="AI21" s="109">
        <v>0</v>
      </c>
      <c r="AJ21" s="107">
        <v>0</v>
      </c>
      <c r="AK21" s="109">
        <v>0</v>
      </c>
      <c r="AL21" s="107">
        <v>0</v>
      </c>
      <c r="AM21" s="106">
        <v>0</v>
      </c>
      <c r="AN21" s="110">
        <v>0</v>
      </c>
      <c r="AO21" s="111">
        <f t="shared" si="0"/>
        <v>0</v>
      </c>
      <c r="AP21" s="112">
        <f t="shared" si="1"/>
        <v>0</v>
      </c>
      <c r="AQ21" s="112">
        <f t="shared" si="2"/>
        <v>0</v>
      </c>
      <c r="AR21" s="113">
        <f t="shared" si="3"/>
        <v>0</v>
      </c>
      <c r="AS21" s="114">
        <f t="shared" si="4"/>
        <v>0</v>
      </c>
      <c r="AT21" s="115">
        <f t="shared" si="5"/>
        <v>0</v>
      </c>
      <c r="AU21" s="115">
        <f t="shared" si="6"/>
        <v>0</v>
      </c>
      <c r="AV21" s="115">
        <f t="shared" si="7"/>
        <v>0</v>
      </c>
      <c r="AW21" s="115">
        <f t="shared" si="8"/>
        <v>0</v>
      </c>
      <c r="AX21" s="115">
        <f t="shared" si="9"/>
        <v>0</v>
      </c>
      <c r="AY21" s="111">
        <f t="shared" si="10"/>
        <v>0</v>
      </c>
      <c r="AZ21" s="116">
        <f t="shared" si="11"/>
        <v>0</v>
      </c>
      <c r="BA21" s="113">
        <f t="shared" si="12"/>
        <v>0</v>
      </c>
      <c r="BB21" s="114">
        <f t="shared" si="14"/>
        <v>0</v>
      </c>
      <c r="BC21" s="117">
        <f t="shared" si="15"/>
        <v>0</v>
      </c>
      <c r="BD21" s="117">
        <f t="shared" si="16"/>
        <v>0</v>
      </c>
      <c r="BE21" s="117">
        <f t="shared" si="17"/>
        <v>0</v>
      </c>
      <c r="BF21" s="117">
        <f t="shared" si="18"/>
        <v>0</v>
      </c>
      <c r="BG21" s="117">
        <f t="shared" si="19"/>
        <v>0</v>
      </c>
      <c r="BH21" s="117">
        <f t="shared" si="20"/>
        <v>0</v>
      </c>
      <c r="BI21" s="117">
        <f t="shared" si="21"/>
        <v>0</v>
      </c>
      <c r="BJ21" s="117">
        <f t="shared" si="22"/>
        <v>0</v>
      </c>
      <c r="BK21" s="117">
        <f t="shared" si="23"/>
        <v>0</v>
      </c>
      <c r="BL21" s="118">
        <f t="shared" si="13"/>
        <v>0</v>
      </c>
      <c r="BM21" s="105">
        <v>0</v>
      </c>
    </row>
    <row r="22" spans="1:65" x14ac:dyDescent="0.25">
      <c r="A22" s="106">
        <v>0</v>
      </c>
      <c r="B22" s="107">
        <v>0</v>
      </c>
      <c r="C22" s="106">
        <v>0</v>
      </c>
      <c r="D22" s="107">
        <v>0</v>
      </c>
      <c r="E22" s="106">
        <v>0</v>
      </c>
      <c r="F22" s="107">
        <v>0</v>
      </c>
      <c r="G22" s="106">
        <v>0</v>
      </c>
      <c r="H22" s="107">
        <v>0</v>
      </c>
      <c r="I22" s="106">
        <v>0</v>
      </c>
      <c r="J22" s="107">
        <v>0</v>
      </c>
      <c r="K22" s="106">
        <v>0</v>
      </c>
      <c r="L22" s="107">
        <v>0</v>
      </c>
      <c r="M22" s="106">
        <v>0</v>
      </c>
      <c r="N22" s="107">
        <v>0</v>
      </c>
      <c r="O22" s="106">
        <v>0</v>
      </c>
      <c r="P22" s="107">
        <v>0</v>
      </c>
      <c r="Q22" s="106">
        <v>0</v>
      </c>
      <c r="R22" s="107">
        <v>0</v>
      </c>
      <c r="S22" s="106">
        <v>0</v>
      </c>
      <c r="T22" s="107">
        <v>0</v>
      </c>
      <c r="U22" s="108">
        <v>0</v>
      </c>
      <c r="V22" s="107">
        <v>0</v>
      </c>
      <c r="W22" s="106">
        <v>0</v>
      </c>
      <c r="X22" s="107">
        <v>0</v>
      </c>
      <c r="Y22" s="106">
        <v>0</v>
      </c>
      <c r="Z22" s="107">
        <v>0</v>
      </c>
      <c r="AA22" s="106">
        <v>0</v>
      </c>
      <c r="AB22" s="107">
        <v>0</v>
      </c>
      <c r="AC22" s="109">
        <v>0</v>
      </c>
      <c r="AD22" s="107">
        <v>0</v>
      </c>
      <c r="AE22" s="109">
        <v>0</v>
      </c>
      <c r="AF22" s="107">
        <v>0</v>
      </c>
      <c r="AG22" s="109">
        <v>0</v>
      </c>
      <c r="AH22" s="107">
        <v>0</v>
      </c>
      <c r="AI22" s="109">
        <v>0</v>
      </c>
      <c r="AJ22" s="107">
        <v>0</v>
      </c>
      <c r="AK22" s="109">
        <v>0</v>
      </c>
      <c r="AL22" s="107">
        <v>0</v>
      </c>
      <c r="AM22" s="106">
        <v>0</v>
      </c>
      <c r="AN22" s="110">
        <v>0</v>
      </c>
      <c r="AO22" s="111">
        <f t="shared" si="0"/>
        <v>0</v>
      </c>
      <c r="AP22" s="112">
        <f t="shared" si="1"/>
        <v>0</v>
      </c>
      <c r="AQ22" s="112">
        <f t="shared" si="2"/>
        <v>0</v>
      </c>
      <c r="AR22" s="113">
        <f t="shared" si="3"/>
        <v>0</v>
      </c>
      <c r="AS22" s="114">
        <f t="shared" si="4"/>
        <v>0</v>
      </c>
      <c r="AT22" s="115">
        <f t="shared" si="5"/>
        <v>0</v>
      </c>
      <c r="AU22" s="115">
        <f t="shared" si="6"/>
        <v>0</v>
      </c>
      <c r="AV22" s="115">
        <f t="shared" si="7"/>
        <v>0</v>
      </c>
      <c r="AW22" s="115">
        <f t="shared" si="8"/>
        <v>0</v>
      </c>
      <c r="AX22" s="115">
        <f t="shared" si="9"/>
        <v>0</v>
      </c>
      <c r="AY22" s="111">
        <f t="shared" si="10"/>
        <v>0</v>
      </c>
      <c r="AZ22" s="116">
        <f t="shared" si="11"/>
        <v>0</v>
      </c>
      <c r="BA22" s="113">
        <f t="shared" si="12"/>
        <v>0</v>
      </c>
      <c r="BB22" s="114">
        <f t="shared" si="14"/>
        <v>0</v>
      </c>
      <c r="BC22" s="117">
        <f t="shared" si="15"/>
        <v>0</v>
      </c>
      <c r="BD22" s="117">
        <f t="shared" si="16"/>
        <v>0</v>
      </c>
      <c r="BE22" s="117">
        <f t="shared" si="17"/>
        <v>0</v>
      </c>
      <c r="BF22" s="117">
        <f t="shared" si="18"/>
        <v>0</v>
      </c>
      <c r="BG22" s="117">
        <f t="shared" si="19"/>
        <v>0</v>
      </c>
      <c r="BH22" s="117">
        <f t="shared" si="20"/>
        <v>0</v>
      </c>
      <c r="BI22" s="117">
        <f t="shared" si="21"/>
        <v>0</v>
      </c>
      <c r="BJ22" s="117">
        <f t="shared" si="22"/>
        <v>0</v>
      </c>
      <c r="BK22" s="117">
        <f t="shared" si="23"/>
        <v>0</v>
      </c>
      <c r="BL22" s="118">
        <f t="shared" si="13"/>
        <v>0</v>
      </c>
      <c r="BM22" s="105">
        <v>0</v>
      </c>
    </row>
    <row r="23" spans="1:65" x14ac:dyDescent="0.25">
      <c r="A23" s="106">
        <v>0</v>
      </c>
      <c r="B23" s="107">
        <v>0</v>
      </c>
      <c r="C23" s="106">
        <v>0</v>
      </c>
      <c r="D23" s="107">
        <v>0</v>
      </c>
      <c r="E23" s="106">
        <v>0</v>
      </c>
      <c r="F23" s="107">
        <v>0</v>
      </c>
      <c r="G23" s="106">
        <v>0</v>
      </c>
      <c r="H23" s="107">
        <v>0</v>
      </c>
      <c r="I23" s="106">
        <v>0</v>
      </c>
      <c r="J23" s="107">
        <v>0</v>
      </c>
      <c r="K23" s="106">
        <v>0</v>
      </c>
      <c r="L23" s="107">
        <v>0</v>
      </c>
      <c r="M23" s="106">
        <v>0</v>
      </c>
      <c r="N23" s="107">
        <v>0</v>
      </c>
      <c r="O23" s="106">
        <v>0</v>
      </c>
      <c r="P23" s="107">
        <v>0</v>
      </c>
      <c r="Q23" s="106">
        <v>0</v>
      </c>
      <c r="R23" s="107">
        <v>0</v>
      </c>
      <c r="S23" s="106">
        <v>0</v>
      </c>
      <c r="T23" s="107">
        <v>0</v>
      </c>
      <c r="U23" s="108">
        <v>0</v>
      </c>
      <c r="V23" s="107">
        <v>0</v>
      </c>
      <c r="W23" s="106">
        <v>0</v>
      </c>
      <c r="X23" s="107">
        <v>0</v>
      </c>
      <c r="Y23" s="106">
        <v>0</v>
      </c>
      <c r="Z23" s="107">
        <v>0</v>
      </c>
      <c r="AA23" s="106">
        <v>0</v>
      </c>
      <c r="AB23" s="107">
        <v>0</v>
      </c>
      <c r="AC23" s="109">
        <v>0</v>
      </c>
      <c r="AD23" s="107">
        <v>0</v>
      </c>
      <c r="AE23" s="109">
        <v>0</v>
      </c>
      <c r="AF23" s="107">
        <v>0</v>
      </c>
      <c r="AG23" s="109">
        <v>0</v>
      </c>
      <c r="AH23" s="107">
        <v>0</v>
      </c>
      <c r="AI23" s="109">
        <v>0</v>
      </c>
      <c r="AJ23" s="107">
        <v>0</v>
      </c>
      <c r="AK23" s="109">
        <v>0</v>
      </c>
      <c r="AL23" s="107">
        <v>0</v>
      </c>
      <c r="AM23" s="106">
        <v>0</v>
      </c>
      <c r="AN23" s="110">
        <v>0</v>
      </c>
      <c r="AO23" s="111">
        <f t="shared" si="0"/>
        <v>0</v>
      </c>
      <c r="AP23" s="112">
        <f t="shared" si="1"/>
        <v>0</v>
      </c>
      <c r="AQ23" s="112">
        <f t="shared" si="2"/>
        <v>0</v>
      </c>
      <c r="AR23" s="113">
        <f t="shared" si="3"/>
        <v>0</v>
      </c>
      <c r="AS23" s="114">
        <f t="shared" si="4"/>
        <v>0</v>
      </c>
      <c r="AT23" s="115">
        <f t="shared" si="5"/>
        <v>0</v>
      </c>
      <c r="AU23" s="115">
        <f t="shared" si="6"/>
        <v>0</v>
      </c>
      <c r="AV23" s="115">
        <f t="shared" si="7"/>
        <v>0</v>
      </c>
      <c r="AW23" s="115">
        <f t="shared" si="8"/>
        <v>0</v>
      </c>
      <c r="AX23" s="115">
        <f t="shared" si="9"/>
        <v>0</v>
      </c>
      <c r="AY23" s="111">
        <f t="shared" si="10"/>
        <v>0</v>
      </c>
      <c r="AZ23" s="116">
        <f t="shared" si="11"/>
        <v>0</v>
      </c>
      <c r="BA23" s="113">
        <f t="shared" si="12"/>
        <v>0</v>
      </c>
      <c r="BB23" s="114">
        <f t="shared" si="14"/>
        <v>0</v>
      </c>
      <c r="BC23" s="117">
        <f t="shared" si="15"/>
        <v>0</v>
      </c>
      <c r="BD23" s="117">
        <f t="shared" si="16"/>
        <v>0</v>
      </c>
      <c r="BE23" s="117">
        <f t="shared" si="17"/>
        <v>0</v>
      </c>
      <c r="BF23" s="117">
        <f t="shared" si="18"/>
        <v>0</v>
      </c>
      <c r="BG23" s="117">
        <f t="shared" si="19"/>
        <v>0</v>
      </c>
      <c r="BH23" s="117">
        <f t="shared" si="20"/>
        <v>0</v>
      </c>
      <c r="BI23" s="117">
        <f t="shared" si="21"/>
        <v>0</v>
      </c>
      <c r="BJ23" s="117">
        <f t="shared" si="22"/>
        <v>0</v>
      </c>
      <c r="BK23" s="117">
        <f t="shared" si="23"/>
        <v>0</v>
      </c>
      <c r="BL23" s="118">
        <f t="shared" si="13"/>
        <v>0</v>
      </c>
      <c r="BM23" s="105">
        <v>0</v>
      </c>
    </row>
    <row r="24" spans="1:65" x14ac:dyDescent="0.25">
      <c r="A24" s="106">
        <v>0</v>
      </c>
      <c r="B24" s="107">
        <v>0</v>
      </c>
      <c r="C24" s="106">
        <v>0</v>
      </c>
      <c r="D24" s="107">
        <v>0</v>
      </c>
      <c r="E24" s="106">
        <v>0</v>
      </c>
      <c r="F24" s="107">
        <v>0</v>
      </c>
      <c r="G24" s="106">
        <v>0</v>
      </c>
      <c r="H24" s="107">
        <v>0</v>
      </c>
      <c r="I24" s="106">
        <v>0</v>
      </c>
      <c r="J24" s="107">
        <v>0</v>
      </c>
      <c r="K24" s="106">
        <v>0</v>
      </c>
      <c r="L24" s="107">
        <v>0</v>
      </c>
      <c r="M24" s="106">
        <v>0</v>
      </c>
      <c r="N24" s="107">
        <v>0</v>
      </c>
      <c r="O24" s="106">
        <v>0</v>
      </c>
      <c r="P24" s="107">
        <v>0</v>
      </c>
      <c r="Q24" s="106">
        <v>0</v>
      </c>
      <c r="R24" s="107">
        <v>0</v>
      </c>
      <c r="S24" s="106">
        <v>0</v>
      </c>
      <c r="T24" s="107">
        <v>0</v>
      </c>
      <c r="U24" s="108">
        <v>0</v>
      </c>
      <c r="V24" s="107">
        <v>0</v>
      </c>
      <c r="W24" s="106">
        <v>0</v>
      </c>
      <c r="X24" s="107">
        <v>0</v>
      </c>
      <c r="Y24" s="106">
        <v>0</v>
      </c>
      <c r="Z24" s="107">
        <v>0</v>
      </c>
      <c r="AA24" s="106">
        <v>0</v>
      </c>
      <c r="AB24" s="107">
        <v>0</v>
      </c>
      <c r="AC24" s="109">
        <v>0</v>
      </c>
      <c r="AD24" s="107">
        <v>0</v>
      </c>
      <c r="AE24" s="109">
        <v>0</v>
      </c>
      <c r="AF24" s="107">
        <v>0</v>
      </c>
      <c r="AG24" s="109">
        <v>0</v>
      </c>
      <c r="AH24" s="107">
        <v>0</v>
      </c>
      <c r="AI24" s="109">
        <v>0</v>
      </c>
      <c r="AJ24" s="107">
        <v>0</v>
      </c>
      <c r="AK24" s="109">
        <v>0</v>
      </c>
      <c r="AL24" s="107">
        <v>0</v>
      </c>
      <c r="AM24" s="106">
        <v>0</v>
      </c>
      <c r="AN24" s="110">
        <v>0</v>
      </c>
      <c r="AO24" s="111">
        <f t="shared" si="0"/>
        <v>0</v>
      </c>
      <c r="AP24" s="112">
        <f t="shared" si="1"/>
        <v>0</v>
      </c>
      <c r="AQ24" s="112">
        <f t="shared" si="2"/>
        <v>0</v>
      </c>
      <c r="AR24" s="113">
        <f t="shared" si="3"/>
        <v>0</v>
      </c>
      <c r="AS24" s="114">
        <f t="shared" si="4"/>
        <v>0</v>
      </c>
      <c r="AT24" s="115">
        <f t="shared" si="5"/>
        <v>0</v>
      </c>
      <c r="AU24" s="115">
        <f t="shared" si="6"/>
        <v>0</v>
      </c>
      <c r="AV24" s="115">
        <f t="shared" si="7"/>
        <v>0</v>
      </c>
      <c r="AW24" s="115">
        <f t="shared" si="8"/>
        <v>0</v>
      </c>
      <c r="AX24" s="115">
        <f t="shared" si="9"/>
        <v>0</v>
      </c>
      <c r="AY24" s="111">
        <f t="shared" si="10"/>
        <v>0</v>
      </c>
      <c r="AZ24" s="116">
        <f t="shared" si="11"/>
        <v>0</v>
      </c>
      <c r="BA24" s="113">
        <f t="shared" si="12"/>
        <v>0</v>
      </c>
      <c r="BB24" s="114">
        <f t="shared" si="14"/>
        <v>0</v>
      </c>
      <c r="BC24" s="117">
        <f t="shared" si="15"/>
        <v>0</v>
      </c>
      <c r="BD24" s="117">
        <f t="shared" si="16"/>
        <v>0</v>
      </c>
      <c r="BE24" s="117">
        <f t="shared" si="17"/>
        <v>0</v>
      </c>
      <c r="BF24" s="117">
        <f t="shared" si="18"/>
        <v>0</v>
      </c>
      <c r="BG24" s="117">
        <f t="shared" si="19"/>
        <v>0</v>
      </c>
      <c r="BH24" s="117">
        <f t="shared" si="20"/>
        <v>0</v>
      </c>
      <c r="BI24" s="117">
        <f t="shared" si="21"/>
        <v>0</v>
      </c>
      <c r="BJ24" s="117">
        <f t="shared" si="22"/>
        <v>0</v>
      </c>
      <c r="BK24" s="117">
        <f t="shared" si="23"/>
        <v>0</v>
      </c>
      <c r="BL24" s="118">
        <f t="shared" si="13"/>
        <v>0</v>
      </c>
      <c r="BM24" s="105">
        <v>0</v>
      </c>
    </row>
    <row r="25" spans="1:65" x14ac:dyDescent="0.25">
      <c r="A25" s="106">
        <v>0</v>
      </c>
      <c r="B25" s="107">
        <v>0</v>
      </c>
      <c r="C25" s="106">
        <v>0</v>
      </c>
      <c r="D25" s="107">
        <v>0</v>
      </c>
      <c r="E25" s="106">
        <v>0</v>
      </c>
      <c r="F25" s="107">
        <v>0</v>
      </c>
      <c r="G25" s="106">
        <v>0</v>
      </c>
      <c r="H25" s="107">
        <v>0</v>
      </c>
      <c r="I25" s="106">
        <v>0</v>
      </c>
      <c r="J25" s="107">
        <v>0</v>
      </c>
      <c r="K25" s="106">
        <v>0</v>
      </c>
      <c r="L25" s="107">
        <v>0</v>
      </c>
      <c r="M25" s="106">
        <v>0</v>
      </c>
      <c r="N25" s="107">
        <v>0</v>
      </c>
      <c r="O25" s="106">
        <v>0</v>
      </c>
      <c r="P25" s="107">
        <v>0</v>
      </c>
      <c r="Q25" s="106">
        <v>0</v>
      </c>
      <c r="R25" s="107">
        <v>0</v>
      </c>
      <c r="S25" s="106">
        <v>0</v>
      </c>
      <c r="T25" s="107">
        <v>0</v>
      </c>
      <c r="U25" s="108">
        <v>0</v>
      </c>
      <c r="V25" s="107">
        <v>0</v>
      </c>
      <c r="W25" s="106">
        <v>0</v>
      </c>
      <c r="X25" s="107">
        <v>0</v>
      </c>
      <c r="Y25" s="106">
        <v>0</v>
      </c>
      <c r="Z25" s="107">
        <v>0</v>
      </c>
      <c r="AA25" s="106">
        <v>0</v>
      </c>
      <c r="AB25" s="107">
        <v>0</v>
      </c>
      <c r="AC25" s="109">
        <v>0</v>
      </c>
      <c r="AD25" s="107">
        <v>0</v>
      </c>
      <c r="AE25" s="109">
        <v>0</v>
      </c>
      <c r="AF25" s="107">
        <v>0</v>
      </c>
      <c r="AG25" s="109">
        <v>0</v>
      </c>
      <c r="AH25" s="107">
        <v>0</v>
      </c>
      <c r="AI25" s="109">
        <v>0</v>
      </c>
      <c r="AJ25" s="107">
        <v>0</v>
      </c>
      <c r="AK25" s="109">
        <v>0</v>
      </c>
      <c r="AL25" s="107">
        <v>0</v>
      </c>
      <c r="AM25" s="106">
        <v>0</v>
      </c>
      <c r="AN25" s="110">
        <v>0</v>
      </c>
      <c r="AO25" s="111">
        <f t="shared" si="0"/>
        <v>0</v>
      </c>
      <c r="AP25" s="112">
        <f t="shared" si="1"/>
        <v>0</v>
      </c>
      <c r="AQ25" s="112">
        <f t="shared" si="2"/>
        <v>0</v>
      </c>
      <c r="AR25" s="113">
        <f t="shared" si="3"/>
        <v>0</v>
      </c>
      <c r="AS25" s="114">
        <f t="shared" si="4"/>
        <v>0</v>
      </c>
      <c r="AT25" s="115">
        <f t="shared" si="5"/>
        <v>0</v>
      </c>
      <c r="AU25" s="115">
        <f t="shared" si="6"/>
        <v>0</v>
      </c>
      <c r="AV25" s="115">
        <f t="shared" si="7"/>
        <v>0</v>
      </c>
      <c r="AW25" s="115">
        <f t="shared" si="8"/>
        <v>0</v>
      </c>
      <c r="AX25" s="115">
        <f t="shared" si="9"/>
        <v>0</v>
      </c>
      <c r="AY25" s="111">
        <f t="shared" si="10"/>
        <v>0</v>
      </c>
      <c r="AZ25" s="116">
        <f t="shared" si="11"/>
        <v>0</v>
      </c>
      <c r="BA25" s="113">
        <f t="shared" si="12"/>
        <v>0</v>
      </c>
      <c r="BB25" s="114">
        <f t="shared" si="14"/>
        <v>0</v>
      </c>
      <c r="BC25" s="117">
        <f t="shared" si="15"/>
        <v>0</v>
      </c>
      <c r="BD25" s="117">
        <f t="shared" si="16"/>
        <v>0</v>
      </c>
      <c r="BE25" s="117">
        <f t="shared" si="17"/>
        <v>0</v>
      </c>
      <c r="BF25" s="117">
        <f t="shared" si="18"/>
        <v>0</v>
      </c>
      <c r="BG25" s="117">
        <f t="shared" si="19"/>
        <v>0</v>
      </c>
      <c r="BH25" s="117">
        <f t="shared" si="20"/>
        <v>0</v>
      </c>
      <c r="BI25" s="117">
        <f t="shared" si="21"/>
        <v>0</v>
      </c>
      <c r="BJ25" s="117">
        <f t="shared" si="22"/>
        <v>0</v>
      </c>
      <c r="BK25" s="117">
        <f t="shared" si="23"/>
        <v>0</v>
      </c>
      <c r="BL25" s="118">
        <f t="shared" si="13"/>
        <v>0</v>
      </c>
      <c r="BM25" s="105">
        <v>0</v>
      </c>
    </row>
    <row r="26" spans="1:65" x14ac:dyDescent="0.25">
      <c r="A26" s="106">
        <v>0</v>
      </c>
      <c r="B26" s="107">
        <v>0</v>
      </c>
      <c r="C26" s="106">
        <v>0</v>
      </c>
      <c r="D26" s="107">
        <v>0</v>
      </c>
      <c r="E26" s="106">
        <v>0</v>
      </c>
      <c r="F26" s="107">
        <v>0</v>
      </c>
      <c r="G26" s="106">
        <v>0</v>
      </c>
      <c r="H26" s="107">
        <v>0</v>
      </c>
      <c r="I26" s="106">
        <v>0</v>
      </c>
      <c r="J26" s="107">
        <v>0</v>
      </c>
      <c r="K26" s="106">
        <v>0</v>
      </c>
      <c r="L26" s="107">
        <v>0</v>
      </c>
      <c r="M26" s="106">
        <v>0</v>
      </c>
      <c r="N26" s="107">
        <v>0</v>
      </c>
      <c r="O26" s="106">
        <v>0</v>
      </c>
      <c r="P26" s="107">
        <v>0</v>
      </c>
      <c r="Q26" s="106">
        <v>0</v>
      </c>
      <c r="R26" s="107">
        <v>0</v>
      </c>
      <c r="S26" s="106">
        <v>0</v>
      </c>
      <c r="T26" s="107">
        <v>0</v>
      </c>
      <c r="U26" s="108">
        <v>0</v>
      </c>
      <c r="V26" s="107">
        <v>0</v>
      </c>
      <c r="W26" s="106">
        <v>0</v>
      </c>
      <c r="X26" s="107">
        <v>0</v>
      </c>
      <c r="Y26" s="106">
        <v>0</v>
      </c>
      <c r="Z26" s="107">
        <v>0</v>
      </c>
      <c r="AA26" s="106">
        <v>0</v>
      </c>
      <c r="AB26" s="107">
        <v>0</v>
      </c>
      <c r="AC26" s="109">
        <v>0</v>
      </c>
      <c r="AD26" s="107">
        <v>0</v>
      </c>
      <c r="AE26" s="109">
        <v>0</v>
      </c>
      <c r="AF26" s="107">
        <v>0</v>
      </c>
      <c r="AG26" s="109">
        <v>0</v>
      </c>
      <c r="AH26" s="107">
        <v>0</v>
      </c>
      <c r="AI26" s="109">
        <v>0</v>
      </c>
      <c r="AJ26" s="107">
        <v>0</v>
      </c>
      <c r="AK26" s="109">
        <v>0</v>
      </c>
      <c r="AL26" s="107">
        <v>0</v>
      </c>
      <c r="AM26" s="106">
        <v>0</v>
      </c>
      <c r="AN26" s="110">
        <v>0</v>
      </c>
      <c r="AO26" s="111">
        <f t="shared" si="0"/>
        <v>0</v>
      </c>
      <c r="AP26" s="112">
        <f t="shared" si="1"/>
        <v>0</v>
      </c>
      <c r="AQ26" s="112">
        <f t="shared" si="2"/>
        <v>0</v>
      </c>
      <c r="AR26" s="113">
        <f t="shared" si="3"/>
        <v>0</v>
      </c>
      <c r="AS26" s="114">
        <f t="shared" si="4"/>
        <v>0</v>
      </c>
      <c r="AT26" s="115">
        <f t="shared" si="5"/>
        <v>0</v>
      </c>
      <c r="AU26" s="115">
        <f t="shared" si="6"/>
        <v>0</v>
      </c>
      <c r="AV26" s="115">
        <f t="shared" si="7"/>
        <v>0</v>
      </c>
      <c r="AW26" s="115">
        <f t="shared" si="8"/>
        <v>0</v>
      </c>
      <c r="AX26" s="115">
        <f t="shared" si="9"/>
        <v>0</v>
      </c>
      <c r="AY26" s="111">
        <f t="shared" si="10"/>
        <v>0</v>
      </c>
      <c r="AZ26" s="116">
        <f t="shared" si="11"/>
        <v>0</v>
      </c>
      <c r="BA26" s="113">
        <f t="shared" si="12"/>
        <v>0</v>
      </c>
      <c r="BB26" s="114">
        <f t="shared" si="14"/>
        <v>0</v>
      </c>
      <c r="BC26" s="117">
        <f t="shared" si="15"/>
        <v>0</v>
      </c>
      <c r="BD26" s="117">
        <f t="shared" si="16"/>
        <v>0</v>
      </c>
      <c r="BE26" s="117">
        <f t="shared" si="17"/>
        <v>0</v>
      </c>
      <c r="BF26" s="117">
        <f t="shared" si="18"/>
        <v>0</v>
      </c>
      <c r="BG26" s="117">
        <f t="shared" si="19"/>
        <v>0</v>
      </c>
      <c r="BH26" s="117">
        <f t="shared" si="20"/>
        <v>0</v>
      </c>
      <c r="BI26" s="117">
        <f t="shared" si="21"/>
        <v>0</v>
      </c>
      <c r="BJ26" s="117">
        <f t="shared" si="22"/>
        <v>0</v>
      </c>
      <c r="BK26" s="117">
        <f t="shared" si="23"/>
        <v>0</v>
      </c>
      <c r="BL26" s="118">
        <f t="shared" si="13"/>
        <v>0</v>
      </c>
      <c r="BM26" s="105">
        <v>0</v>
      </c>
    </row>
    <row r="27" spans="1:65" x14ac:dyDescent="0.25">
      <c r="A27" s="106">
        <v>0</v>
      </c>
      <c r="B27" s="107">
        <v>0</v>
      </c>
      <c r="C27" s="106">
        <v>0</v>
      </c>
      <c r="D27" s="107">
        <v>0</v>
      </c>
      <c r="E27" s="106">
        <v>0</v>
      </c>
      <c r="F27" s="107">
        <v>0</v>
      </c>
      <c r="G27" s="106">
        <v>0</v>
      </c>
      <c r="H27" s="107">
        <v>0</v>
      </c>
      <c r="I27" s="106">
        <v>0</v>
      </c>
      <c r="J27" s="107">
        <v>0</v>
      </c>
      <c r="K27" s="106">
        <v>0</v>
      </c>
      <c r="L27" s="107">
        <v>0</v>
      </c>
      <c r="M27" s="106">
        <v>0</v>
      </c>
      <c r="N27" s="107">
        <v>0</v>
      </c>
      <c r="O27" s="106">
        <v>0</v>
      </c>
      <c r="P27" s="107">
        <v>0</v>
      </c>
      <c r="Q27" s="106">
        <v>0</v>
      </c>
      <c r="R27" s="107">
        <v>0</v>
      </c>
      <c r="S27" s="106">
        <v>0</v>
      </c>
      <c r="T27" s="107">
        <v>0</v>
      </c>
      <c r="U27" s="108">
        <v>0</v>
      </c>
      <c r="V27" s="107">
        <v>0</v>
      </c>
      <c r="W27" s="106">
        <v>0</v>
      </c>
      <c r="X27" s="107">
        <v>0</v>
      </c>
      <c r="Y27" s="106">
        <v>0</v>
      </c>
      <c r="Z27" s="107">
        <v>0</v>
      </c>
      <c r="AA27" s="106">
        <v>0</v>
      </c>
      <c r="AB27" s="107">
        <v>0</v>
      </c>
      <c r="AC27" s="109">
        <v>0</v>
      </c>
      <c r="AD27" s="107">
        <v>0</v>
      </c>
      <c r="AE27" s="109">
        <v>0</v>
      </c>
      <c r="AF27" s="107">
        <v>0</v>
      </c>
      <c r="AG27" s="109">
        <v>0</v>
      </c>
      <c r="AH27" s="107">
        <v>0</v>
      </c>
      <c r="AI27" s="109">
        <v>0</v>
      </c>
      <c r="AJ27" s="107">
        <v>0</v>
      </c>
      <c r="AK27" s="109">
        <v>0</v>
      </c>
      <c r="AL27" s="107">
        <v>0</v>
      </c>
      <c r="AM27" s="106">
        <v>0</v>
      </c>
      <c r="AN27" s="110">
        <v>0</v>
      </c>
      <c r="AO27" s="111">
        <f t="shared" si="0"/>
        <v>0</v>
      </c>
      <c r="AP27" s="112">
        <f t="shared" si="1"/>
        <v>0</v>
      </c>
      <c r="AQ27" s="112">
        <f t="shared" si="2"/>
        <v>0</v>
      </c>
      <c r="AR27" s="113">
        <f t="shared" si="3"/>
        <v>0</v>
      </c>
      <c r="AS27" s="114">
        <f t="shared" si="4"/>
        <v>0</v>
      </c>
      <c r="AT27" s="115">
        <f t="shared" si="5"/>
        <v>0</v>
      </c>
      <c r="AU27" s="115">
        <f t="shared" si="6"/>
        <v>0</v>
      </c>
      <c r="AV27" s="115">
        <f t="shared" si="7"/>
        <v>0</v>
      </c>
      <c r="AW27" s="115">
        <f t="shared" si="8"/>
        <v>0</v>
      </c>
      <c r="AX27" s="115">
        <f t="shared" si="9"/>
        <v>0</v>
      </c>
      <c r="AY27" s="111">
        <f t="shared" si="10"/>
        <v>0</v>
      </c>
      <c r="AZ27" s="116">
        <f t="shared" si="11"/>
        <v>0</v>
      </c>
      <c r="BA27" s="113">
        <f t="shared" si="12"/>
        <v>0</v>
      </c>
      <c r="BB27" s="114">
        <f t="shared" si="14"/>
        <v>0</v>
      </c>
      <c r="BC27" s="117">
        <f t="shared" si="15"/>
        <v>0</v>
      </c>
      <c r="BD27" s="117">
        <f t="shared" si="16"/>
        <v>0</v>
      </c>
      <c r="BE27" s="117">
        <f t="shared" si="17"/>
        <v>0</v>
      </c>
      <c r="BF27" s="117">
        <f t="shared" si="18"/>
        <v>0</v>
      </c>
      <c r="BG27" s="117">
        <f t="shared" si="19"/>
        <v>0</v>
      </c>
      <c r="BH27" s="117">
        <f t="shared" si="20"/>
        <v>0</v>
      </c>
      <c r="BI27" s="117">
        <f t="shared" si="21"/>
        <v>0</v>
      </c>
      <c r="BJ27" s="117">
        <f t="shared" si="22"/>
        <v>0</v>
      </c>
      <c r="BK27" s="117">
        <f t="shared" si="23"/>
        <v>0</v>
      </c>
      <c r="BL27" s="118">
        <f t="shared" si="13"/>
        <v>0</v>
      </c>
      <c r="BM27" s="105">
        <v>0</v>
      </c>
    </row>
    <row r="28" spans="1:65" x14ac:dyDescent="0.25">
      <c r="A28" s="106">
        <v>0</v>
      </c>
      <c r="B28" s="107">
        <v>0</v>
      </c>
      <c r="C28" s="106">
        <v>0</v>
      </c>
      <c r="D28" s="107">
        <v>0</v>
      </c>
      <c r="E28" s="106">
        <v>0</v>
      </c>
      <c r="F28" s="107">
        <v>0</v>
      </c>
      <c r="G28" s="106">
        <v>0</v>
      </c>
      <c r="H28" s="107">
        <v>0</v>
      </c>
      <c r="I28" s="106">
        <v>0</v>
      </c>
      <c r="J28" s="107">
        <v>0</v>
      </c>
      <c r="K28" s="106">
        <v>0</v>
      </c>
      <c r="L28" s="107">
        <v>0</v>
      </c>
      <c r="M28" s="106">
        <v>0</v>
      </c>
      <c r="N28" s="107">
        <v>0</v>
      </c>
      <c r="O28" s="106">
        <v>0</v>
      </c>
      <c r="P28" s="107">
        <v>0</v>
      </c>
      <c r="Q28" s="106">
        <v>0</v>
      </c>
      <c r="R28" s="107">
        <v>0</v>
      </c>
      <c r="S28" s="106">
        <v>0</v>
      </c>
      <c r="T28" s="107">
        <v>0</v>
      </c>
      <c r="U28" s="108">
        <v>0</v>
      </c>
      <c r="V28" s="107">
        <v>0</v>
      </c>
      <c r="W28" s="106">
        <v>0</v>
      </c>
      <c r="X28" s="107">
        <v>0</v>
      </c>
      <c r="Y28" s="106">
        <v>0</v>
      </c>
      <c r="Z28" s="107">
        <v>0</v>
      </c>
      <c r="AA28" s="106">
        <v>0</v>
      </c>
      <c r="AB28" s="107">
        <v>0</v>
      </c>
      <c r="AC28" s="109">
        <v>0</v>
      </c>
      <c r="AD28" s="107">
        <v>0</v>
      </c>
      <c r="AE28" s="109">
        <v>0</v>
      </c>
      <c r="AF28" s="107">
        <v>0</v>
      </c>
      <c r="AG28" s="109">
        <v>0</v>
      </c>
      <c r="AH28" s="107">
        <v>0</v>
      </c>
      <c r="AI28" s="109">
        <v>0</v>
      </c>
      <c r="AJ28" s="107">
        <v>0</v>
      </c>
      <c r="AK28" s="109">
        <v>0</v>
      </c>
      <c r="AL28" s="107">
        <v>0</v>
      </c>
      <c r="AM28" s="106">
        <v>0</v>
      </c>
      <c r="AN28" s="110">
        <v>0</v>
      </c>
      <c r="AO28" s="111">
        <f t="shared" si="0"/>
        <v>0</v>
      </c>
      <c r="AP28" s="112">
        <f t="shared" si="1"/>
        <v>0</v>
      </c>
      <c r="AQ28" s="112">
        <f t="shared" si="2"/>
        <v>0</v>
      </c>
      <c r="AR28" s="113">
        <f t="shared" si="3"/>
        <v>0</v>
      </c>
      <c r="AS28" s="114">
        <f t="shared" si="4"/>
        <v>0</v>
      </c>
      <c r="AT28" s="115">
        <f t="shared" si="5"/>
        <v>0</v>
      </c>
      <c r="AU28" s="115">
        <f t="shared" si="6"/>
        <v>0</v>
      </c>
      <c r="AV28" s="115">
        <f t="shared" si="7"/>
        <v>0</v>
      </c>
      <c r="AW28" s="115">
        <f t="shared" si="8"/>
        <v>0</v>
      </c>
      <c r="AX28" s="115">
        <f t="shared" si="9"/>
        <v>0</v>
      </c>
      <c r="AY28" s="111">
        <f t="shared" si="10"/>
        <v>0</v>
      </c>
      <c r="AZ28" s="116">
        <f t="shared" si="11"/>
        <v>0</v>
      </c>
      <c r="BA28" s="113">
        <f t="shared" si="12"/>
        <v>0</v>
      </c>
      <c r="BB28" s="114">
        <f t="shared" si="14"/>
        <v>0</v>
      </c>
      <c r="BC28" s="117">
        <f t="shared" si="15"/>
        <v>0</v>
      </c>
      <c r="BD28" s="117">
        <f t="shared" si="16"/>
        <v>0</v>
      </c>
      <c r="BE28" s="117">
        <f t="shared" si="17"/>
        <v>0</v>
      </c>
      <c r="BF28" s="117">
        <f t="shared" si="18"/>
        <v>0</v>
      </c>
      <c r="BG28" s="117">
        <f t="shared" si="19"/>
        <v>0</v>
      </c>
      <c r="BH28" s="117">
        <f t="shared" si="20"/>
        <v>0</v>
      </c>
      <c r="BI28" s="117">
        <f t="shared" si="21"/>
        <v>0</v>
      </c>
      <c r="BJ28" s="117">
        <f t="shared" si="22"/>
        <v>0</v>
      </c>
      <c r="BK28" s="117">
        <f t="shared" si="23"/>
        <v>0</v>
      </c>
      <c r="BL28" s="118">
        <f t="shared" si="13"/>
        <v>0</v>
      </c>
      <c r="BM28" s="105">
        <v>0</v>
      </c>
    </row>
    <row r="29" spans="1:65" x14ac:dyDescent="0.25">
      <c r="A29" s="106">
        <v>0</v>
      </c>
      <c r="B29" s="107">
        <v>0</v>
      </c>
      <c r="C29" s="106">
        <v>0</v>
      </c>
      <c r="D29" s="107">
        <v>0</v>
      </c>
      <c r="E29" s="106">
        <v>0</v>
      </c>
      <c r="F29" s="107">
        <v>0</v>
      </c>
      <c r="G29" s="106">
        <v>0</v>
      </c>
      <c r="H29" s="107">
        <v>0</v>
      </c>
      <c r="I29" s="106">
        <v>0</v>
      </c>
      <c r="J29" s="107">
        <v>0</v>
      </c>
      <c r="K29" s="106">
        <v>0</v>
      </c>
      <c r="L29" s="107">
        <v>0</v>
      </c>
      <c r="M29" s="106">
        <v>0</v>
      </c>
      <c r="N29" s="107">
        <v>0</v>
      </c>
      <c r="O29" s="106">
        <v>0</v>
      </c>
      <c r="P29" s="107">
        <v>0</v>
      </c>
      <c r="Q29" s="106">
        <v>0</v>
      </c>
      <c r="R29" s="107">
        <v>0</v>
      </c>
      <c r="S29" s="106">
        <v>0</v>
      </c>
      <c r="T29" s="107">
        <v>0</v>
      </c>
      <c r="U29" s="108">
        <v>0</v>
      </c>
      <c r="V29" s="107">
        <v>0</v>
      </c>
      <c r="W29" s="106">
        <v>0</v>
      </c>
      <c r="X29" s="107">
        <v>0</v>
      </c>
      <c r="Y29" s="106">
        <v>0</v>
      </c>
      <c r="Z29" s="107">
        <v>0</v>
      </c>
      <c r="AA29" s="106">
        <v>0</v>
      </c>
      <c r="AB29" s="107">
        <v>0</v>
      </c>
      <c r="AC29" s="109">
        <v>0</v>
      </c>
      <c r="AD29" s="107">
        <v>0</v>
      </c>
      <c r="AE29" s="109">
        <v>0</v>
      </c>
      <c r="AF29" s="107">
        <v>0</v>
      </c>
      <c r="AG29" s="109">
        <v>0</v>
      </c>
      <c r="AH29" s="107">
        <v>0</v>
      </c>
      <c r="AI29" s="109">
        <v>0</v>
      </c>
      <c r="AJ29" s="107">
        <v>0</v>
      </c>
      <c r="AK29" s="109">
        <v>0</v>
      </c>
      <c r="AL29" s="107">
        <v>0</v>
      </c>
      <c r="AM29" s="106">
        <v>0</v>
      </c>
      <c r="AN29" s="110">
        <v>0</v>
      </c>
      <c r="AO29" s="111">
        <f t="shared" si="0"/>
        <v>0</v>
      </c>
      <c r="AP29" s="112">
        <f t="shared" si="1"/>
        <v>0</v>
      </c>
      <c r="AQ29" s="112">
        <f t="shared" si="2"/>
        <v>0</v>
      </c>
      <c r="AR29" s="113">
        <f t="shared" si="3"/>
        <v>0</v>
      </c>
      <c r="AS29" s="114">
        <f t="shared" si="4"/>
        <v>0</v>
      </c>
      <c r="AT29" s="115">
        <f t="shared" si="5"/>
        <v>0</v>
      </c>
      <c r="AU29" s="115">
        <f t="shared" si="6"/>
        <v>0</v>
      </c>
      <c r="AV29" s="115">
        <f t="shared" si="7"/>
        <v>0</v>
      </c>
      <c r="AW29" s="115">
        <f t="shared" si="8"/>
        <v>0</v>
      </c>
      <c r="AX29" s="115">
        <f t="shared" si="9"/>
        <v>0</v>
      </c>
      <c r="AY29" s="111">
        <f t="shared" si="10"/>
        <v>0</v>
      </c>
      <c r="AZ29" s="116">
        <f t="shared" si="11"/>
        <v>0</v>
      </c>
      <c r="BA29" s="113">
        <f t="shared" si="12"/>
        <v>0</v>
      </c>
      <c r="BB29" s="114">
        <f t="shared" si="14"/>
        <v>0</v>
      </c>
      <c r="BC29" s="117">
        <f t="shared" si="15"/>
        <v>0</v>
      </c>
      <c r="BD29" s="117">
        <f t="shared" si="16"/>
        <v>0</v>
      </c>
      <c r="BE29" s="117">
        <f t="shared" si="17"/>
        <v>0</v>
      </c>
      <c r="BF29" s="117">
        <f t="shared" si="18"/>
        <v>0</v>
      </c>
      <c r="BG29" s="117">
        <f t="shared" si="19"/>
        <v>0</v>
      </c>
      <c r="BH29" s="117">
        <f t="shared" si="20"/>
        <v>0</v>
      </c>
      <c r="BI29" s="117">
        <f t="shared" si="21"/>
        <v>0</v>
      </c>
      <c r="BJ29" s="117">
        <f t="shared" si="22"/>
        <v>0</v>
      </c>
      <c r="BK29" s="117">
        <f t="shared" si="23"/>
        <v>0</v>
      </c>
      <c r="BL29" s="118">
        <f t="shared" si="13"/>
        <v>0</v>
      </c>
      <c r="BM29" s="105">
        <v>0</v>
      </c>
    </row>
    <row r="30" spans="1:65" x14ac:dyDescent="0.25">
      <c r="A30" s="106">
        <v>0</v>
      </c>
      <c r="B30" s="107">
        <v>0</v>
      </c>
      <c r="C30" s="106">
        <v>0</v>
      </c>
      <c r="D30" s="107">
        <v>0</v>
      </c>
      <c r="E30" s="106">
        <v>0</v>
      </c>
      <c r="F30" s="107">
        <v>0</v>
      </c>
      <c r="G30" s="106">
        <v>0</v>
      </c>
      <c r="H30" s="107">
        <v>0</v>
      </c>
      <c r="I30" s="106">
        <v>0</v>
      </c>
      <c r="J30" s="107">
        <v>0</v>
      </c>
      <c r="K30" s="106">
        <v>0</v>
      </c>
      <c r="L30" s="107">
        <v>0</v>
      </c>
      <c r="M30" s="106">
        <v>0</v>
      </c>
      <c r="N30" s="107">
        <v>0</v>
      </c>
      <c r="O30" s="106">
        <v>0</v>
      </c>
      <c r="P30" s="107">
        <v>0</v>
      </c>
      <c r="Q30" s="106">
        <v>0</v>
      </c>
      <c r="R30" s="107">
        <v>0</v>
      </c>
      <c r="S30" s="106">
        <v>0</v>
      </c>
      <c r="T30" s="107">
        <v>0</v>
      </c>
      <c r="U30" s="108">
        <v>0</v>
      </c>
      <c r="V30" s="107">
        <v>0</v>
      </c>
      <c r="W30" s="106">
        <v>0</v>
      </c>
      <c r="X30" s="107">
        <v>0</v>
      </c>
      <c r="Y30" s="106">
        <v>0</v>
      </c>
      <c r="Z30" s="107">
        <v>0</v>
      </c>
      <c r="AA30" s="106">
        <v>0</v>
      </c>
      <c r="AB30" s="107">
        <v>0</v>
      </c>
      <c r="AC30" s="109">
        <v>0</v>
      </c>
      <c r="AD30" s="107">
        <v>0</v>
      </c>
      <c r="AE30" s="109">
        <v>0</v>
      </c>
      <c r="AF30" s="107">
        <v>0</v>
      </c>
      <c r="AG30" s="109">
        <v>0</v>
      </c>
      <c r="AH30" s="107">
        <v>0</v>
      </c>
      <c r="AI30" s="109">
        <v>0</v>
      </c>
      <c r="AJ30" s="107">
        <v>0</v>
      </c>
      <c r="AK30" s="109">
        <v>0</v>
      </c>
      <c r="AL30" s="107">
        <v>0</v>
      </c>
      <c r="AM30" s="106">
        <v>0</v>
      </c>
      <c r="AN30" s="110">
        <v>0</v>
      </c>
      <c r="AO30" s="111">
        <f t="shared" si="0"/>
        <v>0</v>
      </c>
      <c r="AP30" s="112">
        <f t="shared" si="1"/>
        <v>0</v>
      </c>
      <c r="AQ30" s="112">
        <f t="shared" si="2"/>
        <v>0</v>
      </c>
      <c r="AR30" s="113">
        <f t="shared" si="3"/>
        <v>0</v>
      </c>
      <c r="AS30" s="114">
        <f t="shared" si="4"/>
        <v>0</v>
      </c>
      <c r="AT30" s="115">
        <f t="shared" si="5"/>
        <v>0</v>
      </c>
      <c r="AU30" s="115">
        <f t="shared" si="6"/>
        <v>0</v>
      </c>
      <c r="AV30" s="115">
        <f t="shared" si="7"/>
        <v>0</v>
      </c>
      <c r="AW30" s="115">
        <f t="shared" si="8"/>
        <v>0</v>
      </c>
      <c r="AX30" s="115">
        <f t="shared" si="9"/>
        <v>0</v>
      </c>
      <c r="AY30" s="111">
        <f t="shared" si="10"/>
        <v>0</v>
      </c>
      <c r="AZ30" s="116">
        <f t="shared" si="11"/>
        <v>0</v>
      </c>
      <c r="BA30" s="113">
        <f t="shared" si="12"/>
        <v>0</v>
      </c>
      <c r="BB30" s="114">
        <f t="shared" si="14"/>
        <v>0</v>
      </c>
      <c r="BC30" s="117">
        <f t="shared" si="15"/>
        <v>0</v>
      </c>
      <c r="BD30" s="117">
        <f t="shared" si="16"/>
        <v>0</v>
      </c>
      <c r="BE30" s="117">
        <f t="shared" si="17"/>
        <v>0</v>
      </c>
      <c r="BF30" s="117">
        <f t="shared" si="18"/>
        <v>0</v>
      </c>
      <c r="BG30" s="117">
        <f t="shared" si="19"/>
        <v>0</v>
      </c>
      <c r="BH30" s="117">
        <f t="shared" si="20"/>
        <v>0</v>
      </c>
      <c r="BI30" s="117">
        <f t="shared" si="21"/>
        <v>0</v>
      </c>
      <c r="BJ30" s="117">
        <f t="shared" si="22"/>
        <v>0</v>
      </c>
      <c r="BK30" s="117">
        <f t="shared" si="23"/>
        <v>0</v>
      </c>
      <c r="BL30" s="118">
        <f t="shared" si="13"/>
        <v>0</v>
      </c>
      <c r="BM30" s="105">
        <v>0</v>
      </c>
    </row>
    <row r="31" spans="1:65" x14ac:dyDescent="0.25">
      <c r="A31" s="106">
        <v>0</v>
      </c>
      <c r="B31" s="107">
        <v>0</v>
      </c>
      <c r="C31" s="106">
        <v>0</v>
      </c>
      <c r="D31" s="107">
        <v>0</v>
      </c>
      <c r="E31" s="106">
        <v>0</v>
      </c>
      <c r="F31" s="107">
        <v>0</v>
      </c>
      <c r="G31" s="106">
        <v>0</v>
      </c>
      <c r="H31" s="107">
        <v>0</v>
      </c>
      <c r="I31" s="106">
        <v>0</v>
      </c>
      <c r="J31" s="107">
        <v>0</v>
      </c>
      <c r="K31" s="106">
        <v>0</v>
      </c>
      <c r="L31" s="107">
        <v>0</v>
      </c>
      <c r="M31" s="106">
        <v>0</v>
      </c>
      <c r="N31" s="107">
        <v>0</v>
      </c>
      <c r="O31" s="106">
        <v>0</v>
      </c>
      <c r="P31" s="107">
        <v>0</v>
      </c>
      <c r="Q31" s="106">
        <v>0</v>
      </c>
      <c r="R31" s="107">
        <v>0</v>
      </c>
      <c r="S31" s="106">
        <v>0</v>
      </c>
      <c r="T31" s="107">
        <v>0</v>
      </c>
      <c r="U31" s="108">
        <v>0</v>
      </c>
      <c r="V31" s="107">
        <v>0</v>
      </c>
      <c r="W31" s="106">
        <v>0</v>
      </c>
      <c r="X31" s="107">
        <v>0</v>
      </c>
      <c r="Y31" s="106">
        <v>0</v>
      </c>
      <c r="Z31" s="107">
        <v>0</v>
      </c>
      <c r="AA31" s="106">
        <v>0</v>
      </c>
      <c r="AB31" s="107">
        <v>0</v>
      </c>
      <c r="AC31" s="109">
        <v>0</v>
      </c>
      <c r="AD31" s="107">
        <v>0</v>
      </c>
      <c r="AE31" s="109">
        <v>0</v>
      </c>
      <c r="AF31" s="107">
        <v>0</v>
      </c>
      <c r="AG31" s="109">
        <v>0</v>
      </c>
      <c r="AH31" s="107">
        <v>0</v>
      </c>
      <c r="AI31" s="109">
        <v>0</v>
      </c>
      <c r="AJ31" s="107">
        <v>0</v>
      </c>
      <c r="AK31" s="109">
        <v>0</v>
      </c>
      <c r="AL31" s="107">
        <v>0</v>
      </c>
      <c r="AM31" s="106">
        <v>0</v>
      </c>
      <c r="AN31" s="110">
        <v>0</v>
      </c>
      <c r="AO31" s="111">
        <f t="shared" si="0"/>
        <v>0</v>
      </c>
      <c r="AP31" s="112">
        <f t="shared" si="1"/>
        <v>0</v>
      </c>
      <c r="AQ31" s="112">
        <f t="shared" si="2"/>
        <v>0</v>
      </c>
      <c r="AR31" s="113">
        <f t="shared" si="3"/>
        <v>0</v>
      </c>
      <c r="AS31" s="114">
        <f t="shared" si="4"/>
        <v>0</v>
      </c>
      <c r="AT31" s="115">
        <f t="shared" si="5"/>
        <v>0</v>
      </c>
      <c r="AU31" s="115">
        <f t="shared" si="6"/>
        <v>0</v>
      </c>
      <c r="AV31" s="115">
        <f t="shared" si="7"/>
        <v>0</v>
      </c>
      <c r="AW31" s="115">
        <f t="shared" si="8"/>
        <v>0</v>
      </c>
      <c r="AX31" s="115">
        <f t="shared" si="9"/>
        <v>0</v>
      </c>
      <c r="AY31" s="111">
        <f t="shared" si="10"/>
        <v>0</v>
      </c>
      <c r="AZ31" s="116">
        <f t="shared" si="11"/>
        <v>0</v>
      </c>
      <c r="BA31" s="113">
        <f t="shared" si="12"/>
        <v>0</v>
      </c>
      <c r="BB31" s="114">
        <f>ROUNDUP((V31 - U31) * 288, 0) / 288</f>
        <v>0</v>
      </c>
      <c r="BC31" s="117">
        <f t="shared" si="15"/>
        <v>0</v>
      </c>
      <c r="BD31" s="117">
        <f t="shared" si="16"/>
        <v>0</v>
      </c>
      <c r="BE31" s="117">
        <f t="shared" si="17"/>
        <v>0</v>
      </c>
      <c r="BF31" s="117">
        <f t="shared" si="18"/>
        <v>0</v>
      </c>
      <c r="BG31" s="117">
        <f t="shared" si="19"/>
        <v>0</v>
      </c>
      <c r="BH31" s="117">
        <f t="shared" si="20"/>
        <v>0</v>
      </c>
      <c r="BI31" s="117">
        <f t="shared" si="21"/>
        <v>0</v>
      </c>
      <c r="BJ31" s="117">
        <f t="shared" si="22"/>
        <v>0</v>
      </c>
      <c r="BK31" s="117">
        <f t="shared" si="23"/>
        <v>0</v>
      </c>
      <c r="BL31" s="118">
        <f t="shared" si="13"/>
        <v>0</v>
      </c>
      <c r="BM31" s="105">
        <v>0</v>
      </c>
    </row>
    <row r="32" spans="1:65" x14ac:dyDescent="0.25">
      <c r="A32" s="106">
        <v>0</v>
      </c>
      <c r="B32" s="107">
        <v>0</v>
      </c>
      <c r="C32" s="106">
        <v>0</v>
      </c>
      <c r="D32" s="107">
        <v>0</v>
      </c>
      <c r="E32" s="106">
        <v>0</v>
      </c>
      <c r="F32" s="107">
        <v>0</v>
      </c>
      <c r="G32" s="106">
        <v>0</v>
      </c>
      <c r="H32" s="107">
        <v>0</v>
      </c>
      <c r="I32" s="106">
        <v>0</v>
      </c>
      <c r="J32" s="107">
        <v>0</v>
      </c>
      <c r="K32" s="106">
        <v>0</v>
      </c>
      <c r="L32" s="107">
        <v>0</v>
      </c>
      <c r="M32" s="106">
        <v>0</v>
      </c>
      <c r="N32" s="107">
        <v>0</v>
      </c>
      <c r="O32" s="106">
        <v>0</v>
      </c>
      <c r="P32" s="107">
        <v>0</v>
      </c>
      <c r="Q32" s="106">
        <v>0</v>
      </c>
      <c r="R32" s="107">
        <v>0</v>
      </c>
      <c r="S32" s="106">
        <v>0</v>
      </c>
      <c r="T32" s="107">
        <v>0</v>
      </c>
      <c r="U32" s="108">
        <v>0</v>
      </c>
      <c r="V32" s="107">
        <v>0</v>
      </c>
      <c r="W32" s="106">
        <v>0</v>
      </c>
      <c r="X32" s="107">
        <v>0</v>
      </c>
      <c r="Y32" s="106">
        <v>0</v>
      </c>
      <c r="Z32" s="107">
        <v>0</v>
      </c>
      <c r="AA32" s="106">
        <v>0</v>
      </c>
      <c r="AB32" s="107">
        <v>0</v>
      </c>
      <c r="AC32" s="109">
        <v>0</v>
      </c>
      <c r="AD32" s="107">
        <v>0</v>
      </c>
      <c r="AE32" s="109">
        <v>0</v>
      </c>
      <c r="AF32" s="107">
        <v>0</v>
      </c>
      <c r="AG32" s="109">
        <v>0</v>
      </c>
      <c r="AH32" s="107">
        <v>0</v>
      </c>
      <c r="AI32" s="109">
        <v>0</v>
      </c>
      <c r="AJ32" s="107">
        <v>0</v>
      </c>
      <c r="AK32" s="109">
        <v>0</v>
      </c>
      <c r="AL32" s="107">
        <v>0</v>
      </c>
      <c r="AM32" s="106">
        <v>0</v>
      </c>
      <c r="AN32" s="110">
        <v>0</v>
      </c>
      <c r="AO32" s="111">
        <f t="shared" si="0"/>
        <v>0</v>
      </c>
      <c r="AP32" s="112">
        <f t="shared" si="1"/>
        <v>0</v>
      </c>
      <c r="AQ32" s="112">
        <f t="shared" si="2"/>
        <v>0</v>
      </c>
      <c r="AR32" s="113">
        <f t="shared" si="3"/>
        <v>0</v>
      </c>
      <c r="AS32" s="114">
        <f t="shared" si="4"/>
        <v>0</v>
      </c>
      <c r="AT32" s="115">
        <f t="shared" si="5"/>
        <v>0</v>
      </c>
      <c r="AU32" s="115">
        <f t="shared" si="6"/>
        <v>0</v>
      </c>
      <c r="AV32" s="115">
        <f t="shared" si="7"/>
        <v>0</v>
      </c>
      <c r="AW32" s="115">
        <f t="shared" si="8"/>
        <v>0</v>
      </c>
      <c r="AX32" s="115">
        <f t="shared" si="9"/>
        <v>0</v>
      </c>
      <c r="AY32" s="111">
        <f t="shared" si="10"/>
        <v>0</v>
      </c>
      <c r="AZ32" s="116">
        <f t="shared" si="11"/>
        <v>0</v>
      </c>
      <c r="BA32" s="113">
        <f t="shared" si="12"/>
        <v>0</v>
      </c>
      <c r="BB32" s="114">
        <f t="shared" si="14"/>
        <v>0</v>
      </c>
      <c r="BC32" s="117">
        <f t="shared" si="15"/>
        <v>0</v>
      </c>
      <c r="BD32" s="117">
        <f t="shared" si="16"/>
        <v>0</v>
      </c>
      <c r="BE32" s="117">
        <f t="shared" si="17"/>
        <v>0</v>
      </c>
      <c r="BF32" s="117">
        <f t="shared" si="18"/>
        <v>0</v>
      </c>
      <c r="BG32" s="117">
        <f t="shared" si="19"/>
        <v>0</v>
      </c>
      <c r="BH32" s="117">
        <f t="shared" si="20"/>
        <v>0</v>
      </c>
      <c r="BI32" s="117">
        <f t="shared" si="21"/>
        <v>0</v>
      </c>
      <c r="BJ32" s="117">
        <f t="shared" si="22"/>
        <v>0</v>
      </c>
      <c r="BK32" s="117">
        <f t="shared" si="23"/>
        <v>0</v>
      </c>
      <c r="BL32" s="118">
        <f t="shared" si="13"/>
        <v>0</v>
      </c>
      <c r="BM32" s="105">
        <v>0</v>
      </c>
    </row>
    <row r="33" spans="1:65" x14ac:dyDescent="0.25">
      <c r="A33" s="106">
        <v>0</v>
      </c>
      <c r="B33" s="107">
        <v>0</v>
      </c>
      <c r="C33" s="106">
        <v>0</v>
      </c>
      <c r="D33" s="107">
        <v>0</v>
      </c>
      <c r="E33" s="106">
        <v>0</v>
      </c>
      <c r="F33" s="107">
        <v>0</v>
      </c>
      <c r="G33" s="106">
        <v>0</v>
      </c>
      <c r="H33" s="107">
        <v>0</v>
      </c>
      <c r="I33" s="106">
        <v>0</v>
      </c>
      <c r="J33" s="107">
        <v>0</v>
      </c>
      <c r="K33" s="106">
        <v>0</v>
      </c>
      <c r="L33" s="107">
        <v>0</v>
      </c>
      <c r="M33" s="106">
        <v>0</v>
      </c>
      <c r="N33" s="107">
        <v>0</v>
      </c>
      <c r="O33" s="106">
        <v>0</v>
      </c>
      <c r="P33" s="107">
        <v>0</v>
      </c>
      <c r="Q33" s="106">
        <v>0</v>
      </c>
      <c r="R33" s="107">
        <v>0</v>
      </c>
      <c r="S33" s="106">
        <v>0</v>
      </c>
      <c r="T33" s="107">
        <v>0</v>
      </c>
      <c r="U33" s="108">
        <v>0</v>
      </c>
      <c r="V33" s="107">
        <v>0</v>
      </c>
      <c r="W33" s="106">
        <v>0</v>
      </c>
      <c r="X33" s="107">
        <v>0</v>
      </c>
      <c r="Y33" s="106">
        <v>0</v>
      </c>
      <c r="Z33" s="107">
        <v>0</v>
      </c>
      <c r="AA33" s="106">
        <v>0</v>
      </c>
      <c r="AB33" s="107">
        <v>0</v>
      </c>
      <c r="AC33" s="109">
        <v>0</v>
      </c>
      <c r="AD33" s="107">
        <v>0</v>
      </c>
      <c r="AE33" s="109">
        <v>0</v>
      </c>
      <c r="AF33" s="107">
        <v>0</v>
      </c>
      <c r="AG33" s="109">
        <v>0</v>
      </c>
      <c r="AH33" s="107">
        <v>0</v>
      </c>
      <c r="AI33" s="109">
        <v>0</v>
      </c>
      <c r="AJ33" s="107">
        <v>0</v>
      </c>
      <c r="AK33" s="109">
        <v>0</v>
      </c>
      <c r="AL33" s="107">
        <v>0</v>
      </c>
      <c r="AM33" s="106">
        <v>0</v>
      </c>
      <c r="AN33" s="110">
        <v>0</v>
      </c>
      <c r="AO33" s="111">
        <f t="shared" si="0"/>
        <v>0</v>
      </c>
      <c r="AP33" s="112">
        <f t="shared" si="1"/>
        <v>0</v>
      </c>
      <c r="AQ33" s="112">
        <f t="shared" si="2"/>
        <v>0</v>
      </c>
      <c r="AR33" s="113">
        <f t="shared" si="3"/>
        <v>0</v>
      </c>
      <c r="AS33" s="114">
        <f t="shared" si="4"/>
        <v>0</v>
      </c>
      <c r="AT33" s="115">
        <f t="shared" si="5"/>
        <v>0</v>
      </c>
      <c r="AU33" s="115">
        <f t="shared" si="6"/>
        <v>0</v>
      </c>
      <c r="AV33" s="115">
        <f t="shared" si="7"/>
        <v>0</v>
      </c>
      <c r="AW33" s="115">
        <f t="shared" si="8"/>
        <v>0</v>
      </c>
      <c r="AX33" s="115">
        <f t="shared" si="9"/>
        <v>0</v>
      </c>
      <c r="AY33" s="111">
        <f t="shared" si="10"/>
        <v>0</v>
      </c>
      <c r="AZ33" s="116">
        <f t="shared" si="11"/>
        <v>0</v>
      </c>
      <c r="BA33" s="113">
        <f t="shared" si="12"/>
        <v>0</v>
      </c>
      <c r="BB33" s="114">
        <f t="shared" si="14"/>
        <v>0</v>
      </c>
      <c r="BC33" s="117">
        <f t="shared" si="15"/>
        <v>0</v>
      </c>
      <c r="BD33" s="117">
        <f t="shared" si="16"/>
        <v>0</v>
      </c>
      <c r="BE33" s="117">
        <f t="shared" si="17"/>
        <v>0</v>
      </c>
      <c r="BF33" s="117">
        <f t="shared" si="18"/>
        <v>0</v>
      </c>
      <c r="BG33" s="117">
        <f t="shared" si="19"/>
        <v>0</v>
      </c>
      <c r="BH33" s="117">
        <f t="shared" si="20"/>
        <v>0</v>
      </c>
      <c r="BI33" s="117">
        <f t="shared" si="21"/>
        <v>0</v>
      </c>
      <c r="BJ33" s="117">
        <f t="shared" si="22"/>
        <v>0</v>
      </c>
      <c r="BK33" s="117">
        <f t="shared" si="23"/>
        <v>0</v>
      </c>
      <c r="BL33" s="118">
        <f t="shared" si="13"/>
        <v>0</v>
      </c>
      <c r="BM33" s="105">
        <v>0</v>
      </c>
    </row>
    <row r="34" spans="1:65" x14ac:dyDescent="0.25">
      <c r="A34" s="106">
        <v>0</v>
      </c>
      <c r="B34" s="107">
        <v>0</v>
      </c>
      <c r="C34" s="106">
        <v>0</v>
      </c>
      <c r="D34" s="107">
        <v>0</v>
      </c>
      <c r="E34" s="106">
        <v>0</v>
      </c>
      <c r="F34" s="107">
        <v>0</v>
      </c>
      <c r="G34" s="106">
        <v>0</v>
      </c>
      <c r="H34" s="107">
        <v>0</v>
      </c>
      <c r="I34" s="106">
        <v>0</v>
      </c>
      <c r="J34" s="107">
        <v>0</v>
      </c>
      <c r="K34" s="106">
        <v>0</v>
      </c>
      <c r="L34" s="107">
        <v>0</v>
      </c>
      <c r="M34" s="106">
        <v>0</v>
      </c>
      <c r="N34" s="107">
        <v>0</v>
      </c>
      <c r="O34" s="106">
        <v>0</v>
      </c>
      <c r="P34" s="107">
        <v>0</v>
      </c>
      <c r="Q34" s="106">
        <v>0</v>
      </c>
      <c r="R34" s="107">
        <v>0</v>
      </c>
      <c r="S34" s="106">
        <v>0</v>
      </c>
      <c r="T34" s="107">
        <v>0</v>
      </c>
      <c r="U34" s="108">
        <v>0</v>
      </c>
      <c r="V34" s="107">
        <v>0</v>
      </c>
      <c r="W34" s="106">
        <v>0</v>
      </c>
      <c r="X34" s="107">
        <v>0</v>
      </c>
      <c r="Y34" s="106">
        <v>0</v>
      </c>
      <c r="Z34" s="107">
        <v>0</v>
      </c>
      <c r="AA34" s="106">
        <v>0</v>
      </c>
      <c r="AB34" s="107">
        <v>0</v>
      </c>
      <c r="AC34" s="109">
        <v>0</v>
      </c>
      <c r="AD34" s="107">
        <v>0</v>
      </c>
      <c r="AE34" s="109">
        <v>0</v>
      </c>
      <c r="AF34" s="107">
        <v>0</v>
      </c>
      <c r="AG34" s="109">
        <v>0</v>
      </c>
      <c r="AH34" s="107">
        <v>0</v>
      </c>
      <c r="AI34" s="109">
        <v>0</v>
      </c>
      <c r="AJ34" s="107">
        <v>0</v>
      </c>
      <c r="AK34" s="109">
        <v>0</v>
      </c>
      <c r="AL34" s="107">
        <v>0</v>
      </c>
      <c r="AM34" s="106">
        <v>0</v>
      </c>
      <c r="AN34" s="110">
        <v>0</v>
      </c>
      <c r="AO34" s="111">
        <f t="shared" si="0"/>
        <v>0</v>
      </c>
      <c r="AP34" s="112">
        <f t="shared" si="1"/>
        <v>0</v>
      </c>
      <c r="AQ34" s="112">
        <f t="shared" si="2"/>
        <v>0</v>
      </c>
      <c r="AR34" s="113">
        <f t="shared" si="3"/>
        <v>0</v>
      </c>
      <c r="AS34" s="114">
        <f t="shared" si="4"/>
        <v>0</v>
      </c>
      <c r="AT34" s="115">
        <f t="shared" si="5"/>
        <v>0</v>
      </c>
      <c r="AU34" s="115">
        <f t="shared" si="6"/>
        <v>0</v>
      </c>
      <c r="AV34" s="115">
        <f t="shared" si="7"/>
        <v>0</v>
      </c>
      <c r="AW34" s="115">
        <f t="shared" si="8"/>
        <v>0</v>
      </c>
      <c r="AX34" s="115">
        <f t="shared" si="9"/>
        <v>0</v>
      </c>
      <c r="AY34" s="111">
        <f t="shared" si="10"/>
        <v>0</v>
      </c>
      <c r="AZ34" s="116">
        <f t="shared" si="11"/>
        <v>0</v>
      </c>
      <c r="BA34" s="113">
        <f t="shared" si="12"/>
        <v>0</v>
      </c>
      <c r="BB34" s="114">
        <f t="shared" si="14"/>
        <v>0</v>
      </c>
      <c r="BC34" s="117">
        <f t="shared" si="15"/>
        <v>0</v>
      </c>
      <c r="BD34" s="117">
        <f t="shared" si="16"/>
        <v>0</v>
      </c>
      <c r="BE34" s="117">
        <f t="shared" si="17"/>
        <v>0</v>
      </c>
      <c r="BF34" s="117">
        <f t="shared" si="18"/>
        <v>0</v>
      </c>
      <c r="BG34" s="117">
        <f t="shared" si="19"/>
        <v>0</v>
      </c>
      <c r="BH34" s="117">
        <f t="shared" si="20"/>
        <v>0</v>
      </c>
      <c r="BI34" s="117">
        <f t="shared" si="21"/>
        <v>0</v>
      </c>
      <c r="BJ34" s="117">
        <f t="shared" si="22"/>
        <v>0</v>
      </c>
      <c r="BK34" s="117">
        <f t="shared" si="23"/>
        <v>0</v>
      </c>
      <c r="BL34" s="118">
        <f t="shared" si="13"/>
        <v>0</v>
      </c>
      <c r="BM34" s="105">
        <v>0</v>
      </c>
    </row>
    <row r="35" spans="1:65" x14ac:dyDescent="0.25">
      <c r="A35" s="119">
        <v>0</v>
      </c>
      <c r="B35" s="120">
        <v>0</v>
      </c>
      <c r="C35" s="119">
        <v>0</v>
      </c>
      <c r="D35" s="120">
        <v>0</v>
      </c>
      <c r="E35" s="119">
        <v>0</v>
      </c>
      <c r="F35" s="120">
        <v>0</v>
      </c>
      <c r="G35" s="119">
        <v>0</v>
      </c>
      <c r="H35" s="120">
        <v>0</v>
      </c>
      <c r="I35" s="119">
        <v>0</v>
      </c>
      <c r="J35" s="120">
        <v>0</v>
      </c>
      <c r="K35" s="119">
        <v>0</v>
      </c>
      <c r="L35" s="120">
        <v>0</v>
      </c>
      <c r="M35" s="119">
        <v>0</v>
      </c>
      <c r="N35" s="120">
        <v>0</v>
      </c>
      <c r="O35" s="119">
        <v>0</v>
      </c>
      <c r="P35" s="120">
        <v>0</v>
      </c>
      <c r="Q35" s="119">
        <v>0</v>
      </c>
      <c r="R35" s="120">
        <v>0</v>
      </c>
      <c r="S35" s="119">
        <v>0</v>
      </c>
      <c r="T35" s="120">
        <v>0</v>
      </c>
      <c r="U35" s="121">
        <v>0</v>
      </c>
      <c r="V35" s="120">
        <v>0</v>
      </c>
      <c r="W35" s="119">
        <v>0</v>
      </c>
      <c r="X35" s="120">
        <v>0</v>
      </c>
      <c r="Y35" s="119">
        <v>0</v>
      </c>
      <c r="Z35" s="120">
        <v>0</v>
      </c>
      <c r="AA35" s="119">
        <v>0</v>
      </c>
      <c r="AB35" s="120">
        <v>0</v>
      </c>
      <c r="AC35" s="122">
        <v>0</v>
      </c>
      <c r="AD35" s="120">
        <v>0</v>
      </c>
      <c r="AE35" s="122">
        <v>0</v>
      </c>
      <c r="AF35" s="120">
        <v>0</v>
      </c>
      <c r="AG35" s="122">
        <v>0</v>
      </c>
      <c r="AH35" s="120">
        <v>0</v>
      </c>
      <c r="AI35" s="122">
        <v>0</v>
      </c>
      <c r="AJ35" s="120">
        <v>0</v>
      </c>
      <c r="AK35" s="122">
        <v>0</v>
      </c>
      <c r="AL35" s="120">
        <v>0</v>
      </c>
      <c r="AM35" s="119">
        <v>0</v>
      </c>
      <c r="AN35" s="123">
        <v>0</v>
      </c>
      <c r="AO35" s="124">
        <f t="shared" si="0"/>
        <v>0</v>
      </c>
      <c r="AP35" s="125">
        <f t="shared" si="1"/>
        <v>0</v>
      </c>
      <c r="AQ35" s="125">
        <f t="shared" si="2"/>
        <v>0</v>
      </c>
      <c r="AR35" s="126">
        <f t="shared" si="3"/>
        <v>0</v>
      </c>
      <c r="AS35" s="127">
        <f t="shared" si="4"/>
        <v>0</v>
      </c>
      <c r="AT35" s="128">
        <f t="shared" si="5"/>
        <v>0</v>
      </c>
      <c r="AU35" s="128">
        <f t="shared" si="6"/>
        <v>0</v>
      </c>
      <c r="AV35" s="128">
        <f t="shared" si="7"/>
        <v>0</v>
      </c>
      <c r="AW35" s="128">
        <f t="shared" si="8"/>
        <v>0</v>
      </c>
      <c r="AX35" s="128">
        <f t="shared" si="9"/>
        <v>0</v>
      </c>
      <c r="AY35" s="124">
        <f t="shared" si="10"/>
        <v>0</v>
      </c>
      <c r="AZ35" s="129">
        <f t="shared" si="11"/>
        <v>0</v>
      </c>
      <c r="BA35" s="126">
        <f t="shared" si="12"/>
        <v>0</v>
      </c>
      <c r="BB35" s="114">
        <f t="shared" si="14"/>
        <v>0</v>
      </c>
      <c r="BC35" s="117">
        <f t="shared" si="15"/>
        <v>0</v>
      </c>
      <c r="BD35" s="117">
        <f t="shared" si="16"/>
        <v>0</v>
      </c>
      <c r="BE35" s="117">
        <f t="shared" si="17"/>
        <v>0</v>
      </c>
      <c r="BF35" s="117">
        <f t="shared" si="18"/>
        <v>0</v>
      </c>
      <c r="BG35" s="117">
        <f t="shared" si="19"/>
        <v>0</v>
      </c>
      <c r="BH35" s="117">
        <f t="shared" si="20"/>
        <v>0</v>
      </c>
      <c r="BI35" s="117">
        <f t="shared" si="21"/>
        <v>0</v>
      </c>
      <c r="BJ35" s="117">
        <f t="shared" si="22"/>
        <v>0</v>
      </c>
      <c r="BK35" s="117">
        <f t="shared" si="23"/>
        <v>0</v>
      </c>
      <c r="BL35" s="130">
        <f t="shared" si="13"/>
        <v>0</v>
      </c>
      <c r="BM35" s="105">
        <v>0</v>
      </c>
    </row>
    <row r="36" spans="1:65" x14ac:dyDescent="0.25">
      <c r="A36" s="119">
        <v>0</v>
      </c>
      <c r="B36" s="120">
        <v>0</v>
      </c>
      <c r="C36" s="119">
        <v>0</v>
      </c>
      <c r="D36" s="120">
        <v>0</v>
      </c>
      <c r="E36" s="119">
        <v>0</v>
      </c>
      <c r="F36" s="120">
        <v>0</v>
      </c>
      <c r="G36" s="119">
        <v>0</v>
      </c>
      <c r="H36" s="120">
        <v>0</v>
      </c>
      <c r="I36" s="119">
        <v>0</v>
      </c>
      <c r="J36" s="120">
        <v>0</v>
      </c>
      <c r="K36" s="119">
        <v>0</v>
      </c>
      <c r="L36" s="120">
        <v>0</v>
      </c>
      <c r="M36" s="119">
        <v>0</v>
      </c>
      <c r="N36" s="120">
        <v>0</v>
      </c>
      <c r="O36" s="119">
        <v>0</v>
      </c>
      <c r="P36" s="120">
        <v>0</v>
      </c>
      <c r="Q36" s="119">
        <v>0</v>
      </c>
      <c r="R36" s="120">
        <v>0</v>
      </c>
      <c r="S36" s="119">
        <v>0</v>
      </c>
      <c r="T36" s="120">
        <v>0</v>
      </c>
      <c r="U36" s="121">
        <v>0</v>
      </c>
      <c r="V36" s="120">
        <v>0</v>
      </c>
      <c r="W36" s="119">
        <v>0</v>
      </c>
      <c r="X36" s="120">
        <v>0</v>
      </c>
      <c r="Y36" s="119">
        <v>0</v>
      </c>
      <c r="Z36" s="120">
        <v>0</v>
      </c>
      <c r="AA36" s="119">
        <v>0</v>
      </c>
      <c r="AB36" s="120">
        <v>0</v>
      </c>
      <c r="AC36" s="122">
        <v>0</v>
      </c>
      <c r="AD36" s="120">
        <v>0</v>
      </c>
      <c r="AE36" s="122">
        <v>0</v>
      </c>
      <c r="AF36" s="120">
        <v>0</v>
      </c>
      <c r="AG36" s="122">
        <v>0</v>
      </c>
      <c r="AH36" s="120">
        <v>0</v>
      </c>
      <c r="AI36" s="122">
        <v>0</v>
      </c>
      <c r="AJ36" s="120">
        <v>0</v>
      </c>
      <c r="AK36" s="122">
        <v>0</v>
      </c>
      <c r="AL36" s="120">
        <v>0</v>
      </c>
      <c r="AM36" s="119">
        <v>0</v>
      </c>
      <c r="AN36" s="123">
        <v>0</v>
      </c>
      <c r="AO36" s="124">
        <f t="shared" si="0"/>
        <v>0</v>
      </c>
      <c r="AP36" s="125">
        <f t="shared" si="1"/>
        <v>0</v>
      </c>
      <c r="AQ36" s="125">
        <f t="shared" si="2"/>
        <v>0</v>
      </c>
      <c r="AR36" s="126">
        <f t="shared" si="3"/>
        <v>0</v>
      </c>
      <c r="AS36" s="127">
        <f t="shared" si="4"/>
        <v>0</v>
      </c>
      <c r="AT36" s="128">
        <f t="shared" si="5"/>
        <v>0</v>
      </c>
      <c r="AU36" s="128">
        <f t="shared" si="6"/>
        <v>0</v>
      </c>
      <c r="AV36" s="128">
        <f t="shared" si="7"/>
        <v>0</v>
      </c>
      <c r="AW36" s="128">
        <f t="shared" si="8"/>
        <v>0</v>
      </c>
      <c r="AX36" s="128">
        <f t="shared" si="9"/>
        <v>0</v>
      </c>
      <c r="AY36" s="124">
        <f t="shared" si="10"/>
        <v>0</v>
      </c>
      <c r="AZ36" s="129">
        <f t="shared" si="11"/>
        <v>0</v>
      </c>
      <c r="BA36" s="126">
        <f t="shared" si="12"/>
        <v>0</v>
      </c>
      <c r="BB36" s="114">
        <f t="shared" si="14"/>
        <v>0</v>
      </c>
      <c r="BC36" s="117">
        <f t="shared" si="15"/>
        <v>0</v>
      </c>
      <c r="BD36" s="117">
        <f t="shared" si="16"/>
        <v>0</v>
      </c>
      <c r="BE36" s="117">
        <f t="shared" si="17"/>
        <v>0</v>
      </c>
      <c r="BF36" s="117">
        <f t="shared" si="18"/>
        <v>0</v>
      </c>
      <c r="BG36" s="117">
        <f t="shared" si="19"/>
        <v>0</v>
      </c>
      <c r="BH36" s="117">
        <f t="shared" si="20"/>
        <v>0</v>
      </c>
      <c r="BI36" s="117">
        <f t="shared" si="21"/>
        <v>0</v>
      </c>
      <c r="BJ36" s="117">
        <f t="shared" si="22"/>
        <v>0</v>
      </c>
      <c r="BK36" s="117">
        <f t="shared" si="23"/>
        <v>0</v>
      </c>
      <c r="BL36" s="130">
        <f t="shared" si="13"/>
        <v>0</v>
      </c>
      <c r="BM36" s="105">
        <v>0</v>
      </c>
    </row>
    <row r="37" spans="1:65" x14ac:dyDescent="0.25">
      <c r="A37" s="119">
        <v>0</v>
      </c>
      <c r="B37" s="120">
        <v>0</v>
      </c>
      <c r="C37" s="119">
        <v>0</v>
      </c>
      <c r="D37" s="120">
        <v>0</v>
      </c>
      <c r="E37" s="119">
        <v>0</v>
      </c>
      <c r="F37" s="120">
        <v>0</v>
      </c>
      <c r="G37" s="119">
        <v>0</v>
      </c>
      <c r="H37" s="120">
        <v>0</v>
      </c>
      <c r="I37" s="119">
        <v>0</v>
      </c>
      <c r="J37" s="120">
        <v>0</v>
      </c>
      <c r="K37" s="119">
        <v>0</v>
      </c>
      <c r="L37" s="120">
        <v>0</v>
      </c>
      <c r="M37" s="119">
        <v>0</v>
      </c>
      <c r="N37" s="120">
        <v>0</v>
      </c>
      <c r="O37" s="119">
        <v>0</v>
      </c>
      <c r="P37" s="120">
        <v>0</v>
      </c>
      <c r="Q37" s="119">
        <v>0</v>
      </c>
      <c r="R37" s="120">
        <v>0</v>
      </c>
      <c r="S37" s="119">
        <v>0</v>
      </c>
      <c r="T37" s="120">
        <v>0</v>
      </c>
      <c r="U37" s="121">
        <v>0</v>
      </c>
      <c r="V37" s="120">
        <v>0</v>
      </c>
      <c r="W37" s="119">
        <v>0</v>
      </c>
      <c r="X37" s="120">
        <v>0</v>
      </c>
      <c r="Y37" s="119">
        <v>0</v>
      </c>
      <c r="Z37" s="120">
        <v>0</v>
      </c>
      <c r="AA37" s="119">
        <v>0</v>
      </c>
      <c r="AB37" s="120">
        <v>0</v>
      </c>
      <c r="AC37" s="122">
        <v>0</v>
      </c>
      <c r="AD37" s="120">
        <v>0</v>
      </c>
      <c r="AE37" s="122">
        <v>0</v>
      </c>
      <c r="AF37" s="120">
        <v>0</v>
      </c>
      <c r="AG37" s="122">
        <v>0</v>
      </c>
      <c r="AH37" s="120">
        <v>0</v>
      </c>
      <c r="AI37" s="122">
        <v>0</v>
      </c>
      <c r="AJ37" s="120">
        <v>0</v>
      </c>
      <c r="AK37" s="122">
        <v>0</v>
      </c>
      <c r="AL37" s="120">
        <v>0</v>
      </c>
      <c r="AM37" s="119">
        <v>0</v>
      </c>
      <c r="AN37" s="123">
        <v>0</v>
      </c>
      <c r="AO37" s="124">
        <f t="shared" si="0"/>
        <v>0</v>
      </c>
      <c r="AP37" s="125">
        <f t="shared" si="1"/>
        <v>0</v>
      </c>
      <c r="AQ37" s="125">
        <f t="shared" si="2"/>
        <v>0</v>
      </c>
      <c r="AR37" s="126">
        <f t="shared" si="3"/>
        <v>0</v>
      </c>
      <c r="AS37" s="127">
        <f t="shared" si="4"/>
        <v>0</v>
      </c>
      <c r="AT37" s="128">
        <f t="shared" si="5"/>
        <v>0</v>
      </c>
      <c r="AU37" s="128">
        <f t="shared" si="6"/>
        <v>0</v>
      </c>
      <c r="AV37" s="128">
        <f t="shared" si="7"/>
        <v>0</v>
      </c>
      <c r="AW37" s="128">
        <f t="shared" si="8"/>
        <v>0</v>
      </c>
      <c r="AX37" s="128">
        <f t="shared" si="9"/>
        <v>0</v>
      </c>
      <c r="AY37" s="124">
        <f t="shared" si="10"/>
        <v>0</v>
      </c>
      <c r="AZ37" s="129">
        <f t="shared" si="11"/>
        <v>0</v>
      </c>
      <c r="BA37" s="126">
        <f t="shared" si="12"/>
        <v>0</v>
      </c>
      <c r="BB37" s="114">
        <f t="shared" si="14"/>
        <v>0</v>
      </c>
      <c r="BC37" s="117">
        <f t="shared" si="15"/>
        <v>0</v>
      </c>
      <c r="BD37" s="117">
        <f t="shared" si="16"/>
        <v>0</v>
      </c>
      <c r="BE37" s="117">
        <f t="shared" si="17"/>
        <v>0</v>
      </c>
      <c r="BF37" s="117">
        <f t="shared" si="18"/>
        <v>0</v>
      </c>
      <c r="BG37" s="117">
        <f t="shared" si="19"/>
        <v>0</v>
      </c>
      <c r="BH37" s="117">
        <f t="shared" si="20"/>
        <v>0</v>
      </c>
      <c r="BI37" s="117">
        <f t="shared" si="21"/>
        <v>0</v>
      </c>
      <c r="BJ37" s="117">
        <f t="shared" si="22"/>
        <v>0</v>
      </c>
      <c r="BK37" s="117">
        <f t="shared" si="23"/>
        <v>0</v>
      </c>
      <c r="BL37" s="130">
        <f t="shared" si="13"/>
        <v>0</v>
      </c>
      <c r="BM37" s="105">
        <v>0</v>
      </c>
    </row>
    <row r="38" spans="1:65" x14ac:dyDescent="0.25">
      <c r="A38" s="119">
        <v>0</v>
      </c>
      <c r="B38" s="120">
        <v>0</v>
      </c>
      <c r="C38" s="119">
        <v>0</v>
      </c>
      <c r="D38" s="120">
        <v>0</v>
      </c>
      <c r="E38" s="119">
        <v>0</v>
      </c>
      <c r="F38" s="120">
        <v>0</v>
      </c>
      <c r="G38" s="119">
        <v>0</v>
      </c>
      <c r="H38" s="120">
        <v>0</v>
      </c>
      <c r="I38" s="119">
        <v>0</v>
      </c>
      <c r="J38" s="120">
        <v>0</v>
      </c>
      <c r="K38" s="119">
        <v>0</v>
      </c>
      <c r="L38" s="120">
        <v>0</v>
      </c>
      <c r="M38" s="119">
        <v>0</v>
      </c>
      <c r="N38" s="120">
        <v>0</v>
      </c>
      <c r="O38" s="119">
        <v>0</v>
      </c>
      <c r="P38" s="120">
        <v>0</v>
      </c>
      <c r="Q38" s="119">
        <v>0</v>
      </c>
      <c r="R38" s="120">
        <v>0</v>
      </c>
      <c r="S38" s="119">
        <v>0</v>
      </c>
      <c r="T38" s="120">
        <v>0</v>
      </c>
      <c r="U38" s="121">
        <v>0</v>
      </c>
      <c r="V38" s="120">
        <v>0</v>
      </c>
      <c r="W38" s="119">
        <v>0</v>
      </c>
      <c r="X38" s="120">
        <v>0</v>
      </c>
      <c r="Y38" s="119">
        <v>0</v>
      </c>
      <c r="Z38" s="120">
        <v>0</v>
      </c>
      <c r="AA38" s="119">
        <v>0</v>
      </c>
      <c r="AB38" s="120">
        <v>0</v>
      </c>
      <c r="AC38" s="122">
        <v>0</v>
      </c>
      <c r="AD38" s="120">
        <v>0</v>
      </c>
      <c r="AE38" s="122">
        <v>0</v>
      </c>
      <c r="AF38" s="120">
        <v>0</v>
      </c>
      <c r="AG38" s="122">
        <v>0</v>
      </c>
      <c r="AH38" s="120">
        <v>0</v>
      </c>
      <c r="AI38" s="122">
        <v>0</v>
      </c>
      <c r="AJ38" s="120">
        <v>0</v>
      </c>
      <c r="AK38" s="122">
        <v>0</v>
      </c>
      <c r="AL38" s="120">
        <v>0</v>
      </c>
      <c r="AM38" s="119">
        <v>0</v>
      </c>
      <c r="AN38" s="123">
        <v>0</v>
      </c>
      <c r="AO38" s="124">
        <f t="shared" si="0"/>
        <v>0</v>
      </c>
      <c r="AP38" s="125">
        <f t="shared" si="1"/>
        <v>0</v>
      </c>
      <c r="AQ38" s="125">
        <f t="shared" si="2"/>
        <v>0</v>
      </c>
      <c r="AR38" s="126">
        <f t="shared" si="3"/>
        <v>0</v>
      </c>
      <c r="AS38" s="127">
        <f t="shared" si="4"/>
        <v>0</v>
      </c>
      <c r="AT38" s="128">
        <f t="shared" si="5"/>
        <v>0</v>
      </c>
      <c r="AU38" s="128">
        <f t="shared" si="6"/>
        <v>0</v>
      </c>
      <c r="AV38" s="128">
        <f t="shared" si="7"/>
        <v>0</v>
      </c>
      <c r="AW38" s="128">
        <f t="shared" si="8"/>
        <v>0</v>
      </c>
      <c r="AX38" s="128">
        <f t="shared" si="9"/>
        <v>0</v>
      </c>
      <c r="AY38" s="124">
        <f t="shared" si="10"/>
        <v>0</v>
      </c>
      <c r="AZ38" s="129">
        <f t="shared" si="11"/>
        <v>0</v>
      </c>
      <c r="BA38" s="126">
        <f t="shared" si="12"/>
        <v>0</v>
      </c>
      <c r="BB38" s="114">
        <f t="shared" si="14"/>
        <v>0</v>
      </c>
      <c r="BC38" s="117">
        <f t="shared" si="15"/>
        <v>0</v>
      </c>
      <c r="BD38" s="117">
        <f t="shared" si="16"/>
        <v>0</v>
      </c>
      <c r="BE38" s="117">
        <f t="shared" si="17"/>
        <v>0</v>
      </c>
      <c r="BF38" s="117">
        <f t="shared" si="18"/>
        <v>0</v>
      </c>
      <c r="BG38" s="117">
        <f t="shared" si="19"/>
        <v>0</v>
      </c>
      <c r="BH38" s="117">
        <f t="shared" si="20"/>
        <v>0</v>
      </c>
      <c r="BI38" s="117">
        <f t="shared" si="21"/>
        <v>0</v>
      </c>
      <c r="BJ38" s="117">
        <f t="shared" si="22"/>
        <v>0</v>
      </c>
      <c r="BK38" s="117">
        <f t="shared" si="23"/>
        <v>0</v>
      </c>
      <c r="BL38" s="130">
        <f t="shared" si="13"/>
        <v>0</v>
      </c>
      <c r="BM38" s="105">
        <v>0</v>
      </c>
    </row>
    <row r="39" spans="1:65" x14ac:dyDescent="0.25">
      <c r="A39" s="131">
        <v>0</v>
      </c>
      <c r="B39" s="132">
        <v>0</v>
      </c>
      <c r="C39" s="131">
        <v>0</v>
      </c>
      <c r="D39" s="132">
        <v>0</v>
      </c>
      <c r="E39" s="131">
        <v>0</v>
      </c>
      <c r="F39" s="132">
        <v>0</v>
      </c>
      <c r="G39" s="131">
        <v>0</v>
      </c>
      <c r="H39" s="132">
        <v>0</v>
      </c>
      <c r="I39" s="131">
        <v>0</v>
      </c>
      <c r="J39" s="132">
        <v>0</v>
      </c>
      <c r="K39" s="131">
        <v>0</v>
      </c>
      <c r="L39" s="132">
        <v>0</v>
      </c>
      <c r="M39" s="131">
        <v>0</v>
      </c>
      <c r="N39" s="132">
        <v>0</v>
      </c>
      <c r="O39" s="131">
        <v>0</v>
      </c>
      <c r="P39" s="132">
        <v>0</v>
      </c>
      <c r="Q39" s="131">
        <v>0</v>
      </c>
      <c r="R39" s="132">
        <v>0</v>
      </c>
      <c r="S39" s="131">
        <v>0</v>
      </c>
      <c r="T39" s="132">
        <v>0</v>
      </c>
      <c r="U39" s="133">
        <v>0</v>
      </c>
      <c r="V39" s="132">
        <v>0</v>
      </c>
      <c r="W39" s="131">
        <v>0</v>
      </c>
      <c r="X39" s="132">
        <v>0</v>
      </c>
      <c r="Y39" s="131">
        <v>0</v>
      </c>
      <c r="Z39" s="132">
        <v>0</v>
      </c>
      <c r="AA39" s="131">
        <v>0</v>
      </c>
      <c r="AB39" s="132">
        <v>0</v>
      </c>
      <c r="AC39" s="134">
        <v>0</v>
      </c>
      <c r="AD39" s="132">
        <v>0</v>
      </c>
      <c r="AE39" s="134">
        <v>0</v>
      </c>
      <c r="AF39" s="132">
        <v>0</v>
      </c>
      <c r="AG39" s="134">
        <v>0</v>
      </c>
      <c r="AH39" s="132">
        <v>0</v>
      </c>
      <c r="AI39" s="134">
        <v>0</v>
      </c>
      <c r="AJ39" s="132">
        <v>0</v>
      </c>
      <c r="AK39" s="134">
        <v>0</v>
      </c>
      <c r="AL39" s="132">
        <v>0</v>
      </c>
      <c r="AM39" s="131">
        <v>0</v>
      </c>
      <c r="AN39" s="135">
        <v>0</v>
      </c>
      <c r="AO39" s="136">
        <f t="shared" si="0"/>
        <v>0</v>
      </c>
      <c r="AP39" s="137">
        <f t="shared" si="1"/>
        <v>0</v>
      </c>
      <c r="AQ39" s="137">
        <f t="shared" si="2"/>
        <v>0</v>
      </c>
      <c r="AR39" s="138">
        <f t="shared" si="3"/>
        <v>0</v>
      </c>
      <c r="AS39" s="139">
        <f t="shared" si="4"/>
        <v>0</v>
      </c>
      <c r="AT39" s="140">
        <f t="shared" si="5"/>
        <v>0</v>
      </c>
      <c r="AU39" s="140">
        <f t="shared" si="6"/>
        <v>0</v>
      </c>
      <c r="AV39" s="140">
        <f t="shared" si="7"/>
        <v>0</v>
      </c>
      <c r="AW39" s="140">
        <f t="shared" si="8"/>
        <v>0</v>
      </c>
      <c r="AX39" s="140">
        <f t="shared" si="9"/>
        <v>0</v>
      </c>
      <c r="AY39" s="136">
        <f t="shared" si="10"/>
        <v>0</v>
      </c>
      <c r="AZ39" s="141">
        <f t="shared" si="11"/>
        <v>0</v>
      </c>
      <c r="BA39" s="138">
        <f t="shared" si="12"/>
        <v>0</v>
      </c>
      <c r="BB39" s="139">
        <f t="shared" si="14"/>
        <v>0</v>
      </c>
      <c r="BC39" s="142">
        <f t="shared" si="15"/>
        <v>0</v>
      </c>
      <c r="BD39" s="142">
        <f t="shared" si="16"/>
        <v>0</v>
      </c>
      <c r="BE39" s="142">
        <f t="shared" si="17"/>
        <v>0</v>
      </c>
      <c r="BF39" s="142">
        <f t="shared" si="18"/>
        <v>0</v>
      </c>
      <c r="BG39" s="142">
        <f t="shared" si="19"/>
        <v>0</v>
      </c>
      <c r="BH39" s="142">
        <f t="shared" si="20"/>
        <v>0</v>
      </c>
      <c r="BI39" s="142">
        <f t="shared" si="21"/>
        <v>0</v>
      </c>
      <c r="BJ39" s="142">
        <f t="shared" si="22"/>
        <v>0</v>
      </c>
      <c r="BK39" s="143">
        <f t="shared" si="23"/>
        <v>0</v>
      </c>
      <c r="BL39" s="144">
        <f t="shared" si="13"/>
        <v>0</v>
      </c>
      <c r="BM39" s="105">
        <v>0</v>
      </c>
    </row>
    <row r="40" spans="1:65" x14ac:dyDescent="0.25">
      <c r="A40" s="106"/>
      <c r="B40" s="107"/>
      <c r="C40" s="106"/>
      <c r="D40" s="107"/>
      <c r="E40" s="106"/>
      <c r="F40" s="107"/>
      <c r="G40" s="106"/>
      <c r="H40" s="107"/>
      <c r="I40" s="106"/>
      <c r="J40" s="107"/>
      <c r="K40" s="106"/>
      <c r="L40" s="107"/>
      <c r="M40" s="106"/>
      <c r="N40" s="107"/>
      <c r="O40" s="106"/>
      <c r="P40" s="107"/>
      <c r="Q40" s="106"/>
      <c r="R40" s="107"/>
      <c r="S40" s="106"/>
      <c r="T40" s="107"/>
      <c r="U40" s="108">
        <f>A40</f>
        <v>0</v>
      </c>
      <c r="V40" s="107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106">
        <f>IF(AND(V40&gt;0,V40=B40),C40,IF(V40=D40,E40,IF(V40=F40,G40,IF(V40=H40,I40,IF(V40=J40,K40,IF(V40=L40,M40,IF(V40=N40,O40,IF(V40=P40,Q40,S40))))))))</f>
        <v>0</v>
      </c>
      <c r="X40" s="107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106">
        <f>IF(AND(X40&gt;0,X40=D40),E40,IF(X40=F40,G40,IF(X40=H40,I40,IF(X40=J40,K40,IF(X40=L40,M40,IF(X40=N40,O40,IF(X40=P40,Q40,S40)))))))</f>
        <v>0</v>
      </c>
      <c r="Z40" s="107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106">
        <f>IF(AND(Z40&gt;0,Z40=F40),G40,IF(Z40=H40,I40,IF(Z40=J40,K40,IF(Z40=L40,M40,IF(Z40=N40,O40,IF(Z40=P40,Q40,S40))))))</f>
        <v>0</v>
      </c>
      <c r="AB40" s="107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109">
        <f>IF(AND(AB40&gt;0,AB40=H40),I40,IF(AB40=J40,K40,IF(AB40=L40,M40,IF(AB40=N40,O40,IF(AB40=P40,Q40,S40)))))</f>
        <v>0</v>
      </c>
      <c r="AD40" s="107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109">
        <f>IF(AND(AD40&gt;0,AD40=J40),K40,IF(AD40=L40,M40,IF(AD40=N40,O40,IF(AD40=P40,Q40,S40))))</f>
        <v>0</v>
      </c>
      <c r="AF40" s="107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109">
        <f>IF(AND(AF40&gt;0,AF40=L40),M40,IF(AF40=N40,O40,IF(AF40=P40,Q40,S40)))</f>
        <v>0</v>
      </c>
      <c r="AH40" s="107">
        <f>IF(AG40=M40,IF(AND(O40&gt;0,(O40-N40)&lt;$U$43),P40,N40),IF(AG40=O40,IF(AND(Q40&gt;0,(Q40-P40)&lt;$U$43),R40,P40),IF(AG40=Q40,IF(AND(S40&gt;0,(S40-R40)&lt;$U$43),T40,R40))))</f>
        <v>0</v>
      </c>
      <c r="AI40" s="109">
        <f>IF(AND(AH40&gt;0,AH40=N40),O40,IF(AH40=P40,Q40,S40))</f>
        <v>0</v>
      </c>
      <c r="AJ40" s="107">
        <f>IF(AI40=O40,IF(AND(Q40&gt;0,(Q40-P40)&lt;$U$43),R40,P40),IF(AI40=Q40,IF(AND(S40&gt;0,(S40-R40)&lt;$U$43),T40,R40)))</f>
        <v>0</v>
      </c>
      <c r="AK40" s="109">
        <f>IF(AND(AJ40&gt;0,AJ40=P40),Q40,S40)</f>
        <v>0</v>
      </c>
      <c r="AL40" s="107">
        <f>IF(AK40=Q40,IF(AND(S40&gt;0,(S40-R40)&lt;$U$43),T40,R40))</f>
        <v>0</v>
      </c>
      <c r="AM40" s="106">
        <f>IF(AND(AL40&gt;0,AL40=R40),S40,0)</f>
        <v>0</v>
      </c>
      <c r="AN40" s="110">
        <f>IF(AM40=S40,T40,0)</f>
        <v>0</v>
      </c>
      <c r="AO40" s="111">
        <f t="shared" si="0"/>
        <v>0</v>
      </c>
      <c r="AP40" s="112">
        <f t="shared" si="1"/>
        <v>0</v>
      </c>
      <c r="AQ40" s="112">
        <f t="shared" si="2"/>
        <v>0</v>
      </c>
      <c r="AR40" s="113">
        <f t="shared" si="3"/>
        <v>0</v>
      </c>
      <c r="AS40" s="114">
        <f t="shared" si="4"/>
        <v>0</v>
      </c>
      <c r="AT40" s="115">
        <f t="shared" si="5"/>
        <v>0</v>
      </c>
      <c r="AU40" s="115">
        <f t="shared" si="6"/>
        <v>0</v>
      </c>
      <c r="AV40" s="115">
        <f t="shared" si="7"/>
        <v>0</v>
      </c>
      <c r="AW40" s="115">
        <f t="shared" si="8"/>
        <v>0</v>
      </c>
      <c r="AX40" s="115">
        <f t="shared" si="9"/>
        <v>0</v>
      </c>
      <c r="AY40" s="145">
        <f t="shared" si="10"/>
        <v>0</v>
      </c>
      <c r="AZ40" s="146">
        <f t="shared" si="11"/>
        <v>0</v>
      </c>
      <c r="BA40" s="147">
        <f t="shared" si="12"/>
        <v>0</v>
      </c>
      <c r="BB40" s="98">
        <f t="shared" si="14"/>
        <v>0</v>
      </c>
      <c r="BC40" s="148">
        <f t="shared" si="15"/>
        <v>0</v>
      </c>
      <c r="BD40" s="148">
        <f t="shared" si="16"/>
        <v>0</v>
      </c>
      <c r="BE40" s="148">
        <f t="shared" si="17"/>
        <v>0</v>
      </c>
      <c r="BF40" s="148">
        <f t="shared" si="18"/>
        <v>0</v>
      </c>
      <c r="BG40" s="148">
        <f t="shared" si="19"/>
        <v>0</v>
      </c>
      <c r="BH40" s="148">
        <f t="shared" si="20"/>
        <v>0</v>
      </c>
      <c r="BI40" s="148">
        <f t="shared" si="21"/>
        <v>0</v>
      </c>
      <c r="BJ40" s="148">
        <f t="shared" si="22"/>
        <v>0</v>
      </c>
      <c r="BK40" s="148">
        <f t="shared" si="23"/>
        <v>0</v>
      </c>
      <c r="BL40" s="104">
        <f t="shared" si="13"/>
        <v>0</v>
      </c>
      <c r="BM40" s="105"/>
    </row>
    <row r="41" spans="1:65" x14ac:dyDescent="0.25">
      <c r="A41" s="106"/>
      <c r="B41" s="107"/>
      <c r="C41" s="106"/>
      <c r="D41" s="107"/>
      <c r="E41" s="106"/>
      <c r="F41" s="107"/>
      <c r="G41" s="106"/>
      <c r="H41" s="107"/>
      <c r="I41" s="106"/>
      <c r="J41" s="107"/>
      <c r="K41" s="106"/>
      <c r="L41" s="107"/>
      <c r="M41" s="106"/>
      <c r="N41" s="107"/>
      <c r="O41" s="106"/>
      <c r="P41" s="107"/>
      <c r="Q41" s="106"/>
      <c r="R41" s="107"/>
      <c r="S41" s="106"/>
      <c r="T41" s="107"/>
      <c r="U41" s="108">
        <f>A41</f>
        <v>0</v>
      </c>
      <c r="V41" s="107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106">
        <f>IF(AND(V41&gt;0,V41=B41),C41,IF(V41=D41,E41,IF(V41=F41,G41,IF(V41=H41,I41,IF(V41=J41,K41,IF(V41=L41,M41,IF(V41=N41,O41,IF(V41=P41,Q41,S41))))))))</f>
        <v>0</v>
      </c>
      <c r="X41" s="107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106">
        <f>IF(AND(X41&gt;0,X41=D41),E41,IF(X41=F41,G41,IF(X41=H41,I41,IF(X41=J41,K41,IF(X41=L41,M41,IF(X41=N41,O41,IF(X41=P41,Q41,S41)))))))</f>
        <v>0</v>
      </c>
      <c r="Z41" s="107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106">
        <f>IF(AND(Z41&gt;0,Z41=F41),G41,IF(Z41=H41,I41,IF(Z41=J41,K41,IF(Z41=L41,M41,IF(Z41=N41,O41,IF(Z41=P41,Q41,S41))))))</f>
        <v>0</v>
      </c>
      <c r="AB41" s="107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109">
        <f>IF(AND(AB41&gt;0,AB41=H41),I41,IF(AB41=J41,K41,IF(AB41=L41,M41,IF(AB41=N41,O41,IF(AB41=P41,Q41,S41)))))</f>
        <v>0</v>
      </c>
      <c r="AD41" s="107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109">
        <f>IF(AND(AD41&gt;0,AD41=J41),K41,IF(AD41=L41,M41,IF(AD41=N41,O41,IF(AD41=P41,Q41,S41))))</f>
        <v>0</v>
      </c>
      <c r="AF41" s="107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109">
        <f>IF(AND(AF41&gt;0,AF41=L41),M41,IF(AF41=N41,O41,IF(AF41=P41,Q41,S41)))</f>
        <v>0</v>
      </c>
      <c r="AH41" s="107">
        <f>IF(AG41=M41,IF(AND(O41&gt;0,(O41-N41)&lt;$U$43),P41,N41),IF(AG41=O41,IF(AND(Q41&gt;0,(Q41-P41)&lt;$U$43),R41,P41),IF(AG41=Q41,IF(AND(S41&gt;0,(S41-R41)&lt;$U$43),T41,R41))))</f>
        <v>0</v>
      </c>
      <c r="AI41" s="109">
        <f>IF(AND(AH41&gt;0,AH41=N41),O41,IF(AH41=P41,Q41,S41))</f>
        <v>0</v>
      </c>
      <c r="AJ41" s="107">
        <f>IF(AI41=O41,IF(AND(Q41&gt;0,(Q41-P41)&lt;$U$43),R41,P41),IF(AI41=Q41,IF(AND(S41&gt;0,(S41-R41)&lt;$U$43),T41,R41)))</f>
        <v>0</v>
      </c>
      <c r="AK41" s="109">
        <f>IF(AND(AJ41&gt;0,AJ41=P41),Q41,S41)</f>
        <v>0</v>
      </c>
      <c r="AL41" s="107">
        <f>IF(AK41=Q41,IF(AND(S41&gt;0,(S41-R41)&lt;$U$43),T41,R41))</f>
        <v>0</v>
      </c>
      <c r="AM41" s="106">
        <f>IF(AND(AL41&gt;0,AL41=R41),S41,0)</f>
        <v>0</v>
      </c>
      <c r="AN41" s="110">
        <f>IF(AM41=S41,T41,0)</f>
        <v>0</v>
      </c>
      <c r="AO41" s="111">
        <f t="shared" si="0"/>
        <v>0</v>
      </c>
      <c r="AP41" s="112">
        <f t="shared" si="1"/>
        <v>0</v>
      </c>
      <c r="AQ41" s="112">
        <f t="shared" si="2"/>
        <v>0</v>
      </c>
      <c r="AR41" s="113">
        <f t="shared" si="3"/>
        <v>0</v>
      </c>
      <c r="AS41" s="114">
        <f t="shared" si="4"/>
        <v>0</v>
      </c>
      <c r="AT41" s="115">
        <f t="shared" si="5"/>
        <v>0</v>
      </c>
      <c r="AU41" s="115">
        <f t="shared" si="6"/>
        <v>0</v>
      </c>
      <c r="AV41" s="115">
        <f t="shared" si="7"/>
        <v>0</v>
      </c>
      <c r="AW41" s="115">
        <f t="shared" si="8"/>
        <v>0</v>
      </c>
      <c r="AX41" s="115">
        <f t="shared" si="9"/>
        <v>0</v>
      </c>
      <c r="AY41" s="111">
        <f t="shared" si="10"/>
        <v>0</v>
      </c>
      <c r="AZ41" s="116">
        <f t="shared" si="11"/>
        <v>0</v>
      </c>
      <c r="BA41" s="113">
        <f t="shared" si="12"/>
        <v>0</v>
      </c>
      <c r="BB41" s="114">
        <f t="shared" si="14"/>
        <v>0</v>
      </c>
      <c r="BC41" s="117">
        <f t="shared" si="15"/>
        <v>0</v>
      </c>
      <c r="BD41" s="117">
        <f t="shared" si="16"/>
        <v>0</v>
      </c>
      <c r="BE41" s="117">
        <f t="shared" si="17"/>
        <v>0</v>
      </c>
      <c r="BF41" s="117">
        <f t="shared" si="18"/>
        <v>0</v>
      </c>
      <c r="BG41" s="117">
        <f t="shared" si="19"/>
        <v>0</v>
      </c>
      <c r="BH41" s="117">
        <f t="shared" si="20"/>
        <v>0</v>
      </c>
      <c r="BI41" s="117">
        <f t="shared" si="21"/>
        <v>0</v>
      </c>
      <c r="BJ41" s="117">
        <f t="shared" si="22"/>
        <v>0</v>
      </c>
      <c r="BK41" s="117">
        <f t="shared" si="23"/>
        <v>0</v>
      </c>
      <c r="BL41" s="118">
        <f t="shared" si="13"/>
        <v>0</v>
      </c>
      <c r="BM41" s="105"/>
    </row>
    <row r="42" spans="1:65" ht="15.75" thickBot="1" x14ac:dyDescent="0.3">
      <c r="A42" s="131"/>
      <c r="B42" s="132"/>
      <c r="C42" s="131"/>
      <c r="D42" s="132"/>
      <c r="E42" s="131"/>
      <c r="F42" s="132"/>
      <c r="G42" s="131"/>
      <c r="H42" s="132"/>
      <c r="I42" s="131"/>
      <c r="J42" s="132"/>
      <c r="K42" s="131"/>
      <c r="L42" s="132"/>
      <c r="M42" s="131"/>
      <c r="N42" s="132"/>
      <c r="O42" s="131"/>
      <c r="P42" s="132"/>
      <c r="Q42" s="131"/>
      <c r="R42" s="132"/>
      <c r="S42" s="131"/>
      <c r="T42" s="132"/>
      <c r="U42" s="133">
        <f>A42</f>
        <v>0</v>
      </c>
      <c r="V42" s="132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31">
        <f>IF(AND(V42&gt;0,V42=B42),C42,IF(V42=D42,E42,IF(V42=F42,G42,IF(V42=H42,I42,IF(V42=J42,K42,IF(V42=L42,M42,IF(V42=N42,O42,IF(V42=P42,Q42,S42))))))))</f>
        <v>0</v>
      </c>
      <c r="X42" s="132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31">
        <f>IF(AND(X42&gt;0,X42=D42),E42,IF(X42=F42,G42,IF(X42=H42,I42,IF(X42=J42,K42,IF(X42=L42,M42,IF(X42=N42,O42,IF(X42=P42,Q42,S42)))))))</f>
        <v>0</v>
      </c>
      <c r="Z42" s="132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31">
        <f>IF(AND(Z42&gt;0,Z42=F42),G42,IF(Z42=H42,I42,IF(Z42=J42,K42,IF(Z42=L42,M42,IF(Z42=N42,O42,IF(Z42=P42,Q42,S42))))))</f>
        <v>0</v>
      </c>
      <c r="AB42" s="132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34">
        <f>IF(AND(AB42&gt;0,AB42=H42),I42,IF(AB42=J42,K42,IF(AB42=L42,M42,IF(AB42=N42,O42,IF(AB42=P42,Q42,S42)))))</f>
        <v>0</v>
      </c>
      <c r="AD42" s="132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34">
        <f>IF(AND(AD42&gt;0,AD42=J42),K42,IF(AD42=L42,M42,IF(AD42=N42,O42,IF(AD42=P42,Q42,S42))))</f>
        <v>0</v>
      </c>
      <c r="AF42" s="132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34">
        <f>IF(AND(AF42&gt;0,AF42=L42),M42,IF(AF42=N42,O42,IF(AF42=P42,Q42,S42)))</f>
        <v>0</v>
      </c>
      <c r="AH42" s="132">
        <f>IF(AG42=M42,IF(AND(O42&gt;0,(O42-N42)&lt;$U$43),P42,N42),IF(AG42=O42,IF(AND(Q42&gt;0,(Q42-P42)&lt;$U$43),R42,P42),IF(AG42=Q42,IF(AND(S42&gt;0,(S42-R42)&lt;$U$43),T42,R42))))</f>
        <v>0</v>
      </c>
      <c r="AI42" s="134">
        <f>IF(AND(AH42&gt;0,AH42=N42),O42,IF(AH42=P42,Q42,S42))</f>
        <v>0</v>
      </c>
      <c r="AJ42" s="132">
        <f>IF(AI42=O42,IF(AND(Q42&gt;0,(Q42-P42)&lt;$U$43),R42,P42),IF(AI42=Q42,IF(AND(S42&gt;0,(S42-R42)&lt;$U$43),T42,R42)))</f>
        <v>0</v>
      </c>
      <c r="AK42" s="134">
        <f>IF(AND(AJ42&gt;0,AJ42=P42),Q42,S42)</f>
        <v>0</v>
      </c>
      <c r="AL42" s="132">
        <f>IF(AK42=Q42,IF(AND(S42&gt;0,(S42-R42)&lt;$U$43),T42,R42))</f>
        <v>0</v>
      </c>
      <c r="AM42" s="131">
        <f>IF(AND(AL42&gt;0,AL42=R42),S42,0)</f>
        <v>0</v>
      </c>
      <c r="AN42" s="135">
        <f>IF(AM42=S42,T42,0)</f>
        <v>0</v>
      </c>
      <c r="AO42" s="136">
        <f t="shared" si="0"/>
        <v>0</v>
      </c>
      <c r="AP42" s="137">
        <f t="shared" si="1"/>
        <v>0</v>
      </c>
      <c r="AQ42" s="137">
        <f t="shared" si="2"/>
        <v>0</v>
      </c>
      <c r="AR42" s="138">
        <f t="shared" si="3"/>
        <v>0</v>
      </c>
      <c r="AS42" s="139">
        <f t="shared" si="4"/>
        <v>0</v>
      </c>
      <c r="AT42" s="140">
        <f t="shared" si="5"/>
        <v>0</v>
      </c>
      <c r="AU42" s="140">
        <f t="shared" si="6"/>
        <v>0</v>
      </c>
      <c r="AV42" s="140">
        <f t="shared" si="7"/>
        <v>0</v>
      </c>
      <c r="AW42" s="140">
        <f t="shared" si="8"/>
        <v>0</v>
      </c>
      <c r="AX42" s="140">
        <f t="shared" si="9"/>
        <v>0</v>
      </c>
      <c r="AY42" s="124">
        <f t="shared" si="10"/>
        <v>0</v>
      </c>
      <c r="AZ42" s="129">
        <f t="shared" si="11"/>
        <v>0</v>
      </c>
      <c r="BA42" s="126">
        <f t="shared" si="12"/>
        <v>0</v>
      </c>
      <c r="BB42" s="114">
        <f t="shared" si="14"/>
        <v>0</v>
      </c>
      <c r="BC42" s="117">
        <f t="shared" si="15"/>
        <v>0</v>
      </c>
      <c r="BD42" s="117">
        <f t="shared" si="16"/>
        <v>0</v>
      </c>
      <c r="BE42" s="117">
        <f t="shared" si="17"/>
        <v>0</v>
      </c>
      <c r="BF42" s="117">
        <f t="shared" si="18"/>
        <v>0</v>
      </c>
      <c r="BG42" s="117">
        <f t="shared" si="19"/>
        <v>0</v>
      </c>
      <c r="BH42" s="117">
        <f t="shared" si="20"/>
        <v>0</v>
      </c>
      <c r="BI42" s="117">
        <f t="shared" si="21"/>
        <v>0</v>
      </c>
      <c r="BJ42" s="117">
        <f t="shared" si="22"/>
        <v>0</v>
      </c>
      <c r="BK42" s="117">
        <f t="shared" si="23"/>
        <v>0</v>
      </c>
      <c r="BL42" s="118">
        <f t="shared" si="13"/>
        <v>0</v>
      </c>
      <c r="BM42" s="105"/>
    </row>
    <row r="43" spans="1:65" ht="16.5" thickTop="1" thickBot="1" x14ac:dyDescent="0.3">
      <c r="U43" s="62">
        <v>1.3888888888888888E-2</v>
      </c>
      <c r="AM43" s="149"/>
      <c r="AT43" s="150" t="s">
        <v>74</v>
      </c>
      <c r="AU43" s="150" t="s">
        <v>75</v>
      </c>
      <c r="AV43" s="150" t="s">
        <v>76</v>
      </c>
      <c r="AW43" s="150" t="s">
        <v>77</v>
      </c>
      <c r="AX43" s="150"/>
      <c r="AY43" s="151">
        <f>SUM(AY5:AY42)</f>
        <v>0</v>
      </c>
      <c r="AZ43" s="152">
        <f>SUM(AZ5:AZ42)</f>
        <v>0</v>
      </c>
      <c r="BA43" s="153">
        <f>SUM(BA5:BA42)</f>
        <v>0</v>
      </c>
      <c r="BB43" s="154" t="str">
        <f t="shared" ref="BB43:BL43" si="24">TRUNC(SUM(BB5:BB42)*24,0) &amp; ":" &amp; RIGHT("00"&amp;ROUND(((SUM(BB5:BB42)*24)-TRUNC(SUM(BB5:BB42)*24,0))*60,2),2)</f>
        <v>0:00</v>
      </c>
      <c r="BC43" s="155" t="str">
        <f t="shared" si="24"/>
        <v>0:00</v>
      </c>
      <c r="BD43" s="155" t="str">
        <f t="shared" si="24"/>
        <v>0:00</v>
      </c>
      <c r="BE43" s="155" t="str">
        <f t="shared" si="24"/>
        <v>0:00</v>
      </c>
      <c r="BF43" s="155" t="str">
        <f t="shared" si="24"/>
        <v>0:00</v>
      </c>
      <c r="BG43" s="155" t="str">
        <f t="shared" si="24"/>
        <v>0:00</v>
      </c>
      <c r="BH43" s="155" t="str">
        <f t="shared" si="24"/>
        <v>0:00</v>
      </c>
      <c r="BI43" s="155" t="str">
        <f t="shared" si="24"/>
        <v>0:00</v>
      </c>
      <c r="BJ43" s="155" t="str">
        <f t="shared" si="24"/>
        <v>0:00</v>
      </c>
      <c r="BK43" s="156" t="str">
        <f t="shared" si="24"/>
        <v>0:00</v>
      </c>
      <c r="BL43" s="157" t="str">
        <f t="shared" si="24"/>
        <v>0:00</v>
      </c>
      <c r="BM43" s="158"/>
    </row>
    <row r="45" spans="1:65" x14ac:dyDescent="0.25">
      <c r="C45" s="345"/>
      <c r="D45" s="34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39" customWidth="1"/>
    <col min="2" max="2" width="11.42578125" style="39"/>
    <col min="3" max="3" width="7.42578125" style="39" customWidth="1"/>
    <col min="4" max="7" width="7.140625" style="39" customWidth="1"/>
    <col min="8" max="8" width="4.7109375" style="39" customWidth="1"/>
    <col min="9" max="11" width="7.140625" style="39" customWidth="1"/>
    <col min="12" max="12" width="4.7109375" style="39" customWidth="1"/>
    <col min="13" max="13" width="7.140625" style="39" customWidth="1"/>
    <col min="14" max="14" width="7.5703125" style="39" customWidth="1"/>
    <col min="15" max="15" width="11.140625" style="39" customWidth="1"/>
    <col min="16" max="16" width="6.28515625" style="39" customWidth="1"/>
    <col min="17" max="16384" width="11.42578125" style="39"/>
  </cols>
  <sheetData>
    <row r="1" spans="2:17" x14ac:dyDescent="0.25">
      <c r="B1" s="398" t="s">
        <v>96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</row>
    <row r="2" spans="2:17" x14ac:dyDescent="0.25"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</row>
    <row r="3" spans="2:17" x14ac:dyDescent="0.25">
      <c r="B3" s="39" t="s">
        <v>97</v>
      </c>
      <c r="C3" s="166" t="s">
        <v>98</v>
      </c>
    </row>
    <row r="4" spans="2:17" x14ac:dyDescent="0.25">
      <c r="B4" s="39" t="s">
        <v>99</v>
      </c>
      <c r="D4" s="39">
        <f>Inter!I23</f>
        <v>0</v>
      </c>
    </row>
    <row r="5" spans="2:17" ht="15.75" thickBot="1" x14ac:dyDescent="0.3"/>
    <row r="6" spans="2:17" ht="15.75" customHeight="1" x14ac:dyDescent="0.25">
      <c r="C6" s="399" t="s">
        <v>100</v>
      </c>
      <c r="D6" s="402" t="s">
        <v>101</v>
      </c>
      <c r="E6" s="402" t="s">
        <v>4</v>
      </c>
      <c r="F6" s="405"/>
      <c r="G6" s="405"/>
      <c r="H6" s="407" t="s">
        <v>102</v>
      </c>
      <c r="I6" s="409" t="s">
        <v>4</v>
      </c>
      <c r="J6" s="405"/>
      <c r="K6" s="405"/>
      <c r="L6" s="407" t="s">
        <v>102</v>
      </c>
      <c r="M6" s="411" t="s">
        <v>103</v>
      </c>
      <c r="N6" s="257"/>
      <c r="O6" s="258"/>
    </row>
    <row r="7" spans="2:17" x14ac:dyDescent="0.25">
      <c r="C7" s="400"/>
      <c r="D7" s="403"/>
      <c r="E7" s="406"/>
      <c r="F7" s="406"/>
      <c r="G7" s="406"/>
      <c r="H7" s="408"/>
      <c r="I7" s="410"/>
      <c r="J7" s="406"/>
      <c r="K7" s="406"/>
      <c r="L7" s="408"/>
      <c r="M7" s="412"/>
      <c r="N7" s="257"/>
      <c r="O7" s="258"/>
    </row>
    <row r="8" spans="2:17" x14ac:dyDescent="0.25">
      <c r="C8" s="400"/>
      <c r="D8" s="403"/>
      <c r="E8" s="406"/>
      <c r="F8" s="406"/>
      <c r="G8" s="406"/>
      <c r="H8" s="408"/>
      <c r="I8" s="410"/>
      <c r="J8" s="406"/>
      <c r="K8" s="406"/>
      <c r="L8" s="408"/>
      <c r="M8" s="412"/>
      <c r="N8" s="257"/>
      <c r="O8" s="258"/>
    </row>
    <row r="9" spans="2:17" ht="15.75" thickBot="1" x14ac:dyDescent="0.3">
      <c r="C9" s="401"/>
      <c r="D9" s="404"/>
      <c r="E9" s="259" t="s">
        <v>61</v>
      </c>
      <c r="F9" s="259" t="s">
        <v>62</v>
      </c>
      <c r="G9" s="259" t="s">
        <v>104</v>
      </c>
      <c r="H9" s="408"/>
      <c r="I9" s="260" t="s">
        <v>61</v>
      </c>
      <c r="J9" s="259" t="s">
        <v>62</v>
      </c>
      <c r="K9" s="259" t="s">
        <v>104</v>
      </c>
      <c r="L9" s="408"/>
      <c r="M9" s="412"/>
      <c r="N9" s="257"/>
      <c r="O9" s="258"/>
    </row>
    <row r="10" spans="2:17" ht="15.75" thickBot="1" x14ac:dyDescent="0.3">
      <c r="B10" s="384" t="s">
        <v>89</v>
      </c>
      <c r="C10" s="385"/>
      <c r="D10" s="388"/>
      <c r="E10" s="261"/>
      <c r="F10" s="261"/>
      <c r="G10" s="262"/>
      <c r="H10" s="263"/>
      <c r="I10" s="264"/>
      <c r="J10" s="265"/>
      <c r="K10" s="266"/>
      <c r="L10" s="267"/>
      <c r="M10" s="397"/>
      <c r="N10" s="257"/>
      <c r="O10" s="258"/>
      <c r="P10" s="268"/>
      <c r="Q10" s="268"/>
    </row>
    <row r="11" spans="2:17" ht="15.75" thickBot="1" x14ac:dyDescent="0.3">
      <c r="B11" s="384"/>
      <c r="C11" s="386"/>
      <c r="D11" s="389"/>
      <c r="E11" s="269"/>
      <c r="F11" s="269"/>
      <c r="G11" s="80"/>
      <c r="H11" s="81"/>
      <c r="I11" s="270"/>
      <c r="J11" s="271"/>
      <c r="K11" s="272"/>
      <c r="L11" s="273"/>
      <c r="M11" s="392"/>
      <c r="N11" s="257"/>
      <c r="O11" s="258"/>
      <c r="P11" s="230"/>
      <c r="Q11" s="230"/>
    </row>
    <row r="12" spans="2:17" ht="15.75" thickBot="1" x14ac:dyDescent="0.3">
      <c r="B12" s="384"/>
      <c r="C12" s="387"/>
      <c r="D12" s="390"/>
      <c r="E12" s="274"/>
      <c r="F12" s="274"/>
      <c r="G12" s="275"/>
      <c r="H12" s="276"/>
      <c r="I12" s="277"/>
      <c r="J12" s="278"/>
      <c r="K12" s="279"/>
      <c r="L12" s="280"/>
      <c r="M12" s="393"/>
      <c r="N12" s="257"/>
      <c r="O12" s="258"/>
      <c r="P12" s="230"/>
      <c r="Q12" s="230"/>
    </row>
    <row r="13" spans="2:17" ht="15.75" thickBot="1" x14ac:dyDescent="0.3">
      <c r="B13" s="384" t="s">
        <v>90</v>
      </c>
      <c r="C13" s="385"/>
      <c r="D13" s="388"/>
      <c r="E13" s="261"/>
      <c r="F13" s="261"/>
      <c r="G13" s="262"/>
      <c r="H13" s="263"/>
      <c r="I13" s="264"/>
      <c r="J13" s="265"/>
      <c r="K13" s="266"/>
      <c r="L13" s="267"/>
      <c r="M13" s="391"/>
      <c r="N13" s="257"/>
      <c r="O13" s="281"/>
      <c r="P13" s="230"/>
      <c r="Q13" s="230"/>
    </row>
    <row r="14" spans="2:17" ht="15.75" thickBot="1" x14ac:dyDescent="0.3">
      <c r="B14" s="384"/>
      <c r="C14" s="386"/>
      <c r="D14" s="389"/>
      <c r="E14" s="269"/>
      <c r="F14" s="269"/>
      <c r="G14" s="80"/>
      <c r="H14" s="81"/>
      <c r="I14" s="270"/>
      <c r="J14" s="271"/>
      <c r="K14" s="272"/>
      <c r="L14" s="273"/>
      <c r="M14" s="392"/>
      <c r="N14" s="282"/>
      <c r="O14" s="281"/>
      <c r="P14" s="230"/>
      <c r="Q14" s="230"/>
    </row>
    <row r="15" spans="2:17" ht="15.75" thickBot="1" x14ac:dyDescent="0.3">
      <c r="B15" s="384"/>
      <c r="C15" s="387"/>
      <c r="D15" s="390"/>
      <c r="E15" s="274"/>
      <c r="F15" s="274"/>
      <c r="G15" s="275"/>
      <c r="H15" s="276"/>
      <c r="I15" s="277"/>
      <c r="J15" s="278"/>
      <c r="K15" s="279"/>
      <c r="L15" s="280"/>
      <c r="M15" s="393"/>
      <c r="N15" s="282"/>
      <c r="O15" s="281"/>
      <c r="P15" s="230"/>
      <c r="Q15" s="230"/>
    </row>
    <row r="16" spans="2:17" ht="15.75" thickBot="1" x14ac:dyDescent="0.3">
      <c r="B16" s="384" t="s">
        <v>91</v>
      </c>
      <c r="C16" s="385"/>
      <c r="D16" s="388"/>
      <c r="E16" s="261"/>
      <c r="F16" s="261"/>
      <c r="G16" s="262"/>
      <c r="H16" s="263"/>
      <c r="I16" s="264"/>
      <c r="J16" s="265"/>
      <c r="K16" s="266"/>
      <c r="L16" s="267"/>
      <c r="M16" s="391"/>
      <c r="N16" s="282"/>
      <c r="O16" s="281"/>
      <c r="P16" s="230"/>
      <c r="Q16" s="230"/>
    </row>
    <row r="17" spans="2:17" ht="15.75" thickBot="1" x14ac:dyDescent="0.3">
      <c r="B17" s="384"/>
      <c r="C17" s="386"/>
      <c r="D17" s="389"/>
      <c r="E17" s="269"/>
      <c r="F17" s="269"/>
      <c r="G17" s="80"/>
      <c r="H17" s="81"/>
      <c r="I17" s="270"/>
      <c r="J17" s="271"/>
      <c r="K17" s="272"/>
      <c r="L17" s="273"/>
      <c r="M17" s="392"/>
      <c r="N17" s="282"/>
      <c r="O17" s="281"/>
      <c r="P17" s="230"/>
      <c r="Q17" s="230"/>
    </row>
    <row r="18" spans="2:17" ht="15.75" thickBot="1" x14ac:dyDescent="0.3">
      <c r="B18" s="384"/>
      <c r="C18" s="387"/>
      <c r="D18" s="390"/>
      <c r="E18" s="274"/>
      <c r="F18" s="274"/>
      <c r="G18" s="275"/>
      <c r="H18" s="276"/>
      <c r="I18" s="277"/>
      <c r="J18" s="278"/>
      <c r="K18" s="279"/>
      <c r="L18" s="280"/>
      <c r="M18" s="393"/>
      <c r="N18" s="282"/>
      <c r="O18" s="281"/>
      <c r="P18" s="230"/>
      <c r="Q18" s="230"/>
    </row>
    <row r="19" spans="2:17" ht="15.75" thickBot="1" x14ac:dyDescent="0.3">
      <c r="B19" s="384" t="s">
        <v>92</v>
      </c>
      <c r="C19" s="385"/>
      <c r="D19" s="388"/>
      <c r="E19" s="261"/>
      <c r="F19" s="261"/>
      <c r="G19" s="262"/>
      <c r="H19" s="263"/>
      <c r="I19" s="264"/>
      <c r="J19" s="265"/>
      <c r="K19" s="266"/>
      <c r="L19" s="267"/>
      <c r="M19" s="391"/>
      <c r="N19" s="282"/>
      <c r="O19" s="281"/>
      <c r="P19" s="230"/>
      <c r="Q19" s="230"/>
    </row>
    <row r="20" spans="2:17" ht="15.75" thickBot="1" x14ac:dyDescent="0.3">
      <c r="B20" s="384"/>
      <c r="C20" s="386"/>
      <c r="D20" s="389"/>
      <c r="E20" s="269"/>
      <c r="F20" s="269"/>
      <c r="G20" s="80"/>
      <c r="H20" s="81"/>
      <c r="I20" s="270"/>
      <c r="J20" s="271"/>
      <c r="K20" s="272"/>
      <c r="L20" s="273"/>
      <c r="M20" s="392"/>
      <c r="N20" s="282"/>
      <c r="O20" s="281"/>
      <c r="P20" s="230"/>
      <c r="Q20" s="230"/>
    </row>
    <row r="21" spans="2:17" ht="15.75" thickBot="1" x14ac:dyDescent="0.3">
      <c r="B21" s="384"/>
      <c r="C21" s="387"/>
      <c r="D21" s="390"/>
      <c r="E21" s="274"/>
      <c r="F21" s="274"/>
      <c r="G21" s="275"/>
      <c r="H21" s="276"/>
      <c r="I21" s="277"/>
      <c r="J21" s="278"/>
      <c r="K21" s="279"/>
      <c r="L21" s="280"/>
      <c r="M21" s="393"/>
      <c r="N21" s="282"/>
      <c r="O21" s="281"/>
      <c r="P21" s="230"/>
      <c r="Q21" s="230"/>
    </row>
    <row r="22" spans="2:17" ht="15.75" thickBot="1" x14ac:dyDescent="0.3">
      <c r="B22" s="384" t="s">
        <v>93</v>
      </c>
      <c r="C22" s="385"/>
      <c r="D22" s="388"/>
      <c r="E22" s="261"/>
      <c r="F22" s="261"/>
      <c r="G22" s="262"/>
      <c r="H22" s="263"/>
      <c r="I22" s="264"/>
      <c r="J22" s="265"/>
      <c r="K22" s="266"/>
      <c r="L22" s="267"/>
      <c r="M22" s="391"/>
      <c r="N22" s="257"/>
      <c r="O22" s="281"/>
      <c r="P22" s="230"/>
      <c r="Q22" s="230"/>
    </row>
    <row r="23" spans="2:17" ht="15.75" thickBot="1" x14ac:dyDescent="0.3">
      <c r="B23" s="384"/>
      <c r="C23" s="386"/>
      <c r="D23" s="389"/>
      <c r="E23" s="269"/>
      <c r="F23" s="269"/>
      <c r="G23" s="80"/>
      <c r="H23" s="81"/>
      <c r="I23" s="270"/>
      <c r="J23" s="271"/>
      <c r="K23" s="272"/>
      <c r="L23" s="273"/>
      <c r="M23" s="392"/>
      <c r="N23" s="282"/>
      <c r="O23" s="281"/>
      <c r="P23" s="230"/>
      <c r="Q23" s="230"/>
    </row>
    <row r="24" spans="2:17" ht="15.75" thickBot="1" x14ac:dyDescent="0.3">
      <c r="B24" s="384"/>
      <c r="C24" s="387"/>
      <c r="D24" s="390"/>
      <c r="E24" s="274"/>
      <c r="F24" s="274"/>
      <c r="G24" s="275"/>
      <c r="H24" s="276"/>
      <c r="I24" s="277"/>
      <c r="J24" s="278"/>
      <c r="K24" s="279"/>
      <c r="L24" s="280"/>
      <c r="M24" s="393"/>
      <c r="N24" s="282"/>
      <c r="O24" s="281"/>
      <c r="P24" s="230"/>
      <c r="Q24" s="230"/>
    </row>
    <row r="25" spans="2:17" ht="15.75" thickBot="1" x14ac:dyDescent="0.3">
      <c r="B25" s="384" t="s">
        <v>94</v>
      </c>
      <c r="C25" s="385"/>
      <c r="D25" s="388"/>
      <c r="E25" s="261"/>
      <c r="F25" s="261"/>
      <c r="G25" s="262"/>
      <c r="H25" s="263"/>
      <c r="I25" s="264"/>
      <c r="J25" s="265"/>
      <c r="K25" s="266"/>
      <c r="L25" s="267"/>
      <c r="M25" s="391"/>
      <c r="N25" s="282"/>
      <c r="O25" s="281"/>
      <c r="P25" s="230"/>
      <c r="Q25" s="230"/>
    </row>
    <row r="26" spans="2:17" ht="15.75" thickBot="1" x14ac:dyDescent="0.3">
      <c r="B26" s="384"/>
      <c r="C26" s="386"/>
      <c r="D26" s="389"/>
      <c r="E26" s="269"/>
      <c r="F26" s="269"/>
      <c r="G26" s="80"/>
      <c r="H26" s="81"/>
      <c r="I26" s="270"/>
      <c r="J26" s="271"/>
      <c r="K26" s="272"/>
      <c r="L26" s="273"/>
      <c r="M26" s="392"/>
      <c r="N26" s="282"/>
      <c r="O26" s="281"/>
      <c r="P26" s="230"/>
      <c r="Q26" s="230"/>
    </row>
    <row r="27" spans="2:17" ht="15.75" thickBot="1" x14ac:dyDescent="0.3">
      <c r="B27" s="384"/>
      <c r="C27" s="387"/>
      <c r="D27" s="390"/>
      <c r="E27" s="274"/>
      <c r="F27" s="274"/>
      <c r="G27" s="275"/>
      <c r="H27" s="276"/>
      <c r="I27" s="277"/>
      <c r="J27" s="278"/>
      <c r="K27" s="279"/>
      <c r="L27" s="280"/>
      <c r="M27" s="393"/>
      <c r="N27" s="282"/>
      <c r="O27" s="281"/>
      <c r="P27" s="230"/>
      <c r="Q27" s="230"/>
    </row>
    <row r="28" spans="2:17" ht="15.75" thickBot="1" x14ac:dyDescent="0.3">
      <c r="B28" s="384" t="s">
        <v>95</v>
      </c>
      <c r="C28" s="385"/>
      <c r="D28" s="388"/>
      <c r="E28" s="261"/>
      <c r="F28" s="261"/>
      <c r="G28" s="262"/>
      <c r="H28" s="263"/>
      <c r="I28" s="264"/>
      <c r="J28" s="265"/>
      <c r="K28" s="266"/>
      <c r="L28" s="267"/>
      <c r="M28" s="391"/>
      <c r="N28" s="282"/>
      <c r="O28" s="281"/>
      <c r="P28" s="230"/>
      <c r="Q28" s="230"/>
    </row>
    <row r="29" spans="2:17" ht="15.75" thickBot="1" x14ac:dyDescent="0.3">
      <c r="B29" s="384"/>
      <c r="C29" s="386"/>
      <c r="D29" s="389"/>
      <c r="E29" s="269"/>
      <c r="F29" s="269"/>
      <c r="G29" s="80"/>
      <c r="H29" s="81"/>
      <c r="I29" s="270"/>
      <c r="J29" s="271"/>
      <c r="K29" s="272"/>
      <c r="L29" s="273"/>
      <c r="M29" s="392"/>
      <c r="N29" s="282"/>
      <c r="O29" s="281"/>
      <c r="P29" s="230"/>
      <c r="Q29" s="230"/>
    </row>
    <row r="30" spans="2:17" ht="15.75" thickBot="1" x14ac:dyDescent="0.3">
      <c r="B30" s="384"/>
      <c r="C30" s="387"/>
      <c r="D30" s="390"/>
      <c r="E30" s="274"/>
      <c r="F30" s="274"/>
      <c r="G30" s="275"/>
      <c r="H30" s="276"/>
      <c r="I30" s="277"/>
      <c r="J30" s="278"/>
      <c r="K30" s="279"/>
      <c r="L30" s="280"/>
      <c r="M30" s="393"/>
      <c r="N30" s="282"/>
      <c r="O30" s="281"/>
      <c r="P30" s="230"/>
      <c r="Q30" s="230"/>
    </row>
    <row r="32" spans="2:17" x14ac:dyDescent="0.25">
      <c r="B32" s="283" t="s">
        <v>105</v>
      </c>
    </row>
    <row r="33" spans="2:15" x14ac:dyDescent="0.25">
      <c r="B33" s="283" t="s">
        <v>106</v>
      </c>
    </row>
    <row r="36" spans="2:15" x14ac:dyDescent="0.25">
      <c r="B36" s="394" t="s">
        <v>107</v>
      </c>
      <c r="C36" s="395"/>
      <c r="D36" s="395"/>
      <c r="E36" s="395"/>
      <c r="F36" s="395"/>
      <c r="G36" s="395"/>
      <c r="H36" s="395"/>
      <c r="I36" s="395"/>
      <c r="J36" s="396"/>
      <c r="K36" s="394" t="s">
        <v>108</v>
      </c>
      <c r="L36" s="395"/>
      <c r="M36" s="395"/>
      <c r="N36" s="333"/>
      <c r="O36" s="334"/>
    </row>
    <row r="37" spans="2:15" x14ac:dyDescent="0.25">
      <c r="B37" s="373"/>
      <c r="C37" s="374"/>
      <c r="D37" s="374"/>
      <c r="E37" s="374"/>
      <c r="F37" s="374"/>
      <c r="G37" s="374"/>
      <c r="H37" s="374"/>
      <c r="I37" s="374"/>
      <c r="J37" s="375"/>
      <c r="K37" s="382" t="s">
        <v>109</v>
      </c>
      <c r="L37" s="333"/>
      <c r="M37" s="334"/>
      <c r="N37" s="382" t="s">
        <v>110</v>
      </c>
      <c r="O37" s="383"/>
    </row>
    <row r="38" spans="2:15" x14ac:dyDescent="0.25">
      <c r="B38" s="376"/>
      <c r="C38" s="377"/>
      <c r="D38" s="377"/>
      <c r="E38" s="377"/>
      <c r="F38" s="377"/>
      <c r="G38" s="377"/>
      <c r="H38" s="377"/>
      <c r="I38" s="377"/>
      <c r="J38" s="378"/>
      <c r="K38" s="373"/>
      <c r="L38" s="374"/>
      <c r="M38" s="375"/>
      <c r="N38" s="373"/>
      <c r="O38" s="375"/>
    </row>
    <row r="39" spans="2:15" x14ac:dyDescent="0.25">
      <c r="B39" s="376"/>
      <c r="C39" s="377"/>
      <c r="D39" s="377"/>
      <c r="E39" s="377"/>
      <c r="F39" s="377"/>
      <c r="G39" s="377"/>
      <c r="H39" s="377"/>
      <c r="I39" s="377"/>
      <c r="J39" s="378"/>
      <c r="K39" s="376"/>
      <c r="L39" s="377"/>
      <c r="M39" s="378"/>
      <c r="N39" s="376"/>
      <c r="O39" s="378"/>
    </row>
    <row r="40" spans="2:15" x14ac:dyDescent="0.25">
      <c r="B40" s="376"/>
      <c r="C40" s="377"/>
      <c r="D40" s="377"/>
      <c r="E40" s="377"/>
      <c r="F40" s="377"/>
      <c r="G40" s="377"/>
      <c r="H40" s="377"/>
      <c r="I40" s="377"/>
      <c r="J40" s="378"/>
      <c r="K40" s="376"/>
      <c r="L40" s="377"/>
      <c r="M40" s="378"/>
      <c r="N40" s="376"/>
      <c r="O40" s="378"/>
    </row>
    <row r="41" spans="2:15" x14ac:dyDescent="0.25">
      <c r="B41" s="379"/>
      <c r="C41" s="380"/>
      <c r="D41" s="380"/>
      <c r="E41" s="380"/>
      <c r="F41" s="380"/>
      <c r="G41" s="380"/>
      <c r="H41" s="380"/>
      <c r="I41" s="380"/>
      <c r="J41" s="381"/>
      <c r="K41" s="379"/>
      <c r="L41" s="380"/>
      <c r="M41" s="381"/>
      <c r="N41" s="379"/>
      <c r="O41" s="381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50</v>
      </c>
      <c r="B1" s="56" t="s">
        <v>51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2025-07-24T14:38:54Z</dcterms:modified>
</cp:coreProperties>
</file>