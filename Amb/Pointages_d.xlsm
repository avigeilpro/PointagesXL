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G62" i="92" l="1"/>
  <c r="AC62" i="92"/>
  <c r="AG55" i="92" l="1"/>
  <c r="AG48" i="92"/>
  <c r="AG41" i="92"/>
  <c r="AG34" i="92"/>
  <c r="AG27" i="92"/>
  <c r="AC55" i="92"/>
  <c r="AC48" i="92"/>
  <c r="AC41" i="92"/>
  <c r="AC27" i="92"/>
  <c r="AC34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S38" i="93"/>
  <c r="AT38" i="93" s="1"/>
  <c r="AP38" i="93"/>
  <c r="AO38" i="93"/>
  <c r="AS37" i="93"/>
  <c r="AP37" i="93"/>
  <c r="AO37" i="93"/>
  <c r="AS36" i="93"/>
  <c r="AP36" i="93"/>
  <c r="AO36" i="93"/>
  <c r="AW35" i="93"/>
  <c r="AX35" i="93" s="1"/>
  <c r="AU35" i="93"/>
  <c r="AV35" i="93" s="1"/>
  <c r="AS35" i="93"/>
  <c r="AP35" i="93"/>
  <c r="AO35" i="93"/>
  <c r="AS34" i="93"/>
  <c r="AP34" i="93"/>
  <c r="AO34" i="93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S30" i="93"/>
  <c r="AT30" i="93" s="1"/>
  <c r="AP30" i="93"/>
  <c r="AO30" i="93"/>
  <c r="AS29" i="93"/>
  <c r="AT29" i="93" s="1"/>
  <c r="AP29" i="93"/>
  <c r="AO29" i="93"/>
  <c r="AS28" i="93"/>
  <c r="AT28" i="93" s="1"/>
  <c r="AP28" i="93"/>
  <c r="AO28" i="93"/>
  <c r="AS27" i="93"/>
  <c r="AT27" i="93" s="1"/>
  <c r="AU27" i="93" s="1"/>
  <c r="AV27" i="93" s="1"/>
  <c r="AP27" i="93"/>
  <c r="AO27" i="93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P23" i="93"/>
  <c r="AO23" i="93"/>
  <c r="AS22" i="93"/>
  <c r="AP22" i="93"/>
  <c r="AO22" i="93"/>
  <c r="AS21" i="93"/>
  <c r="AT21" i="93" s="1"/>
  <c r="AP21" i="93"/>
  <c r="AO21" i="93"/>
  <c r="AS20" i="93"/>
  <c r="AT20" i="93" s="1"/>
  <c r="AP20" i="93"/>
  <c r="AO20" i="93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S12" i="93"/>
  <c r="AT12" i="93" s="1"/>
  <c r="AU12" i="93" s="1"/>
  <c r="AV12" i="93" s="1"/>
  <c r="AP12" i="93"/>
  <c r="AO12" i="93"/>
  <c r="AW11" i="93"/>
  <c r="AX11" i="93" s="1"/>
  <c r="AU11" i="93"/>
  <c r="AV11" i="93" s="1"/>
  <c r="AS11" i="93"/>
  <c r="AT11" i="93" s="1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U8" i="93" s="1"/>
  <c r="AV8" i="93" s="1"/>
  <c r="AP8" i="93"/>
  <c r="AO8" i="93"/>
  <c r="AS7" i="93"/>
  <c r="AT7" i="93" s="1"/>
  <c r="AU7" i="93" s="1"/>
  <c r="AV7" i="93" s="1"/>
  <c r="AP7" i="93"/>
  <c r="AO7" i="93"/>
  <c r="AS6" i="93"/>
  <c r="AT6" i="93" s="1"/>
  <c r="AP6" i="93"/>
  <c r="AO6" i="93"/>
  <c r="AS5" i="93"/>
  <c r="AT5" i="93" s="1"/>
  <c r="AP5" i="93"/>
  <c r="AO5" i="93"/>
  <c r="AU33" i="93" l="1"/>
  <c r="AV33" i="93" s="1"/>
  <c r="AW33" i="93" s="1"/>
  <c r="AU19" i="93"/>
  <c r="AV19" i="93" s="1"/>
  <c r="AU26" i="93"/>
  <c r="AV26" i="93" s="1"/>
  <c r="AW26" i="93" s="1"/>
  <c r="AX26" i="93" s="1"/>
  <c r="AU30" i="93"/>
  <c r="AU38" i="93"/>
  <c r="AW19" i="93"/>
  <c r="AX19" i="93" s="1"/>
  <c r="AW27" i="93"/>
  <c r="AX27" i="93" s="1"/>
  <c r="AR27" i="93" s="1"/>
  <c r="AU21" i="93"/>
  <c r="AV21" i="93" s="1"/>
  <c r="AW21" i="93" s="1"/>
  <c r="AX21" i="93" s="1"/>
  <c r="AR21" i="93" s="1"/>
  <c r="AU29" i="93"/>
  <c r="AV29" i="93" s="1"/>
  <c r="AQ29" i="93" s="1"/>
  <c r="AW7" i="93"/>
  <c r="AX7" i="93" s="1"/>
  <c r="AW12" i="93"/>
  <c r="AX12" i="93" s="1"/>
  <c r="AU23" i="93"/>
  <c r="AV23" i="93" s="1"/>
  <c r="AQ23" i="93" s="1"/>
  <c r="AU20" i="93"/>
  <c r="AU28" i="93"/>
  <c r="AU10" i="93"/>
  <c r="AV10" i="93" s="1"/>
  <c r="AW10" i="93" s="1"/>
  <c r="AU5" i="93"/>
  <c r="AU6" i="93"/>
  <c r="AV6" i="93" s="1"/>
  <c r="AQ6" i="93" s="1"/>
  <c r="AU9" i="93"/>
  <c r="AV9" i="93" s="1"/>
  <c r="AQ9" i="93" s="1"/>
  <c r="AU13" i="93"/>
  <c r="AV13" i="93" s="1"/>
  <c r="AQ13" i="93" s="1"/>
  <c r="AW8" i="93"/>
  <c r="AX8" i="93" s="1"/>
  <c r="AR8" i="93" s="1"/>
  <c r="AU15" i="93"/>
  <c r="AV15" i="93" s="1"/>
  <c r="AQ15" i="93" s="1"/>
  <c r="AZ18" i="93"/>
  <c r="AQ17" i="93"/>
  <c r="AQ31" i="93"/>
  <c r="AQ11" i="93"/>
  <c r="AQ19" i="93"/>
  <c r="AZ25" i="93"/>
  <c r="AQ32" i="93"/>
  <c r="AQ12" i="93"/>
  <c r="AQ26" i="93"/>
  <c r="AQ27" i="93"/>
  <c r="AR12" i="93"/>
  <c r="AQ8" i="93"/>
  <c r="AZ24" i="93"/>
  <c r="AQ35" i="93"/>
  <c r="AR7" i="93"/>
  <c r="AR35" i="93"/>
  <c r="AQ18" i="93"/>
  <c r="AQ33" i="93"/>
  <c r="AZ8" i="93"/>
  <c r="AT14" i="93"/>
  <c r="BL37" i="93"/>
  <c r="AT39" i="93"/>
  <c r="AZ39" i="93" s="1"/>
  <c r="AR17" i="93"/>
  <c r="AR18" i="93"/>
  <c r="AT22" i="93"/>
  <c r="AU22" i="93" s="1"/>
  <c r="AV22" i="93" s="1"/>
  <c r="AQ22" i="93" s="1"/>
  <c r="AQ25" i="93"/>
  <c r="AR31" i="93"/>
  <c r="AQ24" i="93"/>
  <c r="AR25" i="93"/>
  <c r="AZ12" i="93"/>
  <c r="BL28" i="93"/>
  <c r="BL16" i="93"/>
  <c r="BL22" i="93"/>
  <c r="BL29" i="93"/>
  <c r="AT36" i="93"/>
  <c r="BL10" i="93"/>
  <c r="AR11" i="93"/>
  <c r="BL17" i="93"/>
  <c r="AR24" i="93"/>
  <c r="AZ26" i="93"/>
  <c r="AT32" i="93"/>
  <c r="AZ32" i="93" s="1"/>
  <c r="BL24" i="93"/>
  <c r="BL30" i="93"/>
  <c r="BL35" i="93"/>
  <c r="BL12" i="93"/>
  <c r="BL18" i="93"/>
  <c r="AR19" i="93"/>
  <c r="BL25" i="93"/>
  <c r="AR26" i="93"/>
  <c r="AR32" i="93"/>
  <c r="AT34" i="93"/>
  <c r="AT37" i="93"/>
  <c r="AU37" i="93" s="1"/>
  <c r="AV37" i="93" s="1"/>
  <c r="AQ37" i="93" s="1"/>
  <c r="BL5" i="93"/>
  <c r="AZ7" i="93"/>
  <c r="BL32" i="93"/>
  <c r="BL39" i="93"/>
  <c r="AT16" i="93"/>
  <c r="BL20" i="93"/>
  <c r="BL26" i="93"/>
  <c r="BL33" i="93"/>
  <c r="BL7" i="93"/>
  <c r="BL14" i="93"/>
  <c r="AZ17" i="93"/>
  <c r="BL21" i="93"/>
  <c r="BA24" i="93"/>
  <c r="AT35" i="93"/>
  <c r="BA11" i="93"/>
  <c r="BA19" i="93"/>
  <c r="BA31" i="93"/>
  <c r="BL6" i="93"/>
  <c r="BL8" i="93"/>
  <c r="BL9" i="93"/>
  <c r="AZ11" i="93"/>
  <c r="BL13" i="93"/>
  <c r="AZ19" i="93"/>
  <c r="AZ27" i="93"/>
  <c r="AZ31" i="93"/>
  <c r="AT40" i="93"/>
  <c r="AZ40" i="93" s="1"/>
  <c r="AQ7" i="93"/>
  <c r="BA7" i="93" s="1"/>
  <c r="BA17" i="93"/>
  <c r="BA25" i="93"/>
  <c r="BL38" i="93"/>
  <c r="AP40" i="93"/>
  <c r="Y40" i="93"/>
  <c r="Z40" i="93" s="1"/>
  <c r="AT42" i="93"/>
  <c r="AZ42" i="93" s="1"/>
  <c r="BL11" i="93"/>
  <c r="BL15" i="93"/>
  <c r="BL19" i="93"/>
  <c r="BL23" i="93"/>
  <c r="BL27" i="93"/>
  <c r="BL31" i="93"/>
  <c r="BL34" i="93"/>
  <c r="BL36" i="93"/>
  <c r="BA18" i="93"/>
  <c r="BA26" i="93"/>
  <c r="AP42" i="93"/>
  <c r="Y42" i="93"/>
  <c r="Z42" i="93" s="1"/>
  <c r="AS41" i="93"/>
  <c r="BB43" i="93"/>
  <c r="W41" i="93"/>
  <c r="X41" i="93" s="1"/>
  <c r="AU41" i="93"/>
  <c r="AV41" i="93" s="1"/>
  <c r="AQ21" i="93" l="1"/>
  <c r="AX33" i="93"/>
  <c r="AR33" i="93" s="1"/>
  <c r="BA33" i="93" s="1"/>
  <c r="AZ33" i="93"/>
  <c r="AQ10" i="93"/>
  <c r="AW23" i="93"/>
  <c r="BA27" i="93"/>
  <c r="BA21" i="93"/>
  <c r="BA12" i="93"/>
  <c r="AV38" i="93"/>
  <c r="AW38" i="93" s="1"/>
  <c r="AZ21" i="93"/>
  <c r="AV20" i="93"/>
  <c r="AW37" i="93"/>
  <c r="AX37" i="93" s="1"/>
  <c r="AR37" i="93" s="1"/>
  <c r="AY37" i="93" s="1"/>
  <c r="AV28" i="93"/>
  <c r="AW28" i="93" s="1"/>
  <c r="AX28" i="93" s="1"/>
  <c r="AR28" i="93" s="1"/>
  <c r="AU34" i="93"/>
  <c r="AW22" i="93"/>
  <c r="AX22" i="93" s="1"/>
  <c r="AR22" i="93" s="1"/>
  <c r="AV30" i="93"/>
  <c r="AQ30" i="93" s="1"/>
  <c r="AW29" i="93"/>
  <c r="AU16" i="93"/>
  <c r="AU36" i="93"/>
  <c r="AX10" i="93"/>
  <c r="AR10" i="93" s="1"/>
  <c r="AY10" i="93" s="1"/>
  <c r="AZ10" i="93"/>
  <c r="AW9" i="93"/>
  <c r="AZ9" i="93"/>
  <c r="AV5" i="93"/>
  <c r="AW5" i="93" s="1"/>
  <c r="AX5" i="93" s="1"/>
  <c r="AR5" i="93" s="1"/>
  <c r="AW6" i="93"/>
  <c r="AW13" i="93"/>
  <c r="BA8" i="93"/>
  <c r="BA40" i="93"/>
  <c r="AY31" i="93"/>
  <c r="AU14" i="93"/>
  <c r="BA39" i="93"/>
  <c r="AY17" i="93"/>
  <c r="AY7" i="93"/>
  <c r="AW15" i="93"/>
  <c r="AY12" i="93"/>
  <c r="AY18" i="93"/>
  <c r="AY19" i="93"/>
  <c r="AY21" i="93"/>
  <c r="AY24" i="93"/>
  <c r="AY26" i="93"/>
  <c r="AY35" i="93"/>
  <c r="AY32" i="93"/>
  <c r="AY39" i="93"/>
  <c r="AZ35" i="93"/>
  <c r="AY8" i="93"/>
  <c r="AY11" i="93"/>
  <c r="AY27" i="93"/>
  <c r="AY33" i="93"/>
  <c r="AY25" i="93"/>
  <c r="AY22" i="93"/>
  <c r="BA37" i="93"/>
  <c r="BA35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W30" i="93" l="1"/>
  <c r="AX30" i="93" s="1"/>
  <c r="AR30" i="93" s="1"/>
  <c r="AY30" i="93" s="1"/>
  <c r="AX23" i="93"/>
  <c r="AZ23" i="93"/>
  <c r="BA30" i="93"/>
  <c r="AX38" i="93"/>
  <c r="AR38" i="93" s="1"/>
  <c r="BA38" i="93"/>
  <c r="AV16" i="93"/>
  <c r="AW16" i="93" s="1"/>
  <c r="AQ20" i="93"/>
  <c r="AX29" i="93"/>
  <c r="AR29" i="93" s="1"/>
  <c r="AY29" i="93" s="1"/>
  <c r="AZ29" i="93"/>
  <c r="AZ22" i="93"/>
  <c r="BA28" i="93"/>
  <c r="AQ28" i="93"/>
  <c r="AY28" i="93" s="1"/>
  <c r="BA22" i="93"/>
  <c r="BA10" i="93"/>
  <c r="AZ37" i="93"/>
  <c r="AQ38" i="93"/>
  <c r="AZ38" i="93"/>
  <c r="AV36" i="93"/>
  <c r="AW36" i="93" s="1"/>
  <c r="AX36" i="93" s="1"/>
  <c r="AR36" i="93" s="1"/>
  <c r="AV34" i="93"/>
  <c r="AW34" i="93" s="1"/>
  <c r="AX34" i="93" s="1"/>
  <c r="AR34" i="93" s="1"/>
  <c r="AW20" i="93"/>
  <c r="AX20" i="93" s="1"/>
  <c r="AR20" i="93" s="1"/>
  <c r="AZ28" i="93"/>
  <c r="AX6" i="93"/>
  <c r="AR6" i="93" s="1"/>
  <c r="AY6" i="93" s="1"/>
  <c r="AZ6" i="93"/>
  <c r="AZ5" i="93"/>
  <c r="AQ5" i="93"/>
  <c r="AX9" i="93"/>
  <c r="AR9" i="93" s="1"/>
  <c r="AY9" i="93" s="1"/>
  <c r="BA9" i="93"/>
  <c r="AX13" i="93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29" i="93" l="1"/>
  <c r="AZ30" i="93"/>
  <c r="AY38" i="93"/>
  <c r="AR23" i="93"/>
  <c r="AY23" i="93" s="1"/>
  <c r="BA23" i="93"/>
  <c r="BA15" i="93"/>
  <c r="AX16" i="93"/>
  <c r="AR16" i="93" s="1"/>
  <c r="AZ16" i="93"/>
  <c r="AZ20" i="93"/>
  <c r="AQ34" i="93"/>
  <c r="AY34" i="93" s="1"/>
  <c r="AZ34" i="93"/>
  <c r="BA34" i="93"/>
  <c r="AY20" i="93"/>
  <c r="BA6" i="93"/>
  <c r="AQ36" i="93"/>
  <c r="AY36" i="93" s="1"/>
  <c r="BA36" i="93"/>
  <c r="AZ36" i="93"/>
  <c r="BA20" i="93"/>
  <c r="AQ16" i="93"/>
  <c r="BA16" i="93"/>
  <c r="BA5" i="93"/>
  <c r="AY5" i="93"/>
  <c r="AZ14" i="93"/>
  <c r="BA13" i="93"/>
  <c r="AQ14" i="93"/>
  <c r="AY14" i="93" s="1"/>
  <c r="BA14" i="93"/>
  <c r="AE40" i="93"/>
  <c r="AF40" i="93" s="1"/>
  <c r="BE43" i="93"/>
  <c r="AC41" i="93"/>
  <c r="AD41" i="93" s="1"/>
  <c r="AR41" i="93"/>
  <c r="AY41" i="93" s="1"/>
  <c r="AE42" i="93"/>
  <c r="AF42" i="93" s="1"/>
  <c r="AY16" i="93" l="1"/>
  <c r="AY43" i="93" s="1"/>
  <c r="AZ43" i="93"/>
  <c r="BA43" i="93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X27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X56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Y56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X57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Y57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X59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Y59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X60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Y60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X61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  <comment ref="Y61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<sst xmlns="http://schemas.openxmlformats.org/spreadsheetml/2006/main" count="266" uniqueCount="153">
  <si>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</si>
  <si>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</si>
  <si>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</si>
  <si>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</si>
  <si>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</si>
  <si>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</si>
  <si>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</si>
  <si>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</si>
  <si>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</si>
  <si>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</si>
  <si>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</si>
  <si>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</si>
  <si>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</si>
  <si>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</si>
  <si>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</si>
  <si>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</si>
  <si>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</si>
  <si>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</si>
  <si>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</si>
  <si>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</si>
  <si>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</si>
  <si>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</si>
  <si>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</si>
  <si>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</si>
  <si>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</si>
  <si>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</si>
  <si>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</si>
  <si>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</si>
  <si>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</si>
  <si>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</si>
  <si>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</si>
  <si>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</si>
  <si>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</si>
  <si>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</si>
  <si>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</si>
  <si>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</si>
  <si>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</si>
  <si>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</si>
  <si>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</si>
  <si>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</si>
  <si>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</si>
  <si>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</si>
  <si>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</si>
  <si>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</si>
  <si>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</si>
  <si>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</si>
  <si>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</si>
  <si>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</si>
  <si>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</si>
  <si>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</si>
  <si>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</si>
  <si>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</si>
  <si>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</si>
  <si>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</si>
  <si>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</si>
  <si>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</si>
  <si>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</si>
  <si>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</si>
  <si>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</si>
  <si>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</si>
  <si>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</si>
  <si>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</si>
  <si>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</si>
  <si>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</si>
  <si>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</si>
  <si>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</si>
  <si>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</si>
  <si>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</si>
  <si>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</si>
  <si>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</si>
  <si>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</si>
  <si>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</si>
  <si>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</si>
  <si>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</si>
  <si>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</si>
  <si>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</si>
  <si>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</si>
  <si>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</si>
  <si>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</si>
  <si>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</si>
  <si>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</si>
  <si>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</si>
  <si>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</si>
  <si>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</si>
  <si>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</si>
  <si>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</si>
  <si>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</si>
  <si>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</si>
  <si>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</si>
  <si>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</si>
  <si>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</si>
  <si>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</si>
  <si>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</si>
  <si>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</si>
  <si>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</si>
  <si>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</si>
  <si>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</si>
  <si>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</si>
  <si>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</si>
  <si>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</si>
  <si>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</si>
  <si>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</si>
  <si>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</si>
  <si>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</si>
  <si>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</si>
  <si>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</si>
  <si>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</si>
  <si>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</si>
  <si>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</si>
  <si>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</si>
  <si>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</si>
  <si>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</si>
  <si>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</si>
  <si>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</si>
  <si>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</si>
  <si>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</si>
  <si>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</si>
  <si>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</si>
  <si>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</si>
  <si>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</si>
  <si>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</si>
  <si>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</si>
  <si>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</si>
  <si>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</si>
  <si>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</si>
  <si>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</si>
  <si>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</si>
  <si>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</si>
  <si>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</si>
  <si>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</si>
  <si>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</si>
  <si>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</si>
  <si>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</si>
  <si>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</si>
  <si>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</si>
  <si>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</si>
  <si>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</si>
  <si>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</si>
  <si>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</si>
  <si>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</si>
  <si>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</si>
  <si>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</si>
  <si>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</si>
  <si>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</si>
  <si>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</si>
  <si>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</si>
  <si>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</si>
  <si>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</si>
  <si>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</si>
  <si>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$P$9</t>
  </si>
  <si>
    <t>Aucune semaine selectionnée</t>
  </si>
  <si>
    <t>2025.9.1</t>
  </si>
  <si>
    <t>Décembre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</si>
</sst>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8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6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17" xfId="0" applyFill="1" applyBorder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13" fillId="0" borderId="0" xfId="0" applyFont="1" applyFill="1" applyBorder="1"/>
    <xf numFmtId="0" fontId="13" fillId="0" borderId="19" xfId="0" applyFont="1" applyFill="1" applyBorder="1"/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0" fontId="0" fillId="0" borderId="171" xfId="0" applyBorder="1"/>
    <xf numFmtId="0" fontId="0" fillId="0" borderId="170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166" fontId="16" fillId="14" borderId="55" xfId="0" applyNumberFormat="1" applyFont="1" applyFill="1" applyBorder="1" applyAlignment="1" applyProtection="1">
      <alignment horizontal="right"/>
      <protection locked="0"/>
    </xf>
    <xf numFmtId="166" fontId="16" fillId="14" borderId="56" xfId="0" applyNumberFormat="1" applyFont="1" applyFill="1" applyBorder="1" applyAlignment="1" applyProtection="1">
      <alignment horizontal="right"/>
      <protection locked="0"/>
    </xf>
    <xf numFmtId="166" fontId="16" fillId="14" borderId="103" xfId="0" applyNumberFormat="1" applyFont="1" applyFill="1" applyBorder="1" applyAlignment="1" applyProtection="1">
      <alignment horizontal="right"/>
      <protection locked="0"/>
    </xf>
    <xf numFmtId="166" fontId="16" fillId="14" borderId="59" xfId="0" applyNumberFormat="1" applyFont="1" applyFill="1" applyBorder="1" applyAlignment="1" applyProtection="1">
      <alignment horizontal="right"/>
      <protection locked="0"/>
    </xf>
    <xf numFmtId="0" fontId="13" fillId="14" borderId="60" xfId="0" applyFont="1" applyFill="1" applyBorder="1" applyAlignment="1">
      <alignment horizontal="right"/>
    </xf>
    <xf numFmtId="0" fontId="13" fillId="14" borderId="63" xfId="0" applyFont="1" applyFill="1" applyBorder="1" applyAlignment="1">
      <alignment horizontal="right"/>
    </xf>
    <xf numFmtId="0" fontId="13" fillId="14" borderId="62" xfId="0" applyFont="1" applyFill="1" applyBorder="1" applyAlignment="1">
      <alignment horizontal="right"/>
    </xf>
    <xf numFmtId="0" fontId="3" fillId="0" borderId="177" xfId="0" applyFont="1" applyFill="1" applyBorder="1"/>
    <xf numFmtId="14" fontId="3" fillId="0" borderId="178" xfId="0" applyNumberFormat="1" applyFont="1" applyFill="1" applyBorder="1"/>
    <xf numFmtId="20" fontId="3" fillId="0" borderId="178" xfId="0" applyNumberFormat="1" applyFont="1" applyFill="1" applyBorder="1"/>
    <xf numFmtId="0" fontId="3" fillId="0" borderId="178" xfId="0" applyFont="1" applyFill="1" applyBorder="1"/>
    <xf numFmtId="0" fontId="3" fillId="0" borderId="179" xfId="0" applyFont="1" applyFill="1" applyBorder="1"/>
    <xf numFmtId="0" fontId="3" fillId="0" borderId="180" xfId="0" applyFont="1" applyFill="1" applyBorder="1"/>
    <xf numFmtId="0" fontId="3" fillId="0" borderId="181" xfId="0" applyFont="1" applyFill="1" applyBorder="1"/>
    <xf numFmtId="20" fontId="3" fillId="0" borderId="181" xfId="0" applyNumberFormat="1" applyFont="1" applyFill="1" applyBorder="1"/>
    <xf numFmtId="0" fontId="3" fillId="0" borderId="182" xfId="0" applyFont="1" applyFill="1" applyBorder="1"/>
    <xf numFmtId="0" fontId="8" fillId="0" borderId="172" xfId="0" applyFont="1" applyFill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9" xfId="0" applyBorder="1" applyAlignment="1">
      <alignment horizontal="center"/>
    </xf>
    <xf numFmtId="0" fontId="26" fillId="0" borderId="167" xfId="0" applyFont="1" applyFill="1" applyBorder="1" applyAlignment="1">
      <alignment horizontal="center"/>
    </xf>
    <xf numFmtId="0" fontId="26" fillId="0" borderId="168" xfId="0" applyFont="1" applyFill="1" applyBorder="1" applyAlignment="1">
      <alignment horizontal="center"/>
    </xf>
    <xf numFmtId="0" fontId="26" fillId="0" borderId="170" xfId="0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166" fontId="8" fillId="14" borderId="132" xfId="0" applyNumberFormat="1" applyFont="1" applyFill="1" applyBorder="1" applyAlignment="1">
      <alignment horizontal="center"/>
    </xf>
    <xf numFmtId="166" fontId="8" fillId="14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24" fillId="14" borderId="64" xfId="0" applyNumberFormat="1" applyFont="1" applyFill="1" applyBorder="1" applyAlignment="1">
      <alignment horizont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E172-4474-9B5C-604DA4468BFA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72-4474-9B5C-604DA4468BFA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E172-4474-9B5C-604DA4468BFA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E172-4474-9B5C-604DA4468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171450</xdr:rowOff>
        </xdr:from>
        <xdr:to>
          <xdr:col>8</xdr:col>
          <xdr:colOff>419100</xdr:colOff>
          <xdr:row>25</xdr:row>
          <xdr:rowOff>152400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N96"/>
  <sheetViews>
    <sheetView showZeros="0" tabSelected="1" workbookViewId="0">
      <selection activeCell="AK11" sqref="AK11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7" customWidth="1"/>
    <col min="27" max="37" width="6.140625" style="24" customWidth="1"/>
    <col min="38" max="45" width="6" style="24" customWidth="1"/>
    <col min="46" max="52" width="11.42578125" style="24"/>
    <col min="53" max="53" width="11.42578125" style="24" customWidth="1"/>
    <col min="54" max="16384" width="11.42578125" style="24"/>
  </cols>
  <sheetData>
    <row r="1" spans="3:38" ht="16.5" thickBot="1" x14ac:dyDescent="0.3">
      <c r="M1" s="125"/>
      <c r="N1" s="375" t="s">
        <v>152</v>
      </c>
      <c r="O1" s="375"/>
      <c r="P1" s="375"/>
      <c r="Q1" s="125"/>
      <c r="S1" s="375">
        <v>2025</v>
      </c>
      <c r="T1" s="375"/>
      <c r="X1" s="24" t="s">
        <v>75</v>
      </c>
      <c r="AA1" s="343"/>
      <c r="AB1" s="343"/>
      <c r="AC1" s="26"/>
    </row>
    <row r="2" spans="3:38" ht="15.75" thickBot="1" x14ac:dyDescent="0.3">
      <c r="E2" s="376" t="s">
        <v>76</v>
      </c>
      <c r="F2" s="377"/>
      <c r="G2" s="378"/>
    </row>
    <row r="4" spans="3:38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223"/>
      <c r="AD4" s="128"/>
      <c r="AE4" s="128"/>
      <c r="AF4" s="128"/>
      <c r="AG4" s="128"/>
      <c r="AH4" s="227"/>
      <c r="AI4" s="128"/>
      <c r="AJ4" s="128"/>
      <c r="AK4" s="128"/>
      <c r="AL4" s="128"/>
    </row>
    <row r="5" spans="3:38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223"/>
      <c r="AD5" s="128"/>
      <c r="AE5" s="128"/>
      <c r="AF5" s="128"/>
      <c r="AG5" s="128"/>
      <c r="AH5" s="227"/>
      <c r="AI5" s="128"/>
      <c r="AJ5" s="128"/>
      <c r="AK5" s="128"/>
      <c r="AL5" s="128"/>
    </row>
    <row r="6" spans="3:38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9"/>
      <c r="AB6" s="129"/>
      <c r="AC6" s="225"/>
      <c r="AD6" s="129"/>
      <c r="AE6" s="129"/>
      <c r="AF6" s="129"/>
      <c r="AG6" s="129"/>
      <c r="AH6" s="227"/>
      <c r="AI6" s="128"/>
      <c r="AJ6" s="128"/>
      <c r="AK6" s="129"/>
      <c r="AL6" s="129"/>
    </row>
    <row r="7" spans="3:38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9"/>
      <c r="AB7" s="129"/>
      <c r="AC7" s="225"/>
      <c r="AD7" s="129"/>
      <c r="AE7" s="129"/>
      <c r="AF7" s="129"/>
      <c r="AG7" s="129"/>
      <c r="AH7" s="227"/>
      <c r="AI7" s="128"/>
      <c r="AJ7" s="128"/>
      <c r="AK7" s="129"/>
      <c r="AL7" s="129"/>
    </row>
    <row r="8" spans="3:38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9"/>
      <c r="AB8" s="129"/>
      <c r="AC8" s="225"/>
      <c r="AD8" s="129"/>
      <c r="AE8" s="129"/>
      <c r="AF8" s="129"/>
      <c r="AG8" s="129"/>
      <c r="AH8" s="227"/>
      <c r="AI8" s="128"/>
      <c r="AJ8" s="128"/>
      <c r="AK8" s="129"/>
      <c r="AL8" s="129"/>
    </row>
    <row r="9" spans="3:38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9"/>
      <c r="AB9" s="129"/>
      <c r="AC9" s="225"/>
      <c r="AD9" s="129"/>
      <c r="AE9" s="129"/>
      <c r="AF9" s="129"/>
      <c r="AG9" s="129"/>
      <c r="AH9" s="227"/>
      <c r="AI9" s="128"/>
      <c r="AJ9" s="128"/>
      <c r="AK9" s="129"/>
      <c r="AL9" s="129"/>
    </row>
    <row r="10" spans="3:38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9"/>
      <c r="AB10" s="129"/>
      <c r="AC10" s="225"/>
      <c r="AD10" s="129"/>
      <c r="AE10" s="129"/>
      <c r="AF10" s="129"/>
      <c r="AG10" s="129"/>
      <c r="AH10" s="227"/>
      <c r="AI10" s="128"/>
      <c r="AJ10" s="128"/>
      <c r="AK10" s="129"/>
      <c r="AL10" s="129"/>
    </row>
    <row r="11" spans="3:38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9"/>
      <c r="AB11" s="129"/>
      <c r="AC11" s="225"/>
      <c r="AD11" s="129"/>
      <c r="AE11" s="129"/>
      <c r="AF11" s="129"/>
      <c r="AG11" s="129"/>
      <c r="AH11" s="227"/>
      <c r="AI11" s="128"/>
      <c r="AJ11" s="128"/>
      <c r="AK11" s="129"/>
      <c r="AL11" s="129"/>
    </row>
    <row r="12" spans="3:38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7"/>
      <c r="AF12" s="227"/>
      <c r="AG12" s="227"/>
      <c r="AH12" s="227"/>
      <c r="AI12" s="227"/>
      <c r="AJ12" s="227"/>
      <c r="AK12" s="227"/>
      <c r="AL12" s="227"/>
    </row>
    <row r="13" spans="3:38" s="43" customFormat="1" ht="15" hidden="1" customHeight="1" x14ac:dyDescent="0.25">
      <c r="C13" s="296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223"/>
      <c r="AD13" s="128"/>
      <c r="AE13" s="128"/>
      <c r="AF13" s="128"/>
      <c r="AG13" s="128"/>
      <c r="AH13" s="227"/>
      <c r="AI13" s="128"/>
      <c r="AJ13" s="128"/>
      <c r="AK13" s="128"/>
      <c r="AL13" s="128"/>
    </row>
    <row r="14" spans="3:38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223"/>
      <c r="AD14" s="128"/>
      <c r="AE14" s="128"/>
      <c r="AF14" s="128"/>
      <c r="AG14" s="128"/>
      <c r="AH14" s="227"/>
      <c r="AI14" s="128"/>
      <c r="AJ14" s="128"/>
      <c r="AK14" s="128"/>
      <c r="AL14" s="128"/>
    </row>
    <row r="15" spans="3:38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9"/>
      <c r="AB15" s="129"/>
      <c r="AC15" s="225"/>
      <c r="AD15" s="129"/>
      <c r="AE15" s="129"/>
      <c r="AF15" s="129"/>
      <c r="AG15" s="129"/>
      <c r="AH15" s="227"/>
      <c r="AI15" s="128"/>
      <c r="AJ15" s="128"/>
      <c r="AK15" s="129"/>
      <c r="AL15" s="129"/>
    </row>
    <row r="16" spans="3:38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9"/>
      <c r="AB16" s="129"/>
      <c r="AC16" s="129"/>
      <c r="AD16" s="129"/>
      <c r="AE16" s="129"/>
      <c r="AF16" s="129"/>
      <c r="AG16" s="129"/>
      <c r="AH16" s="227"/>
      <c r="AI16" s="128"/>
      <c r="AJ16" s="128"/>
      <c r="AK16" s="129"/>
      <c r="AL16" s="129"/>
    </row>
    <row r="17" spans="2:38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9"/>
      <c r="AB17" s="129"/>
      <c r="AC17" s="129"/>
      <c r="AD17" s="129"/>
      <c r="AE17" s="129"/>
      <c r="AF17" s="129"/>
      <c r="AG17" s="129"/>
      <c r="AH17" s="227"/>
      <c r="AI17" s="128"/>
      <c r="AJ17" s="128"/>
      <c r="AK17" s="129"/>
      <c r="AL17" s="129"/>
    </row>
    <row r="18" spans="2:38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9"/>
      <c r="AB18" s="129"/>
      <c r="AC18" s="129"/>
      <c r="AD18" s="129"/>
      <c r="AE18" s="129"/>
      <c r="AF18" s="129"/>
      <c r="AG18" s="129"/>
      <c r="AH18" s="227"/>
      <c r="AI18" s="128"/>
      <c r="AJ18" s="128"/>
      <c r="AK18" s="129"/>
      <c r="AL18" s="129"/>
    </row>
    <row r="19" spans="2:38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9"/>
      <c r="AB19" s="129"/>
      <c r="AC19" s="129"/>
      <c r="AD19" s="129"/>
      <c r="AE19" s="129"/>
      <c r="AF19" s="129"/>
      <c r="AG19" s="129"/>
      <c r="AH19" s="227"/>
      <c r="AI19" s="128"/>
      <c r="AJ19" s="128"/>
      <c r="AK19" s="129"/>
      <c r="AL19" s="129"/>
    </row>
    <row r="20" spans="2:38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9"/>
      <c r="AB20" s="129"/>
      <c r="AC20" s="129"/>
      <c r="AD20" s="129"/>
      <c r="AE20" s="129"/>
      <c r="AF20" s="129"/>
      <c r="AG20" s="129"/>
      <c r="AH20" s="227"/>
      <c r="AI20" s="128"/>
      <c r="AJ20" s="128"/>
      <c r="AK20" s="129"/>
      <c r="AL20" s="129"/>
    </row>
    <row r="21" spans="2:38" x14ac:dyDescent="0.25">
      <c r="C21" s="127"/>
    </row>
    <row r="22" spans="2:38" ht="15.75" thickBot="1" x14ac:dyDescent="0.3">
      <c r="C22" s="127"/>
    </row>
    <row r="23" spans="2:38" ht="19.5" thickBot="1" x14ac:dyDescent="0.35">
      <c r="C23" s="127"/>
      <c r="I23" s="379"/>
      <c r="J23" s="380"/>
      <c r="K23" s="380"/>
      <c r="L23" s="380"/>
      <c r="M23" s="380"/>
      <c r="N23" s="381"/>
      <c r="Q23" s="226"/>
      <c r="R23" s="382" t="s">
        <v>77</v>
      </c>
      <c r="S23" s="363"/>
      <c r="T23" s="363"/>
      <c r="U23" s="363"/>
      <c r="V23" s="364"/>
    </row>
    <row r="24" spans="2:38" ht="15.75" thickBot="1" x14ac:dyDescent="0.3">
      <c r="B24" s="383" t="s">
        <v>78</v>
      </c>
      <c r="C24" s="384"/>
      <c r="D24" s="384"/>
      <c r="E24" s="384"/>
      <c r="F24" s="384"/>
      <c r="G24" s="384"/>
      <c r="H24" s="384"/>
      <c r="I24" s="385"/>
      <c r="J24" s="385"/>
      <c r="K24" s="385"/>
      <c r="L24" s="385"/>
      <c r="M24" s="385"/>
      <c r="N24" s="385"/>
      <c r="O24" s="384"/>
      <c r="P24" s="384"/>
      <c r="Q24" s="385"/>
      <c r="R24" s="384"/>
      <c r="S24" s="384"/>
      <c r="T24" s="384"/>
      <c r="U24" s="384"/>
      <c r="V24" s="384"/>
      <c r="W24" s="386"/>
      <c r="X24" s="130"/>
      <c r="Y24" s="130"/>
      <c r="Z24" s="130"/>
      <c r="AA24" s="131"/>
      <c r="AB24" s="131"/>
      <c r="AC24" s="131"/>
      <c r="AD24" s="132"/>
    </row>
    <row r="25" spans="2:38" ht="15.75" thickBot="1" x14ac:dyDescent="0.3">
      <c r="B25" s="133"/>
      <c r="C25" s="134"/>
      <c r="D25" s="387">
        <v>1</v>
      </c>
      <c r="E25" s="387"/>
      <c r="F25" s="387">
        <v>2</v>
      </c>
      <c r="G25" s="387"/>
      <c r="H25" s="387">
        <v>3</v>
      </c>
      <c r="I25" s="387"/>
      <c r="J25" s="387">
        <v>4</v>
      </c>
      <c r="K25" s="387"/>
      <c r="L25" s="387">
        <v>5</v>
      </c>
      <c r="M25" s="373"/>
      <c r="N25" s="373">
        <v>6</v>
      </c>
      <c r="O25" s="374"/>
      <c r="P25" s="373">
        <v>7</v>
      </c>
      <c r="Q25" s="374"/>
      <c r="R25" s="373">
        <v>8</v>
      </c>
      <c r="S25" s="374"/>
      <c r="T25" s="373">
        <v>9</v>
      </c>
      <c r="U25" s="374"/>
      <c r="V25" s="373">
        <v>10</v>
      </c>
      <c r="W25" s="372"/>
      <c r="X25" s="344" t="s">
        <v>113</v>
      </c>
      <c r="Y25" s="345"/>
      <c r="Z25" s="346"/>
      <c r="AA25" s="135"/>
      <c r="AB25" s="135"/>
      <c r="AC25" s="135"/>
      <c r="AD25" s="135"/>
    </row>
    <row r="26" spans="2:38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5" t="s">
        <v>79</v>
      </c>
      <c r="Y26" s="256" t="s">
        <v>107</v>
      </c>
      <c r="Z26" s="263" t="s">
        <v>114</v>
      </c>
      <c r="AA26" s="371" t="s">
        <v>103</v>
      </c>
      <c r="AB26" s="372"/>
      <c r="AC26" s="371" t="s">
        <v>104</v>
      </c>
      <c r="AD26" s="372"/>
      <c r="AE26" s="361" t="s">
        <v>105</v>
      </c>
      <c r="AF26" s="361"/>
      <c r="AG26" s="361" t="s">
        <v>106</v>
      </c>
      <c r="AH26" s="361"/>
    </row>
    <row r="27" spans="2:38" ht="14.1" customHeight="1" x14ac:dyDescent="0.25">
      <c r="B27" s="175" t="s">
        <v>80</v>
      </c>
      <c r="C27" s="176">
        <v>45985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7"/>
      <c r="Z27" s="178"/>
      <c r="AA27" s="335"/>
      <c r="AB27" s="336"/>
      <c r="AC27" s="347" t="str">
        <f>TRUNC(SUM(AA27:AA33)*24,0) &amp; "h" &amp; RIGHT("00"&amp;ROUND(((SUM(AA27:AA33)*24)-TRUNC(SUM(AA27:AA33)*24,0))*60,2),2)</f>
        <v>0h00</v>
      </c>
      <c r="AD27" s="348"/>
      <c r="AE27" s="365"/>
      <c r="AF27" s="365"/>
      <c r="AG27" s="347" t="str">
        <f>TRUNC(SUM(AE27:AE33)*24,0) &amp; "h" &amp; RIGHT("00"&amp;ROUND(((SUM(AE27:AE33)*24)-TRUNC(SUM(AE27:AE33)*24,0))*60,2),2)</f>
        <v>0h00</v>
      </c>
      <c r="AH27" s="348"/>
    </row>
    <row r="28" spans="2:38" ht="14.1" customHeight="1" x14ac:dyDescent="0.25">
      <c r="B28" s="139" t="s">
        <v>81</v>
      </c>
      <c r="C28" s="140">
        <v>45986</v>
      </c>
      <c r="D28" s="265"/>
      <c r="E28" s="266"/>
      <c r="F28" s="265"/>
      <c r="G28" s="266"/>
      <c r="H28" s="265"/>
      <c r="I28" s="266"/>
      <c r="J28" s="265"/>
      <c r="K28" s="266"/>
      <c r="L28" s="265"/>
      <c r="M28" s="266"/>
      <c r="N28" s="267"/>
      <c r="O28" s="266"/>
      <c r="P28" s="265"/>
      <c r="Q28" s="266"/>
      <c r="R28" s="265"/>
      <c r="S28" s="266"/>
      <c r="T28" s="265"/>
      <c r="U28" s="266"/>
      <c r="V28" s="265"/>
      <c r="W28" s="268"/>
      <c r="X28" s="269"/>
      <c r="Y28" s="270"/>
      <c r="Z28" s="271"/>
      <c r="AA28" s="331"/>
      <c r="AB28" s="332"/>
      <c r="AC28" s="349"/>
      <c r="AD28" s="350"/>
      <c r="AE28" s="328"/>
      <c r="AF28" s="328"/>
      <c r="AG28" s="349"/>
      <c r="AH28" s="350"/>
    </row>
    <row r="29" spans="2:38" ht="14.1" customHeight="1" x14ac:dyDescent="0.25">
      <c r="B29" s="139" t="s">
        <v>82</v>
      </c>
      <c r="C29" s="140">
        <v>45987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8"/>
      <c r="Z29" s="152"/>
      <c r="AA29" s="333"/>
      <c r="AB29" s="334"/>
      <c r="AC29" s="351"/>
      <c r="AD29" s="352"/>
      <c r="AE29" s="359"/>
      <c r="AF29" s="359"/>
      <c r="AG29" s="351"/>
      <c r="AH29" s="352"/>
    </row>
    <row r="30" spans="2:38" ht="14.1" customHeight="1" x14ac:dyDescent="0.25">
      <c r="B30" s="139" t="s">
        <v>83</v>
      </c>
      <c r="C30" s="140">
        <v>45988</v>
      </c>
      <c r="D30" s="272"/>
      <c r="E30" s="273"/>
      <c r="F30" s="272"/>
      <c r="G30" s="273"/>
      <c r="H30" s="272"/>
      <c r="I30" s="273"/>
      <c r="J30" s="272"/>
      <c r="K30" s="273"/>
      <c r="L30" s="272"/>
      <c r="M30" s="273"/>
      <c r="N30" s="274"/>
      <c r="O30" s="273"/>
      <c r="P30" s="272"/>
      <c r="Q30" s="273"/>
      <c r="R30" s="272"/>
      <c r="S30" s="273"/>
      <c r="T30" s="272"/>
      <c r="U30" s="273"/>
      <c r="V30" s="272"/>
      <c r="W30" s="275"/>
      <c r="X30" s="276"/>
      <c r="Y30" s="277"/>
      <c r="Z30" s="278"/>
      <c r="AA30" s="331"/>
      <c r="AB30" s="332"/>
      <c r="AC30" s="349"/>
      <c r="AD30" s="350"/>
      <c r="AE30" s="328"/>
      <c r="AF30" s="328"/>
      <c r="AG30" s="349"/>
      <c r="AH30" s="350"/>
    </row>
    <row r="31" spans="2:38" ht="14.1" customHeight="1" x14ac:dyDescent="0.25">
      <c r="B31" s="139" t="s">
        <v>84</v>
      </c>
      <c r="C31" s="140">
        <v>45989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8"/>
      <c r="Z31" s="152"/>
      <c r="AA31" s="333"/>
      <c r="AB31" s="334"/>
      <c r="AC31" s="351"/>
      <c r="AD31" s="352"/>
      <c r="AE31" s="359"/>
      <c r="AF31" s="359"/>
      <c r="AG31" s="351"/>
      <c r="AH31" s="352"/>
    </row>
    <row r="32" spans="2:38" ht="14.1" customHeight="1" x14ac:dyDescent="0.25">
      <c r="B32" s="139" t="s">
        <v>85</v>
      </c>
      <c r="C32" s="140">
        <v>45990</v>
      </c>
      <c r="D32" s="272"/>
      <c r="E32" s="273"/>
      <c r="F32" s="272"/>
      <c r="G32" s="273"/>
      <c r="H32" s="272"/>
      <c r="I32" s="273"/>
      <c r="J32" s="272"/>
      <c r="K32" s="273"/>
      <c r="L32" s="272"/>
      <c r="M32" s="273"/>
      <c r="N32" s="274"/>
      <c r="O32" s="273"/>
      <c r="P32" s="272"/>
      <c r="Q32" s="273"/>
      <c r="R32" s="272"/>
      <c r="S32" s="273"/>
      <c r="T32" s="272"/>
      <c r="U32" s="273"/>
      <c r="V32" s="272"/>
      <c r="W32" s="275"/>
      <c r="X32" s="276"/>
      <c r="Y32" s="277"/>
      <c r="Z32" s="278"/>
      <c r="AA32" s="331"/>
      <c r="AB32" s="332"/>
      <c r="AC32" s="349"/>
      <c r="AD32" s="350"/>
      <c r="AE32" s="328"/>
      <c r="AF32" s="328"/>
      <c r="AG32" s="349"/>
      <c r="AH32" s="350"/>
    </row>
    <row r="33" spans="2:40" ht="14.1" customHeight="1" x14ac:dyDescent="0.25">
      <c r="B33" s="163" t="s">
        <v>86</v>
      </c>
      <c r="C33" s="164">
        <v>45991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9"/>
      <c r="Z33" s="174"/>
      <c r="AA33" s="337"/>
      <c r="AB33" s="338"/>
      <c r="AC33" s="353"/>
      <c r="AD33" s="354"/>
      <c r="AE33" s="359"/>
      <c r="AF33" s="359"/>
      <c r="AG33" s="353"/>
      <c r="AH33" s="354"/>
      <c r="AI33" s="238"/>
      <c r="AJ33" s="238"/>
      <c r="AK33" s="238"/>
      <c r="AL33" s="238"/>
      <c r="AM33" s="238"/>
      <c r="AN33" s="238"/>
    </row>
    <row r="34" spans="2:40" ht="14.1" customHeight="1" x14ac:dyDescent="0.25">
      <c r="B34" s="139" t="s">
        <v>80</v>
      </c>
      <c r="C34" s="140">
        <v>45992</v>
      </c>
      <c r="D34" s="265"/>
      <c r="E34" s="266"/>
      <c r="F34" s="265"/>
      <c r="G34" s="266"/>
      <c r="H34" s="265"/>
      <c r="I34" s="266"/>
      <c r="J34" s="265"/>
      <c r="K34" s="266"/>
      <c r="L34" s="265"/>
      <c r="M34" s="266"/>
      <c r="N34" s="267"/>
      <c r="O34" s="266"/>
      <c r="P34" s="265"/>
      <c r="Q34" s="266"/>
      <c r="R34" s="265"/>
      <c r="S34" s="266"/>
      <c r="T34" s="265"/>
      <c r="U34" s="266"/>
      <c r="V34" s="265"/>
      <c r="W34" s="268"/>
      <c r="X34" s="269"/>
      <c r="Y34" s="270"/>
      <c r="Z34" s="271"/>
      <c r="AA34" s="339"/>
      <c r="AB34" s="340"/>
      <c r="AC34" s="355" t="str">
        <f>TRUNC(SUM(AA34:AA40)*24,0) &amp; "h" &amp; RIGHT("00"&amp;ROUND(((SUM(AA34:AA40)*24)-TRUNC(SUM(AA34:AA40)*24,0))*60,2),2)</f>
        <v>0h00</v>
      </c>
      <c r="AD34" s="356"/>
      <c r="AE34" s="328"/>
      <c r="AF34" s="328"/>
      <c r="AG34" s="355" t="str">
        <f>TRUNC(SUM(AE34:AE40)*24,0) &amp; "h" &amp; RIGHT("00"&amp;ROUND(((SUM(AE34:AE40)*24)-TRUNC(SUM(AE34:AE40)*24,0))*60,2),2)</f>
        <v>0h00</v>
      </c>
      <c r="AH34" s="356"/>
      <c r="AI34" s="239"/>
      <c r="AJ34" s="239"/>
      <c r="AK34" s="239"/>
      <c r="AL34" s="239"/>
      <c r="AM34" s="239"/>
      <c r="AN34" s="238"/>
    </row>
    <row r="35" spans="2:40" ht="14.1" customHeight="1" x14ac:dyDescent="0.25">
      <c r="B35" s="139" t="s">
        <v>81</v>
      </c>
      <c r="C35" s="140">
        <v>45993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8"/>
      <c r="Z35" s="152"/>
      <c r="AA35" s="333"/>
      <c r="AB35" s="334"/>
      <c r="AC35" s="351"/>
      <c r="AD35" s="352"/>
      <c r="AE35" s="359"/>
      <c r="AF35" s="359"/>
      <c r="AG35" s="351"/>
      <c r="AH35" s="352"/>
      <c r="AI35" s="238"/>
      <c r="AJ35" s="240"/>
      <c r="AK35" s="238"/>
      <c r="AL35" s="238"/>
      <c r="AM35" s="238"/>
      <c r="AN35" s="238"/>
    </row>
    <row r="36" spans="2:40" ht="14.1" customHeight="1" x14ac:dyDescent="0.25">
      <c r="B36" s="139" t="s">
        <v>82</v>
      </c>
      <c r="C36" s="140">
        <v>45994</v>
      </c>
      <c r="D36" s="272"/>
      <c r="E36" s="273"/>
      <c r="F36" s="272"/>
      <c r="G36" s="273"/>
      <c r="H36" s="272"/>
      <c r="I36" s="273"/>
      <c r="J36" s="272"/>
      <c r="K36" s="273"/>
      <c r="L36" s="272"/>
      <c r="M36" s="273"/>
      <c r="N36" s="274"/>
      <c r="O36" s="273"/>
      <c r="P36" s="272"/>
      <c r="Q36" s="273"/>
      <c r="R36" s="272"/>
      <c r="S36" s="273"/>
      <c r="T36" s="272"/>
      <c r="U36" s="273"/>
      <c r="V36" s="272"/>
      <c r="W36" s="275"/>
      <c r="X36" s="276"/>
      <c r="Y36" s="277"/>
      <c r="Z36" s="278"/>
      <c r="AA36" s="331"/>
      <c r="AB36" s="332"/>
      <c r="AC36" s="349"/>
      <c r="AD36" s="350"/>
      <c r="AE36" s="328"/>
      <c r="AF36" s="328"/>
      <c r="AG36" s="349"/>
      <c r="AH36" s="350"/>
      <c r="AI36" s="239"/>
      <c r="AJ36" s="239"/>
      <c r="AK36" s="239"/>
      <c r="AL36" s="239"/>
      <c r="AM36" s="239"/>
      <c r="AN36" s="238"/>
    </row>
    <row r="37" spans="2:40" ht="14.1" customHeight="1" x14ac:dyDescent="0.25">
      <c r="B37" s="139" t="s">
        <v>83</v>
      </c>
      <c r="C37" s="140">
        <v>45995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8"/>
      <c r="Z37" s="152"/>
      <c r="AA37" s="333"/>
      <c r="AB37" s="334"/>
      <c r="AC37" s="351"/>
      <c r="AD37" s="352"/>
      <c r="AE37" s="359"/>
      <c r="AF37" s="359"/>
      <c r="AG37" s="351"/>
      <c r="AH37" s="352"/>
      <c r="AI37" s="238"/>
      <c r="AJ37" s="238"/>
      <c r="AK37" s="238"/>
      <c r="AL37" s="238"/>
      <c r="AM37" s="238"/>
      <c r="AN37" s="238"/>
    </row>
    <row r="38" spans="2:40" ht="14.1" customHeight="1" x14ac:dyDescent="0.25">
      <c r="B38" s="139" t="s">
        <v>84</v>
      </c>
      <c r="C38" s="140">
        <v>45996</v>
      </c>
      <c r="D38" s="279"/>
      <c r="E38" s="280"/>
      <c r="F38" s="279"/>
      <c r="G38" s="280"/>
      <c r="H38" s="279"/>
      <c r="I38" s="280"/>
      <c r="J38" s="279"/>
      <c r="K38" s="280"/>
      <c r="L38" s="279"/>
      <c r="M38" s="280"/>
      <c r="N38" s="281"/>
      <c r="O38" s="280"/>
      <c r="P38" s="279"/>
      <c r="Q38" s="280"/>
      <c r="R38" s="279"/>
      <c r="S38" s="280"/>
      <c r="T38" s="279"/>
      <c r="U38" s="280"/>
      <c r="V38" s="279"/>
      <c r="W38" s="282"/>
      <c r="X38" s="283"/>
      <c r="Y38" s="284"/>
      <c r="Z38" s="285"/>
      <c r="AA38" s="331"/>
      <c r="AB38" s="332"/>
      <c r="AC38" s="349"/>
      <c r="AD38" s="350"/>
      <c r="AE38" s="328"/>
      <c r="AF38" s="328"/>
      <c r="AG38" s="349"/>
      <c r="AH38" s="350"/>
      <c r="AI38" s="238"/>
      <c r="AJ38" s="238"/>
      <c r="AK38" s="238"/>
      <c r="AL38" s="238"/>
      <c r="AM38" s="238"/>
      <c r="AN38" s="238"/>
    </row>
    <row r="39" spans="2:40" ht="14.1" customHeight="1" x14ac:dyDescent="0.25">
      <c r="B39" s="139" t="s">
        <v>85</v>
      </c>
      <c r="C39" s="140">
        <v>45997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60"/>
      <c r="Z39" s="162"/>
      <c r="AA39" s="333"/>
      <c r="AB39" s="334"/>
      <c r="AC39" s="351"/>
      <c r="AD39" s="352"/>
      <c r="AE39" s="359"/>
      <c r="AF39" s="359"/>
      <c r="AG39" s="351"/>
      <c r="AH39" s="352"/>
      <c r="AI39" s="238"/>
      <c r="AJ39" s="238"/>
      <c r="AK39" s="238"/>
      <c r="AL39" s="238"/>
      <c r="AM39" s="238"/>
      <c r="AN39" s="238"/>
    </row>
    <row r="40" spans="2:40" ht="14.1" customHeight="1" x14ac:dyDescent="0.25">
      <c r="B40" s="163" t="s">
        <v>86</v>
      </c>
      <c r="C40" s="164">
        <v>45998</v>
      </c>
      <c r="D40" s="286"/>
      <c r="E40" s="287"/>
      <c r="F40" s="286"/>
      <c r="G40" s="287"/>
      <c r="H40" s="286"/>
      <c r="I40" s="287"/>
      <c r="J40" s="286"/>
      <c r="K40" s="287"/>
      <c r="L40" s="286"/>
      <c r="M40" s="287"/>
      <c r="N40" s="288"/>
      <c r="O40" s="287"/>
      <c r="P40" s="286"/>
      <c r="Q40" s="287"/>
      <c r="R40" s="286"/>
      <c r="S40" s="287"/>
      <c r="T40" s="286"/>
      <c r="U40" s="287"/>
      <c r="V40" s="286"/>
      <c r="W40" s="289"/>
      <c r="X40" s="290"/>
      <c r="Y40" s="291"/>
      <c r="Z40" s="292"/>
      <c r="AA40" s="369"/>
      <c r="AB40" s="370"/>
      <c r="AC40" s="357"/>
      <c r="AD40" s="358"/>
      <c r="AE40" s="328"/>
      <c r="AF40" s="328"/>
      <c r="AG40" s="357"/>
      <c r="AH40" s="358"/>
      <c r="AI40" s="238"/>
      <c r="AJ40" s="238"/>
      <c r="AK40" s="238"/>
      <c r="AL40" s="238"/>
      <c r="AM40" s="238"/>
      <c r="AN40" s="238"/>
    </row>
    <row r="41" spans="2:40" ht="14.1" customHeight="1" x14ac:dyDescent="0.25">
      <c r="B41" s="183" t="s">
        <v>80</v>
      </c>
      <c r="C41" s="184">
        <v>45999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61"/>
      <c r="Z41" s="190"/>
      <c r="AA41" s="341"/>
      <c r="AB41" s="342"/>
      <c r="AC41" s="347" t="str">
        <f>TRUNC(SUM(AA41:AA47)*24,0) &amp; "h" &amp; RIGHT("00"&amp;ROUND(((SUM(AA41:AA47)*24)-TRUNC(SUM(AA41:AA47)*24,0))*60,2),2)</f>
        <v>0h00</v>
      </c>
      <c r="AD41" s="348"/>
      <c r="AE41" s="359"/>
      <c r="AF41" s="359"/>
      <c r="AG41" s="347" t="str">
        <f>TRUNC(SUM(AE41:AE47)*24,0) &amp; "h" &amp; RIGHT("00"&amp;ROUND(((SUM(AE41:AE47)*24)-TRUNC(SUM(AE41:AE47)*24,0))*60,2),2)</f>
        <v>0h00</v>
      </c>
      <c r="AH41" s="348"/>
      <c r="AI41" s="238"/>
      <c r="AJ41" s="238"/>
      <c r="AK41" s="238"/>
      <c r="AL41" s="238"/>
      <c r="AM41" s="238"/>
      <c r="AN41" s="238"/>
    </row>
    <row r="42" spans="2:40" ht="14.1" customHeight="1" x14ac:dyDescent="0.25">
      <c r="B42" s="139" t="s">
        <v>81</v>
      </c>
      <c r="C42" s="140">
        <v>46000</v>
      </c>
      <c r="D42" s="265"/>
      <c r="E42" s="266"/>
      <c r="F42" s="265"/>
      <c r="G42" s="266"/>
      <c r="H42" s="265"/>
      <c r="I42" s="266"/>
      <c r="J42" s="265"/>
      <c r="K42" s="266"/>
      <c r="L42" s="265"/>
      <c r="M42" s="266"/>
      <c r="N42" s="267"/>
      <c r="O42" s="266"/>
      <c r="P42" s="265"/>
      <c r="Q42" s="266"/>
      <c r="R42" s="265"/>
      <c r="S42" s="266"/>
      <c r="T42" s="265"/>
      <c r="U42" s="266"/>
      <c r="V42" s="265"/>
      <c r="W42" s="268"/>
      <c r="X42" s="269"/>
      <c r="Y42" s="270"/>
      <c r="Z42" s="271"/>
      <c r="AA42" s="331"/>
      <c r="AB42" s="332"/>
      <c r="AC42" s="349"/>
      <c r="AD42" s="350"/>
      <c r="AE42" s="328"/>
      <c r="AF42" s="328"/>
      <c r="AG42" s="349"/>
      <c r="AH42" s="350"/>
      <c r="AI42" s="238"/>
      <c r="AJ42" s="238"/>
      <c r="AK42" s="238"/>
      <c r="AL42" s="238"/>
      <c r="AM42" s="238"/>
      <c r="AN42" s="238"/>
    </row>
    <row r="43" spans="2:40" ht="14.1" customHeight="1" x14ac:dyDescent="0.25">
      <c r="B43" s="139" t="s">
        <v>82</v>
      </c>
      <c r="C43" s="140">
        <v>46001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8"/>
      <c r="Z43" s="152"/>
      <c r="AA43" s="333"/>
      <c r="AB43" s="334"/>
      <c r="AC43" s="351"/>
      <c r="AD43" s="352"/>
      <c r="AE43" s="359"/>
      <c r="AF43" s="359"/>
      <c r="AG43" s="351"/>
      <c r="AH43" s="352"/>
      <c r="AI43" s="238"/>
      <c r="AJ43" s="238"/>
      <c r="AK43" s="238"/>
      <c r="AL43" s="238"/>
      <c r="AM43" s="238"/>
      <c r="AN43" s="238"/>
    </row>
    <row r="44" spans="2:40" ht="14.1" customHeight="1" x14ac:dyDescent="0.25">
      <c r="B44" s="139" t="s">
        <v>83</v>
      </c>
      <c r="C44" s="140">
        <v>46002</v>
      </c>
      <c r="D44" s="272"/>
      <c r="E44" s="273"/>
      <c r="F44" s="272"/>
      <c r="G44" s="273"/>
      <c r="H44" s="272"/>
      <c r="I44" s="273"/>
      <c r="J44" s="272"/>
      <c r="K44" s="273"/>
      <c r="L44" s="272"/>
      <c r="M44" s="273"/>
      <c r="N44" s="274"/>
      <c r="O44" s="273"/>
      <c r="P44" s="272"/>
      <c r="Q44" s="273"/>
      <c r="R44" s="272"/>
      <c r="S44" s="273"/>
      <c r="T44" s="272"/>
      <c r="U44" s="273"/>
      <c r="V44" s="272"/>
      <c r="W44" s="275"/>
      <c r="X44" s="276"/>
      <c r="Y44" s="277"/>
      <c r="Z44" s="278"/>
      <c r="AA44" s="331"/>
      <c r="AB44" s="332"/>
      <c r="AC44" s="349"/>
      <c r="AD44" s="350"/>
      <c r="AE44" s="328"/>
      <c r="AF44" s="328"/>
      <c r="AG44" s="349"/>
      <c r="AH44" s="350"/>
      <c r="AI44" s="238"/>
      <c r="AJ44" s="238"/>
      <c r="AK44" s="238"/>
      <c r="AL44" s="238"/>
      <c r="AM44" s="238"/>
      <c r="AN44" s="238"/>
    </row>
    <row r="45" spans="2:40" ht="14.1" customHeight="1" x14ac:dyDescent="0.25">
      <c r="B45" s="139" t="s">
        <v>84</v>
      </c>
      <c r="C45" s="140">
        <v>46003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8"/>
      <c r="Z45" s="152"/>
      <c r="AA45" s="333"/>
      <c r="AB45" s="334"/>
      <c r="AC45" s="351"/>
      <c r="AD45" s="352"/>
      <c r="AE45" s="359"/>
      <c r="AF45" s="359"/>
      <c r="AG45" s="351"/>
      <c r="AH45" s="352"/>
      <c r="AI45" s="238"/>
      <c r="AJ45" s="238"/>
      <c r="AK45" s="238"/>
      <c r="AL45" s="238"/>
      <c r="AM45" s="238"/>
      <c r="AN45" s="238"/>
    </row>
    <row r="46" spans="2:40" ht="14.1" customHeight="1" x14ac:dyDescent="0.25">
      <c r="B46" s="139" t="s">
        <v>85</v>
      </c>
      <c r="C46" s="140">
        <v>46004</v>
      </c>
      <c r="D46" s="272"/>
      <c r="E46" s="273"/>
      <c r="F46" s="272"/>
      <c r="G46" s="273"/>
      <c r="H46" s="272"/>
      <c r="I46" s="273"/>
      <c r="J46" s="272"/>
      <c r="K46" s="273"/>
      <c r="L46" s="272"/>
      <c r="M46" s="273"/>
      <c r="N46" s="274"/>
      <c r="O46" s="273"/>
      <c r="P46" s="272"/>
      <c r="Q46" s="273"/>
      <c r="R46" s="272"/>
      <c r="S46" s="273"/>
      <c r="T46" s="272"/>
      <c r="U46" s="273"/>
      <c r="V46" s="272"/>
      <c r="W46" s="275"/>
      <c r="X46" s="276"/>
      <c r="Y46" s="277"/>
      <c r="Z46" s="278"/>
      <c r="AA46" s="331"/>
      <c r="AB46" s="332"/>
      <c r="AC46" s="349"/>
      <c r="AD46" s="350"/>
      <c r="AE46" s="328"/>
      <c r="AF46" s="328"/>
      <c r="AG46" s="349"/>
      <c r="AH46" s="350"/>
    </row>
    <row r="47" spans="2:40" ht="14.1" customHeight="1" x14ac:dyDescent="0.25">
      <c r="B47" s="163" t="s">
        <v>86</v>
      </c>
      <c r="C47" s="164">
        <v>46005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9"/>
      <c r="Z47" s="174"/>
      <c r="AA47" s="337"/>
      <c r="AB47" s="338"/>
      <c r="AC47" s="353"/>
      <c r="AD47" s="354"/>
      <c r="AE47" s="359"/>
      <c r="AF47" s="359"/>
      <c r="AG47" s="353"/>
      <c r="AH47" s="354"/>
    </row>
    <row r="48" spans="2:40" ht="14.1" customHeight="1" x14ac:dyDescent="0.25">
      <c r="B48" s="139" t="s">
        <v>80</v>
      </c>
      <c r="C48" s="140">
        <v>46006</v>
      </c>
      <c r="D48" s="265"/>
      <c r="E48" s="266"/>
      <c r="F48" s="265"/>
      <c r="G48" s="266"/>
      <c r="H48" s="265"/>
      <c r="I48" s="266"/>
      <c r="J48" s="265"/>
      <c r="K48" s="266"/>
      <c r="L48" s="265"/>
      <c r="M48" s="266"/>
      <c r="N48" s="267"/>
      <c r="O48" s="266"/>
      <c r="P48" s="265"/>
      <c r="Q48" s="266"/>
      <c r="R48" s="265"/>
      <c r="S48" s="266"/>
      <c r="T48" s="265"/>
      <c r="U48" s="266"/>
      <c r="V48" s="265"/>
      <c r="W48" s="268"/>
      <c r="X48" s="269"/>
      <c r="Y48" s="270"/>
      <c r="Z48" s="271"/>
      <c r="AA48" s="339"/>
      <c r="AB48" s="340"/>
      <c r="AC48" s="355" t="str">
        <f>TRUNC(SUM(AA48:AA54)*24,0) &amp; "h" &amp; RIGHT("00"&amp;ROUND(((SUM(AA48:AA54)*24)-TRUNC(SUM(AA48:AA54)*24,0))*60,2),2)</f>
        <v>0h00</v>
      </c>
      <c r="AD48" s="356"/>
      <c r="AE48" s="328"/>
      <c r="AF48" s="328"/>
      <c r="AG48" s="355" t="str">
        <f>TRUNC(SUM(AE48:AE54)*24,0) &amp; "h" &amp; RIGHT("00"&amp;ROUND(((SUM(AE48:AE54)*24)-TRUNC(SUM(AE48:AE54)*24,0))*60,2),2)</f>
        <v>0h00</v>
      </c>
      <c r="AH48" s="356"/>
    </row>
    <row r="49" spans="2:34" ht="14.1" customHeight="1" x14ac:dyDescent="0.25">
      <c r="B49" s="139" t="s">
        <v>81</v>
      </c>
      <c r="C49" s="140">
        <v>46007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8"/>
      <c r="Z49" s="152"/>
      <c r="AA49" s="333"/>
      <c r="AB49" s="334"/>
      <c r="AC49" s="351"/>
      <c r="AD49" s="352"/>
      <c r="AE49" s="359"/>
      <c r="AF49" s="359"/>
      <c r="AG49" s="351"/>
      <c r="AH49" s="352"/>
    </row>
    <row r="50" spans="2:34" ht="14.1" customHeight="1" x14ac:dyDescent="0.25">
      <c r="B50" s="139" t="s">
        <v>82</v>
      </c>
      <c r="C50" s="140">
        <v>46008</v>
      </c>
      <c r="D50" s="272"/>
      <c r="E50" s="273"/>
      <c r="F50" s="272"/>
      <c r="G50" s="273"/>
      <c r="H50" s="272"/>
      <c r="I50" s="273"/>
      <c r="J50" s="272"/>
      <c r="K50" s="273"/>
      <c r="L50" s="272"/>
      <c r="M50" s="273"/>
      <c r="N50" s="274"/>
      <c r="O50" s="273"/>
      <c r="P50" s="272"/>
      <c r="Q50" s="273"/>
      <c r="R50" s="272"/>
      <c r="S50" s="273"/>
      <c r="T50" s="272"/>
      <c r="U50" s="273"/>
      <c r="V50" s="272"/>
      <c r="W50" s="275"/>
      <c r="X50" s="276"/>
      <c r="Y50" s="277"/>
      <c r="Z50" s="278"/>
      <c r="AA50" s="331"/>
      <c r="AB50" s="332"/>
      <c r="AC50" s="349"/>
      <c r="AD50" s="350"/>
      <c r="AE50" s="328"/>
      <c r="AF50" s="328"/>
      <c r="AG50" s="349"/>
      <c r="AH50" s="350"/>
    </row>
    <row r="51" spans="2:34" ht="14.1" customHeight="1" x14ac:dyDescent="0.25">
      <c r="B51" s="139" t="s">
        <v>83</v>
      </c>
      <c r="C51" s="140">
        <v>46009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8"/>
      <c r="Z51" s="152"/>
      <c r="AA51" s="333"/>
      <c r="AB51" s="334"/>
      <c r="AC51" s="351"/>
      <c r="AD51" s="352"/>
      <c r="AE51" s="359"/>
      <c r="AF51" s="359"/>
      <c r="AG51" s="351"/>
      <c r="AH51" s="352"/>
    </row>
    <row r="52" spans="2:34" ht="14.1" customHeight="1" x14ac:dyDescent="0.25">
      <c r="B52" s="139" t="s">
        <v>84</v>
      </c>
      <c r="C52" s="140">
        <v>46010</v>
      </c>
      <c r="D52" s="279"/>
      <c r="E52" s="280"/>
      <c r="F52" s="279"/>
      <c r="G52" s="280"/>
      <c r="H52" s="279"/>
      <c r="I52" s="280"/>
      <c r="J52" s="279"/>
      <c r="K52" s="280"/>
      <c r="L52" s="279"/>
      <c r="M52" s="280"/>
      <c r="N52" s="281"/>
      <c r="O52" s="280"/>
      <c r="P52" s="279"/>
      <c r="Q52" s="280"/>
      <c r="R52" s="279"/>
      <c r="S52" s="280"/>
      <c r="T52" s="279"/>
      <c r="U52" s="280"/>
      <c r="V52" s="279"/>
      <c r="W52" s="282"/>
      <c r="X52" s="283"/>
      <c r="Y52" s="284"/>
      <c r="Z52" s="285"/>
      <c r="AA52" s="331"/>
      <c r="AB52" s="332"/>
      <c r="AC52" s="349"/>
      <c r="AD52" s="350"/>
      <c r="AE52" s="328"/>
      <c r="AF52" s="328"/>
      <c r="AG52" s="349"/>
      <c r="AH52" s="350"/>
    </row>
    <row r="53" spans="2:34" ht="14.1" customHeight="1" x14ac:dyDescent="0.25">
      <c r="B53" s="139" t="s">
        <v>85</v>
      </c>
      <c r="C53" s="140">
        <v>46011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60"/>
      <c r="Z53" s="162"/>
      <c r="AA53" s="333"/>
      <c r="AB53" s="334"/>
      <c r="AC53" s="351"/>
      <c r="AD53" s="352"/>
      <c r="AE53" s="359"/>
      <c r="AF53" s="359"/>
      <c r="AG53" s="351"/>
      <c r="AH53" s="352"/>
    </row>
    <row r="54" spans="2:34" ht="14.1" customHeight="1" x14ac:dyDescent="0.25">
      <c r="B54" s="163" t="s">
        <v>86</v>
      </c>
      <c r="C54" s="164">
        <v>46012</v>
      </c>
      <c r="D54" s="286"/>
      <c r="E54" s="287"/>
      <c r="F54" s="286"/>
      <c r="G54" s="287"/>
      <c r="H54" s="286"/>
      <c r="I54" s="287"/>
      <c r="J54" s="286"/>
      <c r="K54" s="287"/>
      <c r="L54" s="286"/>
      <c r="M54" s="287"/>
      <c r="N54" s="288"/>
      <c r="O54" s="287"/>
      <c r="P54" s="286"/>
      <c r="Q54" s="287"/>
      <c r="R54" s="286"/>
      <c r="S54" s="287"/>
      <c r="T54" s="286"/>
      <c r="U54" s="287"/>
      <c r="V54" s="286"/>
      <c r="W54" s="289"/>
      <c r="X54" s="290"/>
      <c r="Y54" s="291"/>
      <c r="Z54" s="292"/>
      <c r="AA54" s="369"/>
      <c r="AB54" s="370"/>
      <c r="AC54" s="357"/>
      <c r="AD54" s="358"/>
      <c r="AE54" s="328"/>
      <c r="AF54" s="328"/>
      <c r="AG54" s="357"/>
      <c r="AH54" s="358"/>
    </row>
    <row r="55" spans="2:34" ht="14.1" customHeight="1" x14ac:dyDescent="0.25">
      <c r="B55" s="139" t="s">
        <v>80</v>
      </c>
      <c r="C55" s="140">
        <v>46013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62"/>
      <c r="Z55" s="146"/>
      <c r="AA55" s="341"/>
      <c r="AB55" s="342"/>
      <c r="AC55" s="347" t="str">
        <f>TRUNC(SUM(AA55:AA61)*24,0) &amp; "h" &amp; RIGHT("00"&amp;ROUND(((SUM(AA55:AA61)*24)-TRUNC(SUM(AA55:AA61)*24,0))*60,2),2)</f>
        <v>0h00</v>
      </c>
      <c r="AD55" s="348"/>
      <c r="AE55" s="359"/>
      <c r="AF55" s="359"/>
      <c r="AG55" s="347" t="str">
        <f>TRUNC(SUM(AE55:AE61)*24,0) &amp; "h" &amp; RIGHT("00"&amp;ROUND(((SUM(AE55:AE61)*24)-TRUNC(SUM(AE55:AE61)*24,0))*60,2),2)</f>
        <v>0h00</v>
      </c>
      <c r="AH55" s="348"/>
    </row>
    <row r="56" spans="2:34" ht="14.1" customHeight="1" x14ac:dyDescent="0.25">
      <c r="B56" s="139" t="s">
        <v>81</v>
      </c>
      <c r="C56" s="140">
        <v>46014</v>
      </c>
      <c r="D56" s="265"/>
      <c r="E56" s="266"/>
      <c r="F56" s="265"/>
      <c r="G56" s="266"/>
      <c r="H56" s="265"/>
      <c r="I56" s="266"/>
      <c r="J56" s="265"/>
      <c r="K56" s="266"/>
      <c r="L56" s="265"/>
      <c r="M56" s="266"/>
      <c r="N56" s="267"/>
      <c r="O56" s="266"/>
      <c r="P56" s="265"/>
      <c r="Q56" s="266"/>
      <c r="R56" s="265"/>
      <c r="S56" s="266"/>
      <c r="T56" s="265"/>
      <c r="U56" s="266"/>
      <c r="V56" s="265"/>
      <c r="W56" s="268"/>
      <c r="X56" s="269"/>
      <c r="Y56" s="270"/>
      <c r="Z56" s="271"/>
      <c r="AA56" s="331"/>
      <c r="AB56" s="332"/>
      <c r="AC56" s="349"/>
      <c r="AD56" s="350"/>
      <c r="AE56" s="328"/>
      <c r="AF56" s="328"/>
      <c r="AG56" s="349"/>
      <c r="AH56" s="350"/>
    </row>
    <row r="57" spans="2:34" ht="14.1" customHeight="1" x14ac:dyDescent="0.25">
      <c r="B57" s="139" t="s">
        <v>82</v>
      </c>
      <c r="C57" s="140">
        <v>46015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8"/>
      <c r="Z57" s="152"/>
      <c r="AA57" s="333"/>
      <c r="AB57" s="334"/>
      <c r="AC57" s="351"/>
      <c r="AD57" s="352"/>
      <c r="AE57" s="359"/>
      <c r="AF57" s="359"/>
      <c r="AG57" s="351"/>
      <c r="AH57" s="352"/>
    </row>
    <row r="58" spans="2:34" ht="14.1" customHeight="1" x14ac:dyDescent="0.25">
      <c r="B58" s="139" t="s">
        <v>83</v>
      </c>
      <c r="C58" s="140">
        <v>46016</v>
      </c>
      <c r="D58" s="305"/>
      <c r="E58" s="306"/>
      <c r="F58" s="305"/>
      <c r="G58" s="306"/>
      <c r="H58" s="305"/>
      <c r="I58" s="306"/>
      <c r="J58" s="305"/>
      <c r="K58" s="306"/>
      <c r="L58" s="305"/>
      <c r="M58" s="306"/>
      <c r="N58" s="307"/>
      <c r="O58" s="306"/>
      <c r="P58" s="305"/>
      <c r="Q58" s="306"/>
      <c r="R58" s="305"/>
      <c r="S58" s="306"/>
      <c r="T58" s="305"/>
      <c r="U58" s="306"/>
      <c r="V58" s="305"/>
      <c r="W58" s="308"/>
      <c r="X58" s="309"/>
      <c r="Y58" s="310"/>
      <c r="Z58" s="311"/>
      <c r="AA58" s="329"/>
      <c r="AB58" s="330"/>
      <c r="AC58" s="349"/>
      <c r="AD58" s="350"/>
      <c r="AE58" s="366"/>
      <c r="AF58" s="328"/>
      <c r="AG58" s="349"/>
      <c r="AH58" s="350"/>
    </row>
    <row r="59" spans="2:34" ht="14.1" customHeight="1" x14ac:dyDescent="0.25">
      <c r="B59" s="139" t="s">
        <v>84</v>
      </c>
      <c r="C59" s="140">
        <v>46017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8"/>
      <c r="Z59" s="152"/>
      <c r="AA59" s="333"/>
      <c r="AB59" s="334"/>
      <c r="AC59" s="351"/>
      <c r="AD59" s="352"/>
      <c r="AE59" s="359"/>
      <c r="AF59" s="359"/>
      <c r="AG59" s="351"/>
      <c r="AH59" s="352"/>
    </row>
    <row r="60" spans="2:34" ht="14.1" customHeight="1" x14ac:dyDescent="0.25">
      <c r="B60" s="139" t="s">
        <v>85</v>
      </c>
      <c r="C60" s="140">
        <v>46018</v>
      </c>
      <c r="D60" s="272"/>
      <c r="E60" s="273"/>
      <c r="F60" s="272"/>
      <c r="G60" s="273"/>
      <c r="H60" s="272"/>
      <c r="I60" s="273"/>
      <c r="J60" s="272"/>
      <c r="K60" s="273"/>
      <c r="L60" s="272"/>
      <c r="M60" s="273"/>
      <c r="N60" s="274"/>
      <c r="O60" s="273"/>
      <c r="P60" s="272"/>
      <c r="Q60" s="273"/>
      <c r="R60" s="272"/>
      <c r="S60" s="273"/>
      <c r="T60" s="272"/>
      <c r="U60" s="273"/>
      <c r="V60" s="272"/>
      <c r="W60" s="275"/>
      <c r="X60" s="276"/>
      <c r="Y60" s="277"/>
      <c r="Z60" s="278"/>
      <c r="AA60" s="331"/>
      <c r="AB60" s="332"/>
      <c r="AC60" s="349"/>
      <c r="AD60" s="350"/>
      <c r="AE60" s="328"/>
      <c r="AF60" s="328"/>
      <c r="AG60" s="349"/>
      <c r="AH60" s="350"/>
    </row>
    <row r="61" spans="2:34" ht="14.1" customHeight="1" thickBot="1" x14ac:dyDescent="0.3">
      <c r="B61" s="169" t="s">
        <v>86</v>
      </c>
      <c r="C61" s="170">
        <v>46019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60"/>
      <c r="Z61" s="264"/>
      <c r="AA61" s="367"/>
      <c r="AB61" s="368"/>
      <c r="AC61" s="351"/>
      <c r="AD61" s="352"/>
      <c r="AE61" s="360"/>
      <c r="AF61" s="360"/>
      <c r="AG61" s="351"/>
      <c r="AH61" s="352"/>
    </row>
    <row r="62" spans="2:34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53"/>
      <c r="X62" s="254"/>
      <c r="Y62" s="325" t="s">
        <v>129</v>
      </c>
      <c r="Z62" s="326"/>
      <c r="AA62" s="326"/>
      <c r="AB62" s="327"/>
      <c r="AC62" s="321" t="str">
        <f>TRUNC(SUM(AA27:AA61)*24,0) &amp; "h" &amp; RIGHT("00"&amp;ROUND(((SUM(AA27:AA61)*24)-TRUNC(SUM(AA27:AA61)*24,0))*60,2),2)</f>
        <v>0h00</v>
      </c>
      <c r="AD62" s="322"/>
      <c r="AE62" s="294"/>
      <c r="AF62" s="295"/>
      <c r="AG62" s="323" t="str">
        <f>TRUNC(SUM(AE27:AE61)*24,0) &amp; "h" &amp; RIGHT("00"&amp;ROUND(((SUM(AE27:AE61)*24)-TRUNC(SUM(AE27:AE61)*24,0))*60,2),2)</f>
        <v>0h00</v>
      </c>
      <c r="AH62" s="324"/>
    </row>
    <row r="63" spans="2:34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</row>
    <row r="64" spans="2:34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</row>
    <row r="65" spans="3:30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</row>
    <row r="66" spans="3:30" x14ac:dyDescent="0.25">
      <c r="C66" s="43"/>
      <c r="D66" s="5"/>
      <c r="E66" s="343" t="s">
        <v>150</v>
      </c>
      <c r="F66" s="343"/>
      <c r="G66" s="343"/>
      <c r="H66" s="343"/>
      <c r="I66" s="343"/>
      <c r="J66" s="343"/>
      <c r="K66" s="343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</row>
    <row r="67" spans="3:30" x14ac:dyDescent="0.25">
      <c r="C67" s="43"/>
      <c r="D67" s="5"/>
      <c r="E67" s="237"/>
      <c r="F67" s="237"/>
      <c r="G67" s="237"/>
      <c r="H67" s="126"/>
      <c r="I67" s="237"/>
      <c r="J67" s="237"/>
      <c r="K67" s="237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</row>
    <row r="68" spans="3:30" x14ac:dyDescent="0.25">
      <c r="C68" s="43"/>
      <c r="D68" s="5"/>
      <c r="E68" s="362" t="s">
        <v>108</v>
      </c>
      <c r="F68" s="363"/>
      <c r="G68" s="363"/>
      <c r="H68" s="363"/>
      <c r="I68" s="363"/>
      <c r="J68" s="363"/>
      <c r="K68" s="364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</row>
    <row r="69" spans="3:30" x14ac:dyDescent="0.25">
      <c r="C69" s="43"/>
      <c r="D69" s="5"/>
      <c r="E69" s="237"/>
      <c r="F69" s="237"/>
      <c r="G69" s="237"/>
      <c r="H69" s="237"/>
      <c r="I69" s="237"/>
      <c r="J69" s="237"/>
      <c r="K69" s="237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</row>
    <row r="70" spans="3:30" x14ac:dyDescent="0.25">
      <c r="C70" s="43"/>
      <c r="D70" s="5"/>
      <c r="E70" s="237"/>
      <c r="F70" s="237"/>
      <c r="G70" s="237"/>
      <c r="H70" s="237"/>
      <c r="I70" s="237"/>
      <c r="J70" s="237"/>
      <c r="K70" s="237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</row>
    <row r="71" spans="3:30" x14ac:dyDescent="0.25">
      <c r="C71" s="43"/>
      <c r="D71" s="5"/>
      <c r="E71" s="237"/>
      <c r="F71" s="237"/>
      <c r="G71" s="237"/>
      <c r="H71" s="237"/>
      <c r="I71" s="237"/>
      <c r="J71" s="237"/>
      <c r="K71" s="237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</row>
    <row r="72" spans="3:30" x14ac:dyDescent="0.25">
      <c r="C72" s="43"/>
      <c r="D72" s="5"/>
      <c r="E72" s="237"/>
      <c r="F72" s="237"/>
      <c r="G72" s="237"/>
      <c r="H72" s="237"/>
      <c r="I72" s="237"/>
      <c r="J72" s="237"/>
      <c r="K72" s="237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</row>
    <row r="73" spans="3:30" x14ac:dyDescent="0.25">
      <c r="C73" s="43"/>
      <c r="D73" s="5"/>
      <c r="E73" s="237"/>
      <c r="F73" s="237"/>
      <c r="G73" s="237"/>
      <c r="H73" s="237"/>
      <c r="I73" s="237"/>
      <c r="J73" s="237"/>
      <c r="K73" s="237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</row>
    <row r="74" spans="3:30" x14ac:dyDescent="0.25">
      <c r="C74" s="43"/>
      <c r="D74" s="5"/>
      <c r="E74" s="237"/>
      <c r="F74" s="237"/>
      <c r="G74" s="237"/>
      <c r="H74" s="237"/>
      <c r="I74" s="237"/>
      <c r="J74" s="237"/>
      <c r="K74" s="237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</row>
    <row r="75" spans="3:30" x14ac:dyDescent="0.25">
      <c r="C75" s="43"/>
      <c r="D75" s="5"/>
      <c r="E75" s="237"/>
      <c r="F75" s="237"/>
      <c r="G75" s="237"/>
      <c r="H75" s="237"/>
      <c r="I75" s="237"/>
      <c r="J75" s="237"/>
      <c r="K75" s="237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</row>
    <row r="76" spans="3:30" x14ac:dyDescent="0.25">
      <c r="C76" s="43"/>
      <c r="D76" s="5"/>
      <c r="E76" s="237"/>
      <c r="F76" s="237"/>
      <c r="G76" s="237"/>
      <c r="H76" s="237"/>
      <c r="I76" s="237"/>
      <c r="J76" s="237"/>
      <c r="K76" s="237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</row>
    <row r="77" spans="3:30" ht="15.75" thickBot="1" x14ac:dyDescent="0.3">
      <c r="C77" s="43"/>
      <c r="D77" s="228"/>
      <c r="E77" s="229"/>
      <c r="F77" s="7">
        <v>7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</row>
    <row r="78" spans="3:30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</row>
    <row r="79" spans="3:30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</row>
    <row r="80" spans="3:30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</row>
    <row r="81" spans="3:30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</row>
    <row r="82" spans="3:30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</row>
    <row r="83" spans="3:30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</row>
    <row r="84" spans="3:30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</row>
    <row r="85" spans="3:30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</row>
    <row r="86" spans="3:30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</row>
    <row r="87" spans="3:30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</row>
    <row r="88" spans="3:30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</row>
    <row r="89" spans="3:30" x14ac:dyDescent="0.25">
      <c r="X89" s="43"/>
      <c r="Y89" s="43"/>
      <c r="Z89" s="43"/>
      <c r="AA89" s="43"/>
    </row>
    <row r="90" spans="3:30" x14ac:dyDescent="0.25">
      <c r="X90" s="43"/>
      <c r="Y90" s="43"/>
      <c r="Z90" s="43"/>
      <c r="AA90" s="43"/>
    </row>
    <row r="91" spans="3:30" x14ac:dyDescent="0.25">
      <c r="X91" s="43"/>
      <c r="Y91" s="43"/>
      <c r="Z91" s="43"/>
      <c r="AA91" s="43"/>
    </row>
    <row r="92" spans="3:30" x14ac:dyDescent="0.25">
      <c r="X92" s="43"/>
      <c r="Y92" s="43"/>
      <c r="Z92" s="43"/>
      <c r="AA92" s="43"/>
    </row>
    <row r="93" spans="3:30" x14ac:dyDescent="0.25">
      <c r="X93" s="43"/>
      <c r="Y93" s="43"/>
      <c r="Z93" s="43"/>
      <c r="AA93" s="43"/>
    </row>
    <row r="94" spans="3:30" x14ac:dyDescent="0.25">
      <c r="X94" s="43"/>
      <c r="Y94" s="43"/>
      <c r="Z94" s="43"/>
      <c r="AA94" s="43"/>
    </row>
    <row r="95" spans="3:30" x14ac:dyDescent="0.25">
      <c r="X95" s="43"/>
      <c r="Y95" s="43"/>
      <c r="Z95" s="43"/>
      <c r="AA95" s="43"/>
    </row>
    <row r="96" spans="3:30" x14ac:dyDescent="0.25">
      <c r="X96" s="43"/>
      <c r="Y96" s="43"/>
      <c r="Z96" s="43"/>
      <c r="AA96" s="43"/>
    </row>
  </sheetData>
  <mergeCells count="107">
    <mergeCell ref="AA39:AB39"/>
    <mergeCell ref="AA59:AB59"/>
    <mergeCell ref="AC26:AD26"/>
    <mergeCell ref="P25:Q25"/>
    <mergeCell ref="R25:S25"/>
    <mergeCell ref="AA40:AB40"/>
    <mergeCell ref="N1:P1"/>
    <mergeCell ref="S1:T1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A26:AB26"/>
    <mergeCell ref="AA35:AB35"/>
    <mergeCell ref="AA36:AB36"/>
    <mergeCell ref="AA37:AB37"/>
    <mergeCell ref="AA38:AB38"/>
    <mergeCell ref="AA54:AB54"/>
    <mergeCell ref="AA55:AB55"/>
    <mergeCell ref="AA56:AB56"/>
    <mergeCell ref="AA57:AB57"/>
    <mergeCell ref="AA58:AB58"/>
    <mergeCell ref="AA48:AB48"/>
    <mergeCell ref="AA49:AB49"/>
    <mergeCell ref="AA50:AB50"/>
    <mergeCell ref="AA51:AB51"/>
    <mergeCell ref="AA52:AB52"/>
    <mergeCell ref="E66:K66"/>
    <mergeCell ref="E68:K68"/>
    <mergeCell ref="AE26:AF26"/>
    <mergeCell ref="AE27:AF27"/>
    <mergeCell ref="AE28:AF28"/>
    <mergeCell ref="AE29:AF29"/>
    <mergeCell ref="AE30:AF30"/>
    <mergeCell ref="AE31:AF31"/>
    <mergeCell ref="AE32:AF32"/>
    <mergeCell ref="AE33:AF33"/>
    <mergeCell ref="AE34:AF34"/>
    <mergeCell ref="AE35:AF35"/>
    <mergeCell ref="AE36:AF36"/>
    <mergeCell ref="AE37:AF37"/>
    <mergeCell ref="AE38:AF38"/>
    <mergeCell ref="AE39:AF39"/>
    <mergeCell ref="AE40:AF40"/>
    <mergeCell ref="AE41:AF41"/>
    <mergeCell ref="AE42:AF42"/>
    <mergeCell ref="AE43:AF43"/>
    <mergeCell ref="AE44:AF44"/>
    <mergeCell ref="AE45:AF45"/>
    <mergeCell ref="AE46:AF46"/>
    <mergeCell ref="AE47:AF47"/>
    <mergeCell ref="AA1:AB1"/>
    <mergeCell ref="X25:Z25"/>
    <mergeCell ref="AG27:AH33"/>
    <mergeCell ref="AG34:AH40"/>
    <mergeCell ref="AG41:AH47"/>
    <mergeCell ref="AG48:AH54"/>
    <mergeCell ref="AG55:AH61"/>
    <mergeCell ref="AE58:AF58"/>
    <mergeCell ref="AE59:AF59"/>
    <mergeCell ref="AE60:AF60"/>
    <mergeCell ref="AE61:AF61"/>
    <mergeCell ref="AG26:AH26"/>
    <mergeCell ref="AE49:AF49"/>
    <mergeCell ref="AE50:AF50"/>
    <mergeCell ref="AE51:AF51"/>
    <mergeCell ref="AE52:AF52"/>
    <mergeCell ref="AE53:AF53"/>
    <mergeCell ref="AE54:AF54"/>
    <mergeCell ref="AE55:AF55"/>
    <mergeCell ref="AE56:AF56"/>
    <mergeCell ref="AE57:AF57"/>
    <mergeCell ref="AC48:AD54"/>
    <mergeCell ref="AC55:AD61"/>
    <mergeCell ref="AC41:AD47"/>
    <mergeCell ref="AC62:AD62"/>
    <mergeCell ref="AG62:AH62"/>
    <mergeCell ref="Y62:AB62"/>
    <mergeCell ref="AE48:AF48"/>
    <mergeCell ref="AA45:AB45"/>
    <mergeCell ref="AA46:AB46"/>
    <mergeCell ref="AA43:AB43"/>
    <mergeCell ref="AA44:AB44"/>
    <mergeCell ref="AA27:AB27"/>
    <mergeCell ref="AA28:AB28"/>
    <mergeCell ref="AA29:AB29"/>
    <mergeCell ref="AA30:AB30"/>
    <mergeCell ref="AA31:AB31"/>
    <mergeCell ref="AA32:AB32"/>
    <mergeCell ref="AA33:AB33"/>
    <mergeCell ref="AA34:AB34"/>
    <mergeCell ref="AA47:AB47"/>
    <mergeCell ref="AA41:AB41"/>
    <mergeCell ref="AA42:AB42"/>
    <mergeCell ref="AC27:AD33"/>
    <mergeCell ref="AC34:AD40"/>
    <mergeCell ref="AA60:AB60"/>
    <mergeCell ref="AA61:AB61"/>
    <mergeCell ref="AA53:AB5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I23" sqref="I23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149</v>
      </c>
      <c r="AB1" t="s">
        <v>15</v>
      </c>
    </row>
    <row r="2" spans="4:28" ht="17.25" x14ac:dyDescent="0.3">
      <c r="D2" t="s">
        <v>13</v>
      </c>
      <c r="E2" s="396"/>
      <c r="F2" s="396"/>
      <c r="G2" s="396"/>
      <c r="H2" s="396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88"/>
      <c r="F4" s="388"/>
      <c r="G4" s="388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3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2" t="s">
        <v>12</v>
      </c>
      <c r="I9" s="393"/>
      <c r="O9" s="300"/>
      <c r="P9" s="301"/>
      <c r="Q9" s="302"/>
      <c r="R9" s="303"/>
      <c r="S9" s="304"/>
    </row>
    <row r="10" spans="4:28" ht="15.75" thickBot="1" x14ac:dyDescent="0.3">
      <c r="D10" s="23"/>
      <c r="E10" s="297"/>
      <c r="F10" s="298"/>
      <c r="G10" s="299"/>
      <c r="H10" s="394"/>
      <c r="I10" s="395"/>
      <c r="O10" s="312"/>
      <c r="P10" s="313"/>
      <c r="Q10" s="314"/>
      <c r="R10" s="315"/>
      <c r="S10" s="316"/>
    </row>
    <row r="11" spans="4:28" x14ac:dyDescent="0.25">
      <c r="O11" s="312"/>
      <c r="P11" s="313"/>
      <c r="Q11" s="314"/>
      <c r="R11" s="315"/>
      <c r="S11" s="316"/>
    </row>
    <row r="12" spans="4:28" x14ac:dyDescent="0.25">
      <c r="O12" s="312"/>
      <c r="P12" s="313"/>
      <c r="Q12" s="314"/>
      <c r="R12" s="315"/>
      <c r="S12" s="316"/>
    </row>
    <row r="13" spans="4:28" x14ac:dyDescent="0.25">
      <c r="O13" s="312"/>
      <c r="P13" s="313"/>
      <c r="Q13" s="314"/>
      <c r="R13" s="315"/>
      <c r="S13" s="316"/>
    </row>
    <row r="14" spans="4:28" x14ac:dyDescent="0.25">
      <c r="O14" s="312"/>
      <c r="P14" s="313"/>
      <c r="Q14" s="314"/>
      <c r="R14" s="315"/>
      <c r="S14" s="316"/>
    </row>
    <row r="15" spans="4:28" x14ac:dyDescent="0.25">
      <c r="O15" s="312"/>
      <c r="P15" s="313"/>
      <c r="Q15" s="314"/>
      <c r="R15" s="315"/>
      <c r="S15" s="316"/>
    </row>
    <row r="16" spans="4:28" ht="15.75" thickBot="1" x14ac:dyDescent="0.3">
      <c r="O16" s="312"/>
      <c r="P16" s="313"/>
      <c r="Q16" s="314"/>
      <c r="R16" s="315"/>
      <c r="S16" s="316"/>
    </row>
    <row r="17" spans="4:19" ht="15.75" thickBot="1" x14ac:dyDescent="0.3">
      <c r="D17" s="389" t="s">
        <v>17</v>
      </c>
      <c r="E17" s="390"/>
      <c r="F17" s="390"/>
      <c r="G17" s="391"/>
      <c r="O17" s="312"/>
      <c r="P17" s="313"/>
      <c r="Q17" s="314"/>
      <c r="R17" s="315"/>
      <c r="S17" s="316"/>
    </row>
    <row r="18" spans="4:19" x14ac:dyDescent="0.25">
      <c r="D18" s="5"/>
      <c r="G18" s="6"/>
      <c r="O18" s="312"/>
      <c r="P18" s="313"/>
      <c r="Q18" s="314"/>
      <c r="R18" s="315"/>
      <c r="S18" s="316"/>
    </row>
    <row r="19" spans="4:19" x14ac:dyDescent="0.25">
      <c r="D19" s="5" t="s">
        <v>18</v>
      </c>
      <c r="E19" s="1"/>
      <c r="G19" s="6"/>
      <c r="O19" s="312"/>
      <c r="P19" s="313"/>
      <c r="Q19" s="314"/>
      <c r="R19" s="315"/>
      <c r="S19" s="316"/>
    </row>
    <row r="20" spans="4:19" ht="15.75" thickBot="1" x14ac:dyDescent="0.3">
      <c r="D20" s="16" t="s">
        <v>19</v>
      </c>
      <c r="E20" s="17"/>
      <c r="F20" s="7"/>
      <c r="G20" s="8"/>
      <c r="O20" s="312"/>
      <c r="P20" s="313"/>
      <c r="Q20" s="314"/>
      <c r="R20" s="315"/>
      <c r="S20" s="316"/>
    </row>
    <row r="21" spans="4:19" x14ac:dyDescent="0.25">
      <c r="O21" s="312"/>
      <c r="P21" s="313"/>
      <c r="Q21" s="314"/>
      <c r="R21" s="315"/>
      <c r="S21" s="316"/>
    </row>
    <row r="22" spans="4:19" x14ac:dyDescent="0.25">
      <c r="E22" s="40"/>
      <c r="O22" s="312"/>
      <c r="P22" s="313"/>
      <c r="Q22" s="314"/>
      <c r="R22" s="315"/>
      <c r="S22" s="316"/>
    </row>
    <row r="23" spans="4:19" x14ac:dyDescent="0.25">
      <c r="O23" s="312"/>
      <c r="P23" s="313"/>
      <c r="Q23" s="314"/>
      <c r="R23" s="315"/>
      <c r="S23" s="316"/>
    </row>
    <row r="24" spans="4:19" x14ac:dyDescent="0.25">
      <c r="O24" s="312"/>
      <c r="P24" s="313"/>
      <c r="Q24" s="314"/>
      <c r="R24" s="315"/>
      <c r="S24" s="316"/>
    </row>
    <row r="25" spans="4:19" x14ac:dyDescent="0.25">
      <c r="O25" s="312"/>
      <c r="P25" s="313"/>
      <c r="Q25" s="314"/>
      <c r="R25" s="315"/>
      <c r="S25" s="316"/>
    </row>
    <row r="26" spans="4:19" x14ac:dyDescent="0.25">
      <c r="O26" s="312"/>
      <c r="P26" s="313"/>
      <c r="Q26" s="314"/>
      <c r="R26" s="315"/>
      <c r="S26" s="316"/>
    </row>
    <row r="27" spans="4:19" x14ac:dyDescent="0.25">
      <c r="O27" s="312"/>
      <c r="P27" s="313"/>
      <c r="Q27" s="314"/>
      <c r="R27" s="315"/>
      <c r="S27" s="316"/>
    </row>
    <row r="28" spans="4:19" x14ac:dyDescent="0.25">
      <c r="O28" s="312"/>
      <c r="P28" s="313"/>
      <c r="Q28" s="314"/>
      <c r="R28" s="315"/>
      <c r="S28" s="316"/>
    </row>
    <row r="29" spans="4:19" x14ac:dyDescent="0.25">
      <c r="O29" s="312"/>
      <c r="P29" s="315"/>
      <c r="Q29" s="314"/>
      <c r="R29" s="315"/>
      <c r="S29" s="316"/>
    </row>
    <row r="30" spans="4:19" x14ac:dyDescent="0.25">
      <c r="O30" s="312"/>
      <c r="P30" s="315"/>
      <c r="Q30" s="314"/>
      <c r="R30" s="315"/>
      <c r="S30" s="316"/>
    </row>
    <row r="31" spans="4:19" x14ac:dyDescent="0.25">
      <c r="O31" s="312"/>
      <c r="P31" s="315"/>
      <c r="Q31" s="314"/>
      <c r="R31" s="315"/>
      <c r="S31" s="316"/>
    </row>
    <row r="32" spans="4:19" x14ac:dyDescent="0.25">
      <c r="O32" s="312"/>
      <c r="P32" s="315"/>
      <c r="Q32" s="314"/>
      <c r="R32" s="315"/>
      <c r="S32" s="316"/>
    </row>
    <row r="33" spans="15:19" x14ac:dyDescent="0.25">
      <c r="O33" s="312"/>
      <c r="P33" s="315"/>
      <c r="Q33" s="314"/>
      <c r="R33" s="315"/>
      <c r="S33" s="316"/>
    </row>
    <row r="34" spans="15:19" x14ac:dyDescent="0.25">
      <c r="O34" s="312"/>
      <c r="P34" s="315"/>
      <c r="Q34" s="314"/>
      <c r="R34" s="315"/>
      <c r="S34" s="316"/>
    </row>
    <row r="35" spans="15:19" x14ac:dyDescent="0.25">
      <c r="O35" s="312"/>
      <c r="P35" s="315"/>
      <c r="Q35" s="314"/>
      <c r="R35" s="315"/>
      <c r="S35" s="316"/>
    </row>
    <row r="36" spans="15:19" x14ac:dyDescent="0.25">
      <c r="O36" s="312"/>
      <c r="P36" s="315"/>
      <c r="Q36" s="314"/>
      <c r="R36" s="315"/>
      <c r="S36" s="316"/>
    </row>
    <row r="37" spans="15:19" x14ac:dyDescent="0.25">
      <c r="O37" s="312"/>
      <c r="P37" s="315"/>
      <c r="Q37" s="314"/>
      <c r="R37" s="315"/>
      <c r="S37" s="316"/>
    </row>
    <row r="38" spans="15:19" x14ac:dyDescent="0.25">
      <c r="O38" s="312"/>
      <c r="P38" s="315"/>
      <c r="Q38" s="314"/>
      <c r="R38" s="315"/>
      <c r="S38" s="316"/>
    </row>
    <row r="39" spans="15:19" x14ac:dyDescent="0.25">
      <c r="O39" s="312"/>
      <c r="P39" s="315"/>
      <c r="Q39" s="314"/>
      <c r="R39" s="315"/>
      <c r="S39" s="316"/>
    </row>
    <row r="40" spans="15:19" x14ac:dyDescent="0.25">
      <c r="O40" s="312"/>
      <c r="P40" s="315"/>
      <c r="Q40" s="314"/>
      <c r="R40" s="315"/>
      <c r="S40" s="316"/>
    </row>
    <row r="41" spans="15:19" x14ac:dyDescent="0.25">
      <c r="O41" s="312"/>
      <c r="P41" s="315"/>
      <c r="Q41" s="314"/>
      <c r="R41" s="315"/>
      <c r="S41" s="316"/>
    </row>
    <row r="42" spans="15:19" x14ac:dyDescent="0.25">
      <c r="O42" s="312"/>
      <c r="P42" s="315"/>
      <c r="Q42" s="314"/>
      <c r="R42" s="315"/>
      <c r="S42" s="316"/>
    </row>
    <row r="43" spans="15:19" x14ac:dyDescent="0.25">
      <c r="O43" s="312"/>
      <c r="P43" s="315"/>
      <c r="Q43" s="314"/>
      <c r="R43" s="315"/>
      <c r="S43" s="316"/>
    </row>
    <row r="44" spans="15:19" x14ac:dyDescent="0.25">
      <c r="O44" s="312"/>
      <c r="P44" s="315"/>
      <c r="Q44" s="314"/>
      <c r="R44" s="315"/>
      <c r="S44" s="316"/>
    </row>
    <row r="45" spans="15:19" x14ac:dyDescent="0.25">
      <c r="O45" s="312"/>
      <c r="P45" s="315"/>
      <c r="Q45" s="314"/>
      <c r="R45" s="315"/>
      <c r="S45" s="316"/>
    </row>
    <row r="46" spans="15:19" x14ac:dyDescent="0.25">
      <c r="O46" s="312"/>
      <c r="P46" s="315"/>
      <c r="Q46" s="314"/>
      <c r="R46" s="315"/>
      <c r="S46" s="316"/>
    </row>
    <row r="47" spans="15:19" x14ac:dyDescent="0.25">
      <c r="O47" s="312"/>
      <c r="P47" s="315"/>
      <c r="Q47" s="314"/>
      <c r="R47" s="315"/>
      <c r="S47" s="316"/>
    </row>
    <row r="48" spans="15:19" x14ac:dyDescent="0.25">
      <c r="O48" s="312"/>
      <c r="P48" s="315"/>
      <c r="Q48" s="314"/>
      <c r="R48" s="315"/>
      <c r="S48" s="316"/>
    </row>
    <row r="49" spans="15:19" ht="15.75" thickBot="1" x14ac:dyDescent="0.3">
      <c r="O49" s="317"/>
      <c r="P49" s="318"/>
      <c r="Q49" s="319"/>
      <c r="R49" s="318"/>
      <c r="S49" s="32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36" sqref="G3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6" t="s">
        <v>0</v>
      </c>
      <c r="B1" s="244" t="s">
        <v>1</v>
      </c>
      <c r="C1" s="247" t="s">
        <v>48</v>
      </c>
      <c r="D1" s="248" t="s">
        <v>29</v>
      </c>
      <c r="G1" t="s">
        <v>30</v>
      </c>
      <c r="J1" t="s">
        <v>151</v>
      </c>
    </row>
    <row r="2" spans="1:17" ht="19.5" customHeight="1" thickTop="1" x14ac:dyDescent="0.25">
      <c r="A2" s="231"/>
      <c r="B2" s="242"/>
      <c r="C2" s="249"/>
      <c r="D2" s="233"/>
      <c r="L2" s="397" t="s">
        <v>45</v>
      </c>
      <c r="M2" s="398"/>
      <c r="N2" s="398"/>
      <c r="O2" s="398"/>
      <c r="P2" s="398"/>
      <c r="Q2" s="399"/>
    </row>
    <row r="3" spans="1:17" ht="15.75" thickBot="1" x14ac:dyDescent="0.3">
      <c r="A3" s="232"/>
      <c r="B3" s="243"/>
      <c r="C3" s="250"/>
      <c r="D3" s="234"/>
      <c r="L3" s="400"/>
      <c r="M3" s="401"/>
      <c r="N3" s="401"/>
      <c r="O3" s="401"/>
      <c r="P3" s="401"/>
      <c r="Q3" s="402"/>
    </row>
    <row r="4" spans="1:17" x14ac:dyDescent="0.25">
      <c r="A4" s="232"/>
      <c r="B4" s="243"/>
      <c r="C4" s="250"/>
      <c r="D4" s="234"/>
      <c r="L4" s="5"/>
      <c r="M4" s="30"/>
      <c r="N4" s="30"/>
      <c r="O4" s="30"/>
      <c r="P4" s="30"/>
      <c r="Q4" s="6"/>
    </row>
    <row r="5" spans="1:17" x14ac:dyDescent="0.25">
      <c r="A5" s="232"/>
      <c r="B5" s="243"/>
      <c r="C5" s="250"/>
      <c r="D5" s="234"/>
      <c r="L5" s="5"/>
      <c r="M5" s="30"/>
      <c r="N5" s="30"/>
      <c r="O5" s="30"/>
      <c r="P5" s="30"/>
      <c r="Q5" s="6"/>
    </row>
    <row r="6" spans="1:17" x14ac:dyDescent="0.25">
      <c r="A6" s="230"/>
      <c r="B6" s="244"/>
      <c r="C6" s="244"/>
      <c r="D6" s="241"/>
      <c r="L6" s="5"/>
      <c r="M6" s="30"/>
      <c r="N6" s="30"/>
      <c r="O6" s="30"/>
      <c r="P6" s="30"/>
      <c r="Q6" s="6"/>
    </row>
    <row r="7" spans="1:17" x14ac:dyDescent="0.25">
      <c r="A7" s="232"/>
      <c r="B7" s="243"/>
      <c r="C7" s="250"/>
      <c r="D7" s="234"/>
      <c r="L7" s="5"/>
      <c r="M7" s="30"/>
      <c r="N7" s="30"/>
      <c r="O7" s="30"/>
      <c r="P7" s="30"/>
      <c r="Q7" s="6"/>
    </row>
    <row r="8" spans="1:17" x14ac:dyDescent="0.25">
      <c r="A8" s="232"/>
      <c r="B8" s="243"/>
      <c r="C8" s="250"/>
      <c r="D8" s="234"/>
      <c r="L8" s="5"/>
      <c r="M8" s="30"/>
      <c r="N8" s="30"/>
      <c r="O8" s="30"/>
      <c r="P8" s="30"/>
      <c r="Q8" s="6"/>
    </row>
    <row r="9" spans="1:17" x14ac:dyDescent="0.25">
      <c r="A9" s="232"/>
      <c r="B9" s="243"/>
      <c r="C9" s="250"/>
      <c r="D9" s="234"/>
      <c r="L9" s="5"/>
      <c r="M9" s="30"/>
      <c r="N9" s="30"/>
      <c r="O9" s="30"/>
      <c r="P9" s="30"/>
      <c r="Q9" s="6"/>
    </row>
    <row r="10" spans="1:17" x14ac:dyDescent="0.25">
      <c r="A10" s="232"/>
      <c r="B10" s="243"/>
      <c r="C10" s="250"/>
      <c r="D10" s="234"/>
      <c r="L10" s="5"/>
      <c r="M10" s="30"/>
      <c r="N10" s="30"/>
      <c r="O10" s="30"/>
      <c r="P10" s="30"/>
      <c r="Q10" s="6"/>
    </row>
    <row r="11" spans="1:17" ht="15.75" thickBot="1" x14ac:dyDescent="0.3">
      <c r="A11" s="232"/>
      <c r="B11" s="243"/>
      <c r="C11" s="250"/>
      <c r="D11" s="234"/>
      <c r="L11" s="5"/>
      <c r="M11" s="30"/>
      <c r="N11" s="30"/>
      <c r="O11" s="30"/>
      <c r="P11" s="30"/>
      <c r="Q11" s="6"/>
    </row>
    <row r="12" spans="1:17" x14ac:dyDescent="0.25">
      <c r="A12" s="232"/>
      <c r="B12" s="243"/>
      <c r="C12" s="250"/>
      <c r="D12" s="234"/>
      <c r="L12" s="27"/>
      <c r="M12" s="28"/>
      <c r="N12" s="28"/>
      <c r="O12" s="28"/>
      <c r="P12" s="28"/>
      <c r="Q12" s="29"/>
    </row>
    <row r="13" spans="1:17" x14ac:dyDescent="0.25">
      <c r="A13" s="232"/>
      <c r="B13" s="243"/>
      <c r="C13" s="251"/>
      <c r="D13" s="234"/>
      <c r="L13" s="5"/>
      <c r="M13" s="30"/>
      <c r="N13" s="403" t="s">
        <v>46</v>
      </c>
      <c r="O13" s="403"/>
      <c r="P13" s="30"/>
      <c r="Q13" s="6"/>
    </row>
    <row r="14" spans="1:17" x14ac:dyDescent="0.25">
      <c r="A14" s="232"/>
      <c r="B14" s="243"/>
      <c r="C14" s="251"/>
      <c r="D14" s="234"/>
      <c r="L14" s="31" t="s">
        <v>47</v>
      </c>
      <c r="M14" s="30"/>
      <c r="N14" s="30"/>
      <c r="O14" s="30"/>
      <c r="P14" s="30"/>
      <c r="Q14" s="6"/>
    </row>
    <row r="15" spans="1:17" x14ac:dyDescent="0.25">
      <c r="A15" s="232"/>
      <c r="B15" s="243"/>
      <c r="C15" s="251"/>
      <c r="D15" s="234"/>
      <c r="L15" s="31"/>
      <c r="M15" s="30"/>
      <c r="N15" s="30"/>
      <c r="O15" s="30"/>
      <c r="P15" s="30"/>
      <c r="Q15" s="6"/>
    </row>
    <row r="16" spans="1:17" x14ac:dyDescent="0.25">
      <c r="A16" s="232"/>
      <c r="B16" s="243"/>
      <c r="C16" s="251"/>
      <c r="D16" s="234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2"/>
      <c r="B17" s="243"/>
      <c r="C17" s="251"/>
      <c r="D17" s="234"/>
      <c r="L17" s="31"/>
      <c r="M17" s="30"/>
      <c r="N17" s="30"/>
      <c r="O17" s="30"/>
      <c r="P17" s="30"/>
      <c r="Q17" s="6"/>
    </row>
    <row r="18" spans="1:22" x14ac:dyDescent="0.25">
      <c r="A18" s="232"/>
      <c r="B18" s="243"/>
      <c r="C18" s="251"/>
      <c r="D18" s="234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2"/>
      <c r="B19" s="243"/>
      <c r="C19" s="251"/>
      <c r="D19" s="234"/>
      <c r="L19" s="31"/>
      <c r="M19" s="30"/>
      <c r="N19" s="30"/>
      <c r="O19" s="30"/>
      <c r="P19" s="30"/>
      <c r="Q19" s="6"/>
    </row>
    <row r="20" spans="1:22" x14ac:dyDescent="0.25">
      <c r="A20" s="232"/>
      <c r="B20" s="243"/>
      <c r="C20" s="251"/>
      <c r="D20" s="234"/>
      <c r="L20" s="31"/>
      <c r="M20" s="30"/>
      <c r="N20" s="30"/>
      <c r="O20" s="30"/>
      <c r="P20" s="30"/>
      <c r="Q20" s="6"/>
    </row>
    <row r="21" spans="1:22" x14ac:dyDescent="0.25">
      <c r="A21" s="232"/>
      <c r="B21" s="243"/>
      <c r="C21" s="251"/>
      <c r="D21" s="234"/>
      <c r="L21" s="5"/>
      <c r="M21" s="30"/>
      <c r="N21" s="30"/>
      <c r="O21" s="30"/>
      <c r="P21" s="30"/>
      <c r="Q21" s="6"/>
    </row>
    <row r="22" spans="1:22" x14ac:dyDescent="0.25">
      <c r="A22" s="232"/>
      <c r="B22" s="243"/>
      <c r="C22" s="251"/>
      <c r="D22" s="234"/>
      <c r="L22" s="5"/>
      <c r="M22" s="30"/>
      <c r="N22" s="30"/>
      <c r="O22" s="30"/>
      <c r="P22" s="30"/>
      <c r="Q22" s="6"/>
    </row>
    <row r="23" spans="1:22" x14ac:dyDescent="0.25">
      <c r="A23" s="232"/>
      <c r="B23" s="243"/>
      <c r="C23" s="251"/>
      <c r="D23" s="234"/>
      <c r="L23" s="5"/>
      <c r="M23" s="30"/>
      <c r="N23" s="30"/>
      <c r="O23" s="30"/>
      <c r="P23" s="30"/>
      <c r="Q23" s="6"/>
    </row>
    <row r="24" spans="1:22" x14ac:dyDescent="0.25">
      <c r="A24" s="232"/>
      <c r="B24" s="243"/>
      <c r="C24" s="251"/>
      <c r="D24" s="234"/>
      <c r="L24" s="5"/>
      <c r="M24" s="30"/>
      <c r="N24" s="30"/>
      <c r="O24" s="30"/>
      <c r="P24" s="30"/>
      <c r="Q24" s="6"/>
      <c r="V24" s="41"/>
    </row>
    <row r="25" spans="1:22" x14ac:dyDescent="0.25">
      <c r="A25" s="232"/>
      <c r="B25" s="243"/>
      <c r="C25" s="251"/>
      <c r="D25" s="234"/>
      <c r="L25" s="5"/>
      <c r="M25" s="30"/>
      <c r="N25" s="30"/>
      <c r="O25" s="30"/>
      <c r="P25" s="30"/>
      <c r="Q25" s="6"/>
    </row>
    <row r="26" spans="1:22" x14ac:dyDescent="0.25">
      <c r="A26" s="232"/>
      <c r="B26" s="243"/>
      <c r="C26" s="251"/>
      <c r="D26" s="234"/>
      <c r="L26" s="5"/>
      <c r="M26" s="30"/>
      <c r="N26" s="30"/>
      <c r="O26" s="30"/>
      <c r="P26" s="30"/>
      <c r="Q26" s="6"/>
    </row>
    <row r="27" spans="1:22" x14ac:dyDescent="0.25">
      <c r="A27" s="232"/>
      <c r="B27" s="243"/>
      <c r="C27" s="251"/>
      <c r="D27" s="234"/>
      <c r="L27" s="5"/>
      <c r="M27" s="30"/>
      <c r="N27" s="30"/>
      <c r="O27" s="30"/>
      <c r="P27" s="30"/>
      <c r="Q27" s="6"/>
    </row>
    <row r="28" spans="1:22" x14ac:dyDescent="0.25">
      <c r="A28" s="232"/>
      <c r="B28" s="243"/>
      <c r="C28" s="251"/>
      <c r="D28" s="234"/>
      <c r="L28" s="5"/>
      <c r="M28" s="30"/>
      <c r="N28" s="30"/>
      <c r="O28" s="30"/>
      <c r="P28" s="30"/>
      <c r="Q28" s="6"/>
    </row>
    <row r="29" spans="1:22" x14ac:dyDescent="0.25">
      <c r="A29" s="232"/>
      <c r="B29" s="243"/>
      <c r="C29" s="251"/>
      <c r="D29" s="234"/>
      <c r="L29" s="5"/>
      <c r="M29" s="30"/>
      <c r="N29" s="30"/>
      <c r="O29" s="30"/>
      <c r="P29" s="30"/>
      <c r="Q29" s="6"/>
    </row>
    <row r="30" spans="1:22" x14ac:dyDescent="0.25">
      <c r="A30" s="235"/>
      <c r="B30" s="245"/>
      <c r="C30" s="252"/>
      <c r="D30" s="236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43"/>
      <c r="D39" s="343"/>
      <c r="E39" s="3" t="s">
        <v>27</v>
      </c>
    </row>
    <row r="41" spans="1:17" s="24" customFormat="1" ht="15.75" x14ac:dyDescent="0.25">
      <c r="B41" s="24" t="s">
        <v>36</v>
      </c>
      <c r="C41" s="463"/>
      <c r="E41" s="25" t="s">
        <v>37</v>
      </c>
    </row>
    <row r="42" spans="1:17" s="24" customFormat="1" ht="15.75" x14ac:dyDescent="0.25">
      <c r="B42" s="24" t="s">
        <v>38</v>
      </c>
      <c r="C42" s="464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63"/>
      <c r="E44" s="4" t="s">
        <v>9</v>
      </c>
    </row>
    <row r="45" spans="1:17" x14ac:dyDescent="0.25">
      <c r="B45" s="2" t="s">
        <v>6</v>
      </c>
      <c r="C45" s="464"/>
      <c r="E45" s="4" t="s">
        <v>10</v>
      </c>
    </row>
    <row r="46" spans="1:17" x14ac:dyDescent="0.25">
      <c r="B46" s="2" t="s">
        <v>7</v>
      </c>
      <c r="C46" s="464"/>
    </row>
    <row r="47" spans="1:17" x14ac:dyDescent="0.25">
      <c r="B47" s="2" t="s">
        <v>8</v>
      </c>
      <c r="C47" s="46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D1" workbookViewId="0">
      <selection activeCell="AL14" sqref="AL14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14"/>
      <c r="B2" s="415"/>
      <c r="C2" s="415"/>
      <c r="D2" s="415"/>
      <c r="E2" s="415"/>
      <c r="F2" s="415"/>
      <c r="G2" s="415"/>
      <c r="H2" s="416" t="s">
        <v>53</v>
      </c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7"/>
      <c r="U2" s="418">
        <v>0</v>
      </c>
      <c r="V2" s="419"/>
      <c r="W2" s="419"/>
      <c r="X2" s="419"/>
      <c r="Y2" s="419"/>
      <c r="Z2" s="419"/>
      <c r="AA2" s="419"/>
      <c r="AB2" s="419"/>
      <c r="AC2" s="419"/>
      <c r="AD2" s="419"/>
      <c r="AE2" s="419"/>
      <c r="AF2" s="419"/>
      <c r="AG2" s="419"/>
      <c r="AH2" s="419"/>
      <c r="AI2" s="419"/>
      <c r="AJ2" s="419"/>
      <c r="AK2" s="419"/>
      <c r="AL2" s="419"/>
      <c r="AM2" s="419"/>
      <c r="AN2" s="419"/>
      <c r="AO2" s="408" t="s">
        <v>54</v>
      </c>
      <c r="AP2" s="409"/>
      <c r="AQ2" s="409"/>
      <c r="AR2" s="409"/>
      <c r="AS2" s="409"/>
      <c r="AT2" s="409"/>
      <c r="AU2" s="409"/>
      <c r="AV2" s="409"/>
      <c r="AW2" s="409"/>
      <c r="AX2" s="409"/>
      <c r="AY2" s="409"/>
      <c r="AZ2" s="409"/>
      <c r="BA2" s="410"/>
      <c r="BB2" s="411"/>
      <c r="BC2" s="412"/>
      <c r="BD2" s="412"/>
      <c r="BE2" s="412"/>
      <c r="BF2" s="412"/>
      <c r="BG2" s="412"/>
      <c r="BH2" s="412"/>
      <c r="BI2" s="412"/>
      <c r="BJ2" s="412"/>
      <c r="BK2" s="412"/>
      <c r="BL2" s="413"/>
    </row>
    <row r="3" spans="1:65" ht="15.75" thickBot="1" x14ac:dyDescent="0.3">
      <c r="A3" s="387">
        <v>1</v>
      </c>
      <c r="B3" s="387"/>
      <c r="C3" s="387">
        <v>2</v>
      </c>
      <c r="D3" s="387"/>
      <c r="E3" s="387">
        <v>3</v>
      </c>
      <c r="F3" s="387"/>
      <c r="G3" s="387">
        <v>4</v>
      </c>
      <c r="H3" s="387"/>
      <c r="I3" s="373">
        <v>5</v>
      </c>
      <c r="J3" s="374"/>
      <c r="K3" s="373">
        <v>6</v>
      </c>
      <c r="L3" s="374"/>
      <c r="M3" s="373">
        <v>7</v>
      </c>
      <c r="N3" s="374"/>
      <c r="O3" s="373">
        <v>8</v>
      </c>
      <c r="P3" s="374"/>
      <c r="Q3" s="373">
        <v>9</v>
      </c>
      <c r="R3" s="374"/>
      <c r="S3" s="373">
        <v>10</v>
      </c>
      <c r="T3" s="372"/>
      <c r="U3" s="371">
        <v>1</v>
      </c>
      <c r="V3" s="374"/>
      <c r="W3" s="373">
        <v>2</v>
      </c>
      <c r="X3" s="374"/>
      <c r="Y3" s="373">
        <v>3</v>
      </c>
      <c r="Z3" s="374"/>
      <c r="AA3" s="373">
        <v>4</v>
      </c>
      <c r="AB3" s="374"/>
      <c r="AC3" s="373">
        <v>5</v>
      </c>
      <c r="AD3" s="374"/>
      <c r="AE3" s="373">
        <v>6</v>
      </c>
      <c r="AF3" s="374"/>
      <c r="AG3" s="373">
        <v>7</v>
      </c>
      <c r="AH3" s="374"/>
      <c r="AI3" s="373">
        <v>8</v>
      </c>
      <c r="AJ3" s="374"/>
      <c r="AK3" s="373">
        <v>9</v>
      </c>
      <c r="AL3" s="374"/>
      <c r="AM3" s="373">
        <v>10</v>
      </c>
      <c r="AN3" s="372"/>
      <c r="AO3" s="405" t="s">
        <v>55</v>
      </c>
      <c r="AP3" s="406"/>
      <c r="AQ3" s="406"/>
      <c r="AR3" s="407"/>
      <c r="AS3" s="405" t="s">
        <v>56</v>
      </c>
      <c r="AT3" s="406"/>
      <c r="AU3" s="406"/>
      <c r="AV3" s="406"/>
      <c r="AW3" s="406"/>
      <c r="AX3" s="406"/>
      <c r="AY3" s="371" t="s">
        <v>57</v>
      </c>
      <c r="AZ3" s="404"/>
      <c r="BA3" s="372"/>
      <c r="BB3" s="420" t="s">
        <v>102</v>
      </c>
      <c r="BC3" s="421"/>
      <c r="BD3" s="421"/>
      <c r="BE3" s="421"/>
      <c r="BF3" s="421"/>
      <c r="BG3" s="421"/>
      <c r="BH3" s="421"/>
      <c r="BI3" s="421"/>
      <c r="BJ3" s="421"/>
      <c r="BK3" s="421"/>
      <c r="BL3" s="422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2" si="0">IF(AND(V5*24&gt;=11,V5*24&lt;=13.5),IF((W5-V5)*24&gt;=1,1,IF(AND(V5*24&gt;=18.5,V5*24&lt;=22),6,0)),0)</f>
        <v>0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2" si="6">IF(U5&gt;0,IF(AS5&gt;0,IF(AND(AN5&gt;0,AN5=AT5),0,IF(AND(AB5&gt;0,AB5=AT5),AM5,IF(AND(Z5&gt;0,Z5=AT5),AA5,IF(AND(X5&gt;0,X5=AT5),Y5,W5)))),U5),0)</f>
        <v>0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0</v>
      </c>
      <c r="BA43" s="119">
        <f>SUM(BA5:BA42)</f>
        <v>0</v>
      </c>
      <c r="BB43" s="120" t="str">
        <f t="shared" ref="BB43:BL43" si="14">TRUNC(SUM(BB5:BB42)*24,0) &amp; ":" &amp; RIGHT("00"&amp;ROUND(((SUM(BB5:BB42)*24)-TRUNC(SUM(BB5:BB42)*24,0))*60,2),2)</f>
        <v>0:00</v>
      </c>
      <c r="BC43" s="121" t="str">
        <f t="shared" si="14"/>
        <v>0:00</v>
      </c>
      <c r="BD43" s="121" t="str">
        <f t="shared" si="14"/>
        <v>0:00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0:00</v>
      </c>
      <c r="BM43" s="124"/>
    </row>
    <row r="45" spans="1:65" x14ac:dyDescent="0.25">
      <c r="C45" s="388"/>
      <c r="D45" s="388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48" t="s">
        <v>87</v>
      </c>
      <c r="C1" s="448"/>
      <c r="D1" s="448"/>
      <c r="E1" s="448"/>
      <c r="F1" s="448"/>
      <c r="G1" s="448"/>
      <c r="H1" s="448"/>
      <c r="I1" s="448"/>
      <c r="J1" s="448"/>
      <c r="K1" s="448"/>
      <c r="L1" s="448"/>
      <c r="M1" s="448"/>
      <c r="N1" s="448"/>
      <c r="O1" s="448"/>
    </row>
    <row r="2" spans="2:17" x14ac:dyDescent="0.25">
      <c r="B2" s="343"/>
      <c r="C2" s="343"/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3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</row>
    <row r="5" spans="2:17" ht="15.75" thickBot="1" x14ac:dyDescent="0.3"/>
    <row r="6" spans="2:17" ht="15.75" customHeight="1" x14ac:dyDescent="0.25">
      <c r="C6" s="449" t="s">
        <v>91</v>
      </c>
      <c r="D6" s="452" t="s">
        <v>92</v>
      </c>
      <c r="E6" s="452" t="s">
        <v>4</v>
      </c>
      <c r="F6" s="455"/>
      <c r="G6" s="455"/>
      <c r="H6" s="457" t="s">
        <v>93</v>
      </c>
      <c r="I6" s="459" t="s">
        <v>4</v>
      </c>
      <c r="J6" s="455"/>
      <c r="K6" s="455"/>
      <c r="L6" s="457" t="s">
        <v>93</v>
      </c>
      <c r="M6" s="461" t="s">
        <v>94</v>
      </c>
      <c r="N6" s="195"/>
      <c r="O6" s="196"/>
    </row>
    <row r="7" spans="2:17" x14ac:dyDescent="0.25">
      <c r="C7" s="450"/>
      <c r="D7" s="453"/>
      <c r="E7" s="456"/>
      <c r="F7" s="456"/>
      <c r="G7" s="456"/>
      <c r="H7" s="458"/>
      <c r="I7" s="460"/>
      <c r="J7" s="456"/>
      <c r="K7" s="456"/>
      <c r="L7" s="458"/>
      <c r="M7" s="462"/>
      <c r="N7" s="195"/>
      <c r="O7" s="196"/>
    </row>
    <row r="8" spans="2:17" x14ac:dyDescent="0.25">
      <c r="C8" s="450"/>
      <c r="D8" s="453"/>
      <c r="E8" s="456"/>
      <c r="F8" s="456"/>
      <c r="G8" s="456"/>
      <c r="H8" s="458"/>
      <c r="I8" s="460"/>
      <c r="J8" s="456"/>
      <c r="K8" s="456"/>
      <c r="L8" s="458"/>
      <c r="M8" s="462"/>
      <c r="N8" s="195"/>
      <c r="O8" s="196"/>
    </row>
    <row r="9" spans="2:17" ht="15.75" thickBot="1" x14ac:dyDescent="0.3">
      <c r="C9" s="451"/>
      <c r="D9" s="454"/>
      <c r="E9" s="197" t="s">
        <v>58</v>
      </c>
      <c r="F9" s="197" t="s">
        <v>59</v>
      </c>
      <c r="G9" s="197" t="s">
        <v>95</v>
      </c>
      <c r="H9" s="458"/>
      <c r="I9" s="198" t="s">
        <v>58</v>
      </c>
      <c r="J9" s="197" t="s">
        <v>59</v>
      </c>
      <c r="K9" s="197" t="s">
        <v>95</v>
      </c>
      <c r="L9" s="458"/>
      <c r="M9" s="462"/>
      <c r="N9" s="195"/>
      <c r="O9" s="196"/>
    </row>
    <row r="10" spans="2:17" ht="15.75" thickBot="1" x14ac:dyDescent="0.3">
      <c r="B10" s="434" t="s">
        <v>80</v>
      </c>
      <c r="C10" s="435"/>
      <c r="D10" s="438"/>
      <c r="E10" s="199"/>
      <c r="F10" s="199"/>
      <c r="G10" s="200"/>
      <c r="H10" s="201"/>
      <c r="I10" s="202"/>
      <c r="J10" s="203"/>
      <c r="K10" s="204"/>
      <c r="L10" s="205"/>
      <c r="M10" s="447"/>
      <c r="N10" s="195"/>
      <c r="O10" s="196"/>
      <c r="P10" s="206"/>
      <c r="Q10" s="206"/>
    </row>
    <row r="11" spans="2:17" ht="15.75" thickBot="1" x14ac:dyDescent="0.3">
      <c r="B11" s="434"/>
      <c r="C11" s="436"/>
      <c r="D11" s="439"/>
      <c r="E11" s="207"/>
      <c r="F11" s="207"/>
      <c r="G11" s="46"/>
      <c r="H11" s="47"/>
      <c r="I11" s="208"/>
      <c r="J11" s="209"/>
      <c r="K11" s="210"/>
      <c r="L11" s="211"/>
      <c r="M11" s="442"/>
      <c r="N11" s="195"/>
      <c r="O11" s="196"/>
      <c r="P11" s="172"/>
      <c r="Q11" s="172"/>
    </row>
    <row r="12" spans="2:17" ht="15.75" thickBot="1" x14ac:dyDescent="0.3">
      <c r="B12" s="434"/>
      <c r="C12" s="437"/>
      <c r="D12" s="440"/>
      <c r="E12" s="212"/>
      <c r="F12" s="212"/>
      <c r="G12" s="213"/>
      <c r="H12" s="214"/>
      <c r="I12" s="215"/>
      <c r="J12" s="216"/>
      <c r="K12" s="217"/>
      <c r="L12" s="218"/>
      <c r="M12" s="443"/>
      <c r="N12" s="195"/>
      <c r="O12" s="196"/>
      <c r="P12" s="172"/>
      <c r="Q12" s="172"/>
    </row>
    <row r="13" spans="2:17" ht="15.75" thickBot="1" x14ac:dyDescent="0.3">
      <c r="B13" s="434" t="s">
        <v>81</v>
      </c>
      <c r="C13" s="435"/>
      <c r="D13" s="438"/>
      <c r="E13" s="199"/>
      <c r="F13" s="199"/>
      <c r="G13" s="200"/>
      <c r="H13" s="201"/>
      <c r="I13" s="202"/>
      <c r="J13" s="203"/>
      <c r="K13" s="204"/>
      <c r="L13" s="205"/>
      <c r="M13" s="441"/>
      <c r="N13" s="195"/>
      <c r="O13" s="219"/>
      <c r="P13" s="172"/>
      <c r="Q13" s="172"/>
    </row>
    <row r="14" spans="2:17" ht="15.75" thickBot="1" x14ac:dyDescent="0.3">
      <c r="B14" s="434"/>
      <c r="C14" s="436"/>
      <c r="D14" s="439"/>
      <c r="E14" s="207"/>
      <c r="F14" s="207"/>
      <c r="G14" s="46"/>
      <c r="H14" s="47"/>
      <c r="I14" s="208"/>
      <c r="J14" s="209"/>
      <c r="K14" s="210"/>
      <c r="L14" s="211"/>
      <c r="M14" s="442"/>
      <c r="N14" s="220"/>
      <c r="O14" s="219"/>
      <c r="P14" s="172"/>
      <c r="Q14" s="172"/>
    </row>
    <row r="15" spans="2:17" ht="15.75" thickBot="1" x14ac:dyDescent="0.3">
      <c r="B15" s="434"/>
      <c r="C15" s="437"/>
      <c r="D15" s="440"/>
      <c r="E15" s="212"/>
      <c r="F15" s="212"/>
      <c r="G15" s="213"/>
      <c r="H15" s="214"/>
      <c r="I15" s="215"/>
      <c r="J15" s="216"/>
      <c r="K15" s="217"/>
      <c r="L15" s="218"/>
      <c r="M15" s="443"/>
      <c r="N15" s="220"/>
      <c r="O15" s="219"/>
      <c r="P15" s="172"/>
      <c r="Q15" s="172"/>
    </row>
    <row r="16" spans="2:17" ht="15.75" thickBot="1" x14ac:dyDescent="0.3">
      <c r="B16" s="434" t="s">
        <v>82</v>
      </c>
      <c r="C16" s="435"/>
      <c r="D16" s="438"/>
      <c r="E16" s="199"/>
      <c r="F16" s="199"/>
      <c r="G16" s="200"/>
      <c r="H16" s="201"/>
      <c r="I16" s="202"/>
      <c r="J16" s="203"/>
      <c r="K16" s="204"/>
      <c r="L16" s="205"/>
      <c r="M16" s="441"/>
      <c r="N16" s="220"/>
      <c r="O16" s="219"/>
      <c r="P16" s="172"/>
      <c r="Q16" s="172"/>
    </row>
    <row r="17" spans="2:17" ht="15.75" thickBot="1" x14ac:dyDescent="0.3">
      <c r="B17" s="434"/>
      <c r="C17" s="436"/>
      <c r="D17" s="439"/>
      <c r="E17" s="207"/>
      <c r="F17" s="207"/>
      <c r="G17" s="46"/>
      <c r="H17" s="47"/>
      <c r="I17" s="208"/>
      <c r="J17" s="209"/>
      <c r="K17" s="210"/>
      <c r="L17" s="211"/>
      <c r="M17" s="442"/>
      <c r="N17" s="220"/>
      <c r="O17" s="219"/>
      <c r="P17" s="172"/>
      <c r="Q17" s="172"/>
    </row>
    <row r="18" spans="2:17" ht="15.75" thickBot="1" x14ac:dyDescent="0.3">
      <c r="B18" s="434"/>
      <c r="C18" s="437"/>
      <c r="D18" s="440"/>
      <c r="E18" s="212"/>
      <c r="F18" s="212"/>
      <c r="G18" s="213"/>
      <c r="H18" s="214"/>
      <c r="I18" s="215"/>
      <c r="J18" s="216"/>
      <c r="K18" s="217"/>
      <c r="L18" s="218"/>
      <c r="M18" s="443"/>
      <c r="N18" s="220"/>
      <c r="O18" s="219"/>
      <c r="P18" s="172"/>
      <c r="Q18" s="172"/>
    </row>
    <row r="19" spans="2:17" ht="15.75" thickBot="1" x14ac:dyDescent="0.3">
      <c r="B19" s="434" t="s">
        <v>83</v>
      </c>
      <c r="C19" s="435"/>
      <c r="D19" s="438"/>
      <c r="E19" s="199"/>
      <c r="F19" s="199"/>
      <c r="G19" s="200"/>
      <c r="H19" s="201"/>
      <c r="I19" s="202"/>
      <c r="J19" s="203"/>
      <c r="K19" s="204"/>
      <c r="L19" s="205"/>
      <c r="M19" s="441"/>
      <c r="N19" s="220"/>
      <c r="O19" s="219"/>
      <c r="P19" s="172"/>
      <c r="Q19" s="172"/>
    </row>
    <row r="20" spans="2:17" ht="15.75" thickBot="1" x14ac:dyDescent="0.3">
      <c r="B20" s="434"/>
      <c r="C20" s="436"/>
      <c r="D20" s="439"/>
      <c r="E20" s="207"/>
      <c r="F20" s="207"/>
      <c r="G20" s="46"/>
      <c r="H20" s="47"/>
      <c r="I20" s="208"/>
      <c r="J20" s="209"/>
      <c r="K20" s="210"/>
      <c r="L20" s="211"/>
      <c r="M20" s="442"/>
      <c r="N20" s="220"/>
      <c r="O20" s="219"/>
      <c r="P20" s="172"/>
      <c r="Q20" s="172"/>
    </row>
    <row r="21" spans="2:17" ht="15.75" thickBot="1" x14ac:dyDescent="0.3">
      <c r="B21" s="434"/>
      <c r="C21" s="437"/>
      <c r="D21" s="440"/>
      <c r="E21" s="212"/>
      <c r="F21" s="212"/>
      <c r="G21" s="213"/>
      <c r="H21" s="214"/>
      <c r="I21" s="215"/>
      <c r="J21" s="216"/>
      <c r="K21" s="217"/>
      <c r="L21" s="218"/>
      <c r="M21" s="443"/>
      <c r="N21" s="220"/>
      <c r="O21" s="219"/>
      <c r="P21" s="172"/>
      <c r="Q21" s="172"/>
    </row>
    <row r="22" spans="2:17" ht="15.75" thickBot="1" x14ac:dyDescent="0.3">
      <c r="B22" s="434" t="s">
        <v>84</v>
      </c>
      <c r="C22" s="435"/>
      <c r="D22" s="438"/>
      <c r="E22" s="199"/>
      <c r="F22" s="199"/>
      <c r="G22" s="200"/>
      <c r="H22" s="201"/>
      <c r="I22" s="202"/>
      <c r="J22" s="203"/>
      <c r="K22" s="204"/>
      <c r="L22" s="205"/>
      <c r="M22" s="441"/>
      <c r="N22" s="195"/>
      <c r="O22" s="219"/>
      <c r="P22" s="172"/>
      <c r="Q22" s="172"/>
    </row>
    <row r="23" spans="2:17" ht="15.75" thickBot="1" x14ac:dyDescent="0.3">
      <c r="B23" s="434"/>
      <c r="C23" s="436"/>
      <c r="D23" s="439"/>
      <c r="E23" s="207"/>
      <c r="F23" s="207"/>
      <c r="G23" s="46"/>
      <c r="H23" s="47"/>
      <c r="I23" s="208"/>
      <c r="J23" s="209"/>
      <c r="K23" s="210"/>
      <c r="L23" s="211"/>
      <c r="M23" s="442"/>
      <c r="N23" s="220"/>
      <c r="O23" s="219"/>
      <c r="P23" s="172"/>
      <c r="Q23" s="172"/>
    </row>
    <row r="24" spans="2:17" ht="15.75" thickBot="1" x14ac:dyDescent="0.3">
      <c r="B24" s="434"/>
      <c r="C24" s="437"/>
      <c r="D24" s="440"/>
      <c r="E24" s="212"/>
      <c r="F24" s="212"/>
      <c r="G24" s="213"/>
      <c r="H24" s="214"/>
      <c r="I24" s="215"/>
      <c r="J24" s="216"/>
      <c r="K24" s="217"/>
      <c r="L24" s="218"/>
      <c r="M24" s="443"/>
      <c r="N24" s="220"/>
      <c r="O24" s="219"/>
      <c r="P24" s="172"/>
      <c r="Q24" s="172"/>
    </row>
    <row r="25" spans="2:17" ht="15.75" thickBot="1" x14ac:dyDescent="0.3">
      <c r="B25" s="434" t="s">
        <v>85</v>
      </c>
      <c r="C25" s="435"/>
      <c r="D25" s="438"/>
      <c r="E25" s="199"/>
      <c r="F25" s="199"/>
      <c r="G25" s="200"/>
      <c r="H25" s="201"/>
      <c r="I25" s="202"/>
      <c r="J25" s="203"/>
      <c r="K25" s="204"/>
      <c r="L25" s="205"/>
      <c r="M25" s="441"/>
      <c r="N25" s="220"/>
      <c r="O25" s="219"/>
      <c r="P25" s="172"/>
      <c r="Q25" s="172"/>
    </row>
    <row r="26" spans="2:17" ht="15.75" thickBot="1" x14ac:dyDescent="0.3">
      <c r="B26" s="434"/>
      <c r="C26" s="436"/>
      <c r="D26" s="439"/>
      <c r="E26" s="207"/>
      <c r="F26" s="207"/>
      <c r="G26" s="46"/>
      <c r="H26" s="47"/>
      <c r="I26" s="208"/>
      <c r="J26" s="209"/>
      <c r="K26" s="210"/>
      <c r="L26" s="211"/>
      <c r="M26" s="442"/>
      <c r="N26" s="220"/>
      <c r="O26" s="219"/>
      <c r="P26" s="172"/>
      <c r="Q26" s="172"/>
    </row>
    <row r="27" spans="2:17" ht="15.75" thickBot="1" x14ac:dyDescent="0.3">
      <c r="B27" s="434"/>
      <c r="C27" s="437"/>
      <c r="D27" s="440"/>
      <c r="E27" s="212"/>
      <c r="F27" s="212"/>
      <c r="G27" s="213"/>
      <c r="H27" s="214"/>
      <c r="I27" s="215"/>
      <c r="J27" s="216"/>
      <c r="K27" s="217"/>
      <c r="L27" s="218"/>
      <c r="M27" s="443"/>
      <c r="N27" s="220"/>
      <c r="O27" s="219"/>
      <c r="P27" s="172"/>
      <c r="Q27" s="172"/>
    </row>
    <row r="28" spans="2:17" ht="15.75" thickBot="1" x14ac:dyDescent="0.3">
      <c r="B28" s="434" t="s">
        <v>86</v>
      </c>
      <c r="C28" s="435"/>
      <c r="D28" s="438"/>
      <c r="E28" s="199"/>
      <c r="F28" s="199"/>
      <c r="G28" s="200"/>
      <c r="H28" s="201"/>
      <c r="I28" s="202"/>
      <c r="J28" s="203"/>
      <c r="K28" s="204"/>
      <c r="L28" s="205"/>
      <c r="M28" s="441"/>
      <c r="N28" s="220"/>
      <c r="O28" s="219"/>
      <c r="P28" s="172"/>
      <c r="Q28" s="172"/>
    </row>
    <row r="29" spans="2:17" ht="15.75" thickBot="1" x14ac:dyDescent="0.3">
      <c r="B29" s="434"/>
      <c r="C29" s="436"/>
      <c r="D29" s="439"/>
      <c r="E29" s="207"/>
      <c r="F29" s="207"/>
      <c r="G29" s="46"/>
      <c r="H29" s="47"/>
      <c r="I29" s="208"/>
      <c r="J29" s="209"/>
      <c r="K29" s="210"/>
      <c r="L29" s="211"/>
      <c r="M29" s="442"/>
      <c r="N29" s="220"/>
      <c r="O29" s="219"/>
      <c r="P29" s="172"/>
      <c r="Q29" s="172"/>
    </row>
    <row r="30" spans="2:17" ht="15.75" thickBot="1" x14ac:dyDescent="0.3">
      <c r="B30" s="434"/>
      <c r="C30" s="437"/>
      <c r="D30" s="440"/>
      <c r="E30" s="212"/>
      <c r="F30" s="212"/>
      <c r="G30" s="213"/>
      <c r="H30" s="214"/>
      <c r="I30" s="215"/>
      <c r="J30" s="216"/>
      <c r="K30" s="217"/>
      <c r="L30" s="218"/>
      <c r="M30" s="443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44" t="s">
        <v>98</v>
      </c>
      <c r="C36" s="445"/>
      <c r="D36" s="445"/>
      <c r="E36" s="445"/>
      <c r="F36" s="445"/>
      <c r="G36" s="445"/>
      <c r="H36" s="445"/>
      <c r="I36" s="445"/>
      <c r="J36" s="446"/>
      <c r="K36" s="444" t="s">
        <v>99</v>
      </c>
      <c r="L36" s="445"/>
      <c r="M36" s="445"/>
      <c r="N36" s="363"/>
      <c r="O36" s="364"/>
    </row>
    <row r="37" spans="2:15" x14ac:dyDescent="0.25">
      <c r="B37" s="423"/>
      <c r="C37" s="424"/>
      <c r="D37" s="424"/>
      <c r="E37" s="424"/>
      <c r="F37" s="424"/>
      <c r="G37" s="424"/>
      <c r="H37" s="424"/>
      <c r="I37" s="424"/>
      <c r="J37" s="425"/>
      <c r="K37" s="432" t="s">
        <v>100</v>
      </c>
      <c r="L37" s="363"/>
      <c r="M37" s="364"/>
      <c r="N37" s="432" t="s">
        <v>101</v>
      </c>
      <c r="O37" s="433"/>
    </row>
    <row r="38" spans="2:15" x14ac:dyDescent="0.25">
      <c r="B38" s="426"/>
      <c r="C38" s="427"/>
      <c r="D38" s="427"/>
      <c r="E38" s="427"/>
      <c r="F38" s="427"/>
      <c r="G38" s="427"/>
      <c r="H38" s="427"/>
      <c r="I38" s="427"/>
      <c r="J38" s="428"/>
      <c r="K38" s="423"/>
      <c r="L38" s="424"/>
      <c r="M38" s="425"/>
      <c r="N38" s="423"/>
      <c r="O38" s="425"/>
    </row>
    <row r="39" spans="2:15" x14ac:dyDescent="0.25">
      <c r="B39" s="426"/>
      <c r="C39" s="427"/>
      <c r="D39" s="427"/>
      <c r="E39" s="427"/>
      <c r="F39" s="427"/>
      <c r="G39" s="427"/>
      <c r="H39" s="427"/>
      <c r="I39" s="427"/>
      <c r="J39" s="428"/>
      <c r="K39" s="426"/>
      <c r="L39" s="427"/>
      <c r="M39" s="428"/>
      <c r="N39" s="426"/>
      <c r="O39" s="428"/>
    </row>
    <row r="40" spans="2:15" x14ac:dyDescent="0.25">
      <c r="B40" s="426"/>
      <c r="C40" s="427"/>
      <c r="D40" s="427"/>
      <c r="E40" s="427"/>
      <c r="F40" s="427"/>
      <c r="G40" s="427"/>
      <c r="H40" s="427"/>
      <c r="I40" s="427"/>
      <c r="J40" s="428"/>
      <c r="K40" s="426"/>
      <c r="L40" s="427"/>
      <c r="M40" s="428"/>
      <c r="N40" s="426"/>
      <c r="O40" s="428"/>
    </row>
    <row r="41" spans="2:15" x14ac:dyDescent="0.25">
      <c r="B41" s="429"/>
      <c r="C41" s="430"/>
      <c r="D41" s="430"/>
      <c r="E41" s="430"/>
      <c r="F41" s="430"/>
      <c r="G41" s="430"/>
      <c r="H41" s="430"/>
      <c r="I41" s="430"/>
      <c r="J41" s="431"/>
      <c r="K41" s="429"/>
      <c r="L41" s="430"/>
      <c r="M41" s="431"/>
      <c r="N41" s="429"/>
      <c r="O41" s="431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2025-09-28T12:28:26Z</dcterms:modified>
</cp:coreProperties>
</file>