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14" i="93" l="1"/>
  <c r="AZ43" i="93" s="1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<sst xmlns="http://schemas.openxmlformats.org/spreadsheetml/2006/main" count="268" uniqueCount="154">
  <si>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</si>
  <si>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</si>
  <si>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</si>
  <si>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</si>
  <si>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</si>
  <si>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</si>
  <si>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</si>
  <si>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</si>
  <si>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</si>
  <si>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</si>
  <si>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</si>
  <si>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</si>
  <si>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</si>
  <si>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</si>
  <si>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</si>
  <si>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</si>
  <si>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</si>
  <si>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</si>
  <si>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</si>
  <si>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</si>
  <si>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</si>
  <si>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</si>
  <si>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</si>
  <si>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</si>
  <si>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</si>
  <si>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</si>
  <si>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</si>
  <si>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</si>
  <si>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</si>
  <si>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</si>
  <si>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</si>
  <si>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</si>
  <si>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</si>
  <si>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</si>
  <si>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</si>
  <si>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</si>
  <si>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</si>
  <si>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</si>
  <si>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</si>
  <si>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</si>
  <si>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</si>
  <si>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</si>
  <si>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</si>
  <si>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</si>
  <si>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</si>
  <si>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</si>
  <si>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</si>
  <si>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</si>
  <si>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</si>
  <si>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</si>
  <si>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</si>
  <si>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</si>
  <si>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</si>
  <si>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</si>
  <si>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</si>
  <si>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</si>
  <si>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</si>
  <si>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</si>
  <si>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</si>
  <si>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</si>
  <si>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</si>
  <si>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</si>
  <si>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</si>
  <si>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</si>
  <si>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</si>
  <si>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</si>
  <si>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</si>
  <si>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</si>
  <si>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</si>
  <si>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</si>
  <si>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</si>
  <si>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</si>
  <si>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</si>
  <si>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</si>
  <si>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</si>
  <si>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</si>
  <si>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</si>
  <si>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</si>
  <si>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</si>
  <si>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</si>
  <si>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</si>
  <si>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</si>
  <si>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</si>
  <si>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</si>
  <si>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</si>
  <si>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</si>
  <si>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</si>
  <si>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</si>
  <si>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</si>
  <si>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</si>
  <si>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</si>
  <si>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</si>
  <si>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</si>
  <si>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</si>
  <si>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</si>
  <si>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</si>
  <si>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</si>
  <si>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</si>
  <si>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</si>
  <si>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</si>
  <si>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</si>
  <si>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</si>
  <si>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</si>
  <si>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2025.8.1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</si>
  <si>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</si>
  <si>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</si>
  <si>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</si>
  <si>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</si>
  <si>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</si>
  <si>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</si>
  <si>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</si>
  <si>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</si>
  <si>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</si>
  <si>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</si>
  <si>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</si>
  <si>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</si>
  <si>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</si>
  <si>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</si>
  <si>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</si>
  <si>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</si>
  <si>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</si>
  <si>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</si>
  <si>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</si>
  <si>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</si>
  <si>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</si>
  <si>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</si>
  <si>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</si>
  <si>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</si>
  <si>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</si>
  <si>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</si>
  <si>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</si>
  <si>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</si>
  <si>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</si>
  <si>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</si>
  <si>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</si>
  <si>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</si>
  <si>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</si>
  <si>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</si>
  <si>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</si>
  <si>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</si>
  <si>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</si>
  <si>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</si>
  <si>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</si>
  <si>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</si>
  <si>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</si>
  <si>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</si>
  <si>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</si>
  <si>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</si>
  <si>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</si>
  <si>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Juillet</t>
  </si>
  <si>
    <t>Semaine n° 27 du 30/06/2025 au 06/07/2025</t>
  </si>
  <si>
    <t>PL</t>
  </si>
  <si>
    <t>-Fusion des data GPS à l'importation</t>
  </si>
  <si>
    <t>$P$9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</si>
</sst>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174" xfId="0" applyBorder="1"/>
    <xf numFmtId="0" fontId="0" fillId="0" borderId="173" xfId="0" applyBorder="1"/>
    <xf numFmtId="166" fontId="16" fillId="14" borderId="99" xfId="0" applyNumberFormat="1" applyFont="1" applyFill="1" applyBorder="1" applyAlignment="1" applyProtection="1">
      <alignment horizontal="right"/>
      <protection locked="0"/>
    </xf>
    <xf numFmtId="166" fontId="16" fillId="14" borderId="100" xfId="0" applyNumberFormat="1" applyFont="1" applyFill="1" applyBorder="1" applyAlignment="1" applyProtection="1">
      <alignment horizontal="right"/>
      <protection locked="0"/>
    </xf>
    <xf numFmtId="166" fontId="16" fillId="14" borderId="101" xfId="0" applyNumberFormat="1" applyFont="1" applyFill="1" applyBorder="1" applyAlignment="1" applyProtection="1">
      <alignment horizontal="right"/>
      <protection locked="0"/>
    </xf>
    <xf numFmtId="166" fontId="16" fillId="14" borderId="102" xfId="0" applyNumberFormat="1" applyFont="1" applyFill="1" applyBorder="1" applyAlignment="1" applyProtection="1">
      <alignment horizontal="right"/>
      <protection locked="0"/>
    </xf>
    <xf numFmtId="0" fontId="13" fillId="14" borderId="46" xfId="0" applyFont="1" applyFill="1" applyBorder="1" applyAlignment="1">
      <alignment horizontal="right"/>
    </xf>
    <xf numFmtId="0" fontId="13" fillId="14" borderId="49" xfId="0" applyFont="1" applyFill="1" applyBorder="1" applyAlignment="1">
      <alignment horizontal="right"/>
    </xf>
    <xf numFmtId="0" fontId="13" fillId="14" borderId="48" xfId="0" applyFont="1" applyFill="1" applyBorder="1" applyAlignment="1">
      <alignment horizontal="right"/>
    </xf>
    <xf numFmtId="0" fontId="3" fillId="0" borderId="177" xfId="0" applyFont="1" applyFill="1" applyBorder="1"/>
    <xf numFmtId="14" fontId="3" fillId="0" borderId="178" xfId="0" applyNumberFormat="1" applyFont="1" applyFill="1" applyBorder="1"/>
    <xf numFmtId="20" fontId="3" fillId="0" borderId="178" xfId="0" applyNumberFormat="1" applyFont="1" applyFill="1" applyBorder="1"/>
    <xf numFmtId="0" fontId="3" fillId="0" borderId="178" xfId="0" applyFont="1" applyFill="1" applyBorder="1"/>
    <xf numFmtId="0" fontId="3" fillId="0" borderId="179" xfId="0" applyFont="1" applyFill="1" applyBorder="1"/>
    <xf numFmtId="0" fontId="3" fillId="0" borderId="180" xfId="0" applyFont="1" applyFill="1" applyBorder="1"/>
    <xf numFmtId="0" fontId="3" fillId="0" borderId="181" xfId="0" applyFont="1" applyFill="1" applyBorder="1"/>
    <xf numFmtId="20" fontId="3" fillId="0" borderId="181" xfId="0" applyNumberFormat="1" applyFont="1" applyFill="1" applyBorder="1"/>
    <xf numFmtId="0" fontId="3" fillId="0" borderId="182" xfId="0" applyFont="1" applyFill="1" applyBorder="1"/>
    <xf numFmtId="0" fontId="8" fillId="0" borderId="175" xfId="0" applyFont="1" applyFill="1" applyBorder="1" applyAlignment="1">
      <alignment horizontal="center"/>
    </xf>
    <xf numFmtId="0" fontId="8" fillId="0" borderId="176" xfId="0" applyFont="1" applyFill="1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72" xfId="0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0" fontId="26" fillId="0" borderId="171" xfId="0" applyFont="1" applyFill="1" applyBorder="1" applyAlignment="1">
      <alignment horizontal="center"/>
    </xf>
    <xf numFmtId="0" fontId="26" fillId="0" borderId="173" xfId="0" applyFont="1" applyFill="1" applyBorder="1" applyAlignment="1">
      <alignment horizontal="center"/>
    </xf>
    <xf numFmtId="166" fontId="24" fillId="14" borderId="64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166" fontId="8" fillId="14" borderId="134" xfId="0" applyNumberFormat="1" applyFont="1" applyFill="1" applyBorder="1" applyAlignment="1">
      <alignment horizontal="center"/>
    </xf>
    <xf numFmtId="166" fontId="8" fillId="14" borderId="130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14" fontId="0" fillId="0" borderId="0" xfId="0" applyNumberFormat="1" applyFill="1" applyAlignment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767C-4162-B189-A74AAE9FED10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767C-4162-B189-A74AAE9FED10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767C-4162-B189-A74AAE9FED10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767C-4162-B189-A74AAE9FE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K7" sqref="K7:L7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69" t="s">
        <v>149</v>
      </c>
      <c r="O1" s="369"/>
      <c r="P1" s="369"/>
      <c r="Q1" s="125"/>
      <c r="S1" s="369">
        <v>2025</v>
      </c>
      <c r="T1" s="369"/>
      <c r="X1" s="24" t="s">
        <v>75</v>
      </c>
      <c r="AA1" s="324"/>
      <c r="AB1" s="324"/>
      <c r="AC1" s="26"/>
    </row>
    <row r="2" spans="3:38" ht="15.75" thickBot="1" x14ac:dyDescent="0.3">
      <c r="E2" s="370" t="s">
        <v>76</v>
      </c>
      <c r="F2" s="371"/>
      <c r="G2" s="372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462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73"/>
      <c r="J23" s="374"/>
      <c r="K23" s="374"/>
      <c r="L23" s="374"/>
      <c r="M23" s="374"/>
      <c r="N23" s="375"/>
      <c r="Q23" s="226"/>
      <c r="R23" s="376" t="s">
        <v>77</v>
      </c>
      <c r="S23" s="344"/>
      <c r="T23" s="344"/>
      <c r="U23" s="344"/>
      <c r="V23" s="345"/>
    </row>
    <row r="24" spans="2:38" ht="15.75" thickBot="1" x14ac:dyDescent="0.3">
      <c r="B24" s="377" t="s">
        <v>78</v>
      </c>
      <c r="C24" s="378"/>
      <c r="D24" s="378"/>
      <c r="E24" s="378"/>
      <c r="F24" s="378"/>
      <c r="G24" s="378"/>
      <c r="H24" s="378"/>
      <c r="I24" s="379"/>
      <c r="J24" s="379"/>
      <c r="K24" s="379"/>
      <c r="L24" s="379"/>
      <c r="M24" s="379"/>
      <c r="N24" s="379"/>
      <c r="O24" s="378"/>
      <c r="P24" s="378"/>
      <c r="Q24" s="379"/>
      <c r="R24" s="378"/>
      <c r="S24" s="378"/>
      <c r="T24" s="378"/>
      <c r="U24" s="378"/>
      <c r="V24" s="378"/>
      <c r="W24" s="380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81">
        <v>1</v>
      </c>
      <c r="E25" s="381"/>
      <c r="F25" s="381">
        <v>2</v>
      </c>
      <c r="G25" s="381"/>
      <c r="H25" s="381">
        <v>3</v>
      </c>
      <c r="I25" s="381"/>
      <c r="J25" s="381">
        <v>4</v>
      </c>
      <c r="K25" s="381"/>
      <c r="L25" s="381">
        <v>5</v>
      </c>
      <c r="M25" s="367"/>
      <c r="N25" s="367">
        <v>6</v>
      </c>
      <c r="O25" s="368"/>
      <c r="P25" s="367">
        <v>7</v>
      </c>
      <c r="Q25" s="368"/>
      <c r="R25" s="367">
        <v>8</v>
      </c>
      <c r="S25" s="368"/>
      <c r="T25" s="367">
        <v>9</v>
      </c>
      <c r="U25" s="368"/>
      <c r="V25" s="367">
        <v>10</v>
      </c>
      <c r="W25" s="366"/>
      <c r="X25" s="325" t="s">
        <v>114</v>
      </c>
      <c r="Y25" s="326"/>
      <c r="Z25" s="327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108</v>
      </c>
      <c r="Z26" s="263" t="s">
        <v>115</v>
      </c>
      <c r="AA26" s="365" t="s">
        <v>104</v>
      </c>
      <c r="AB26" s="366"/>
      <c r="AC26" s="365" t="s">
        <v>105</v>
      </c>
      <c r="AD26" s="366"/>
      <c r="AE26" s="342" t="s">
        <v>106</v>
      </c>
      <c r="AF26" s="342"/>
      <c r="AG26" s="342" t="s">
        <v>107</v>
      </c>
      <c r="AH26" s="342"/>
    </row>
    <row r="27" spans="2:38" ht="14.1" customHeight="1" x14ac:dyDescent="0.25">
      <c r="B27" s="175" t="s">
        <v>80</v>
      </c>
      <c r="C27" s="176">
        <v>45831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51"/>
      <c r="AB27" s="352"/>
      <c r="AC27" s="328" t="str">
        <f>TRUNC(SUM(AA27:AA33)*24,0) &amp; "h" &amp; RIGHT("00"&amp;ROUND(((SUM(AA27:AA33)*24)-TRUNC(SUM(AA27:AA33)*24,0))*60,2),2)</f>
        <v>0h00</v>
      </c>
      <c r="AD27" s="329"/>
      <c r="AE27" s="346"/>
      <c r="AF27" s="346"/>
      <c r="AG27" s="328" t="str">
        <f>TRUNC(SUM(AE27:AE33)*24,0) &amp; "h" &amp; RIGHT("00"&amp;ROUND(((SUM(AE27:AE33)*24)-TRUNC(SUM(AE27:AE33)*24,0))*60,2),2)</f>
        <v>0h00</v>
      </c>
      <c r="AH27" s="329"/>
    </row>
    <row r="28" spans="2:38" ht="14.1" customHeight="1" x14ac:dyDescent="0.25">
      <c r="B28" s="139" t="s">
        <v>81</v>
      </c>
      <c r="C28" s="140">
        <v>45832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49"/>
      <c r="AB28" s="350"/>
      <c r="AC28" s="330"/>
      <c r="AD28" s="331"/>
      <c r="AE28" s="323"/>
      <c r="AF28" s="323"/>
      <c r="AG28" s="330"/>
      <c r="AH28" s="331"/>
    </row>
    <row r="29" spans="2:38" ht="14.1" customHeight="1" x14ac:dyDescent="0.25">
      <c r="B29" s="139" t="s">
        <v>82</v>
      </c>
      <c r="C29" s="140">
        <v>45833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47"/>
      <c r="AB29" s="348"/>
      <c r="AC29" s="332"/>
      <c r="AD29" s="333"/>
      <c r="AE29" s="340"/>
      <c r="AF29" s="340"/>
      <c r="AG29" s="332"/>
      <c r="AH29" s="333"/>
    </row>
    <row r="30" spans="2:38" ht="14.1" customHeight="1" x14ac:dyDescent="0.25">
      <c r="B30" s="139" t="s">
        <v>83</v>
      </c>
      <c r="C30" s="140">
        <v>45834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49"/>
      <c r="AB30" s="350"/>
      <c r="AC30" s="330"/>
      <c r="AD30" s="331"/>
      <c r="AE30" s="323"/>
      <c r="AF30" s="323"/>
      <c r="AG30" s="330"/>
      <c r="AH30" s="331"/>
    </row>
    <row r="31" spans="2:38" ht="14.1" customHeight="1" x14ac:dyDescent="0.25">
      <c r="B31" s="139" t="s">
        <v>84</v>
      </c>
      <c r="C31" s="140">
        <v>45835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47"/>
      <c r="AB31" s="348"/>
      <c r="AC31" s="332"/>
      <c r="AD31" s="333"/>
      <c r="AE31" s="340"/>
      <c r="AF31" s="340"/>
      <c r="AG31" s="332"/>
      <c r="AH31" s="333"/>
    </row>
    <row r="32" spans="2:38" ht="14.1" customHeight="1" x14ac:dyDescent="0.25">
      <c r="B32" s="139" t="s">
        <v>85</v>
      </c>
      <c r="C32" s="140">
        <v>45836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49"/>
      <c r="AB32" s="350"/>
      <c r="AC32" s="330"/>
      <c r="AD32" s="331"/>
      <c r="AE32" s="323"/>
      <c r="AF32" s="323"/>
      <c r="AG32" s="330"/>
      <c r="AH32" s="331"/>
    </row>
    <row r="33" spans="2:40" ht="14.1" customHeight="1" x14ac:dyDescent="0.25">
      <c r="B33" s="163" t="s">
        <v>86</v>
      </c>
      <c r="C33" s="164">
        <v>45837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53"/>
      <c r="AB33" s="354"/>
      <c r="AC33" s="334"/>
      <c r="AD33" s="335"/>
      <c r="AE33" s="340"/>
      <c r="AF33" s="340"/>
      <c r="AG33" s="334"/>
      <c r="AH33" s="335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45838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55"/>
      <c r="AB34" s="356"/>
      <c r="AC34" s="336" t="str">
        <f>TRUNC(SUM(AA34:AA40)*24,0) &amp; "h" &amp; RIGHT("00"&amp;ROUND(((SUM(AA34:AA40)*24)-TRUNC(SUM(AA34:AA40)*24,0))*60,2),2)</f>
        <v>0h00</v>
      </c>
      <c r="AD34" s="337"/>
      <c r="AE34" s="323"/>
      <c r="AF34" s="323"/>
      <c r="AG34" s="336" t="str">
        <f>TRUNC(SUM(AE34:AE40)*24,0) &amp; "h" &amp; RIGHT("00"&amp;ROUND(((SUM(AE34:AE40)*24)-TRUNC(SUM(AE34:AE40)*24,0))*60,2),2)</f>
        <v>0h00</v>
      </c>
      <c r="AH34" s="337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45839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47"/>
      <c r="AB35" s="348"/>
      <c r="AC35" s="332"/>
      <c r="AD35" s="333"/>
      <c r="AE35" s="340"/>
      <c r="AF35" s="340"/>
      <c r="AG35" s="332"/>
      <c r="AH35" s="333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45840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49"/>
      <c r="AB36" s="350"/>
      <c r="AC36" s="330"/>
      <c r="AD36" s="331"/>
      <c r="AE36" s="323"/>
      <c r="AF36" s="323"/>
      <c r="AG36" s="330"/>
      <c r="AH36" s="331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45841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47"/>
      <c r="AB37" s="348"/>
      <c r="AC37" s="332"/>
      <c r="AD37" s="333"/>
      <c r="AE37" s="340"/>
      <c r="AF37" s="340"/>
      <c r="AG37" s="332"/>
      <c r="AH37" s="333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45842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49"/>
      <c r="AB38" s="350"/>
      <c r="AC38" s="330"/>
      <c r="AD38" s="331"/>
      <c r="AE38" s="323"/>
      <c r="AF38" s="323"/>
      <c r="AG38" s="330"/>
      <c r="AH38" s="331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45843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47"/>
      <c r="AB39" s="348"/>
      <c r="AC39" s="332"/>
      <c r="AD39" s="333"/>
      <c r="AE39" s="340"/>
      <c r="AF39" s="340"/>
      <c r="AG39" s="332"/>
      <c r="AH39" s="333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45844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61"/>
      <c r="AB40" s="362"/>
      <c r="AC40" s="338"/>
      <c r="AD40" s="339"/>
      <c r="AE40" s="323"/>
      <c r="AF40" s="323"/>
      <c r="AG40" s="338"/>
      <c r="AH40" s="339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45845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57"/>
      <c r="AB41" s="358"/>
      <c r="AC41" s="328" t="str">
        <f>TRUNC(SUM(AA41:AA47)*24,0) &amp; "h" &amp; RIGHT("00"&amp;ROUND(((SUM(AA41:AA47)*24)-TRUNC(SUM(AA41:AA47)*24,0))*60,2),2)</f>
        <v>0h00</v>
      </c>
      <c r="AD41" s="329"/>
      <c r="AE41" s="340"/>
      <c r="AF41" s="340"/>
      <c r="AG41" s="328" t="str">
        <f>TRUNC(SUM(AE41:AE47)*24,0) &amp; "h" &amp; RIGHT("00"&amp;ROUND(((SUM(AE41:AE47)*24)-TRUNC(SUM(AE41:AE47)*24,0))*60,2),2)</f>
        <v>0h00</v>
      </c>
      <c r="AH41" s="329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45846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49"/>
      <c r="AB42" s="350"/>
      <c r="AC42" s="330"/>
      <c r="AD42" s="331"/>
      <c r="AE42" s="323"/>
      <c r="AF42" s="323"/>
      <c r="AG42" s="330"/>
      <c r="AH42" s="331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45847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47"/>
      <c r="AB43" s="348"/>
      <c r="AC43" s="332"/>
      <c r="AD43" s="333"/>
      <c r="AE43" s="340"/>
      <c r="AF43" s="340"/>
      <c r="AG43" s="332"/>
      <c r="AH43" s="333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45848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49"/>
      <c r="AB44" s="350"/>
      <c r="AC44" s="330"/>
      <c r="AD44" s="331"/>
      <c r="AE44" s="323"/>
      <c r="AF44" s="323"/>
      <c r="AG44" s="330"/>
      <c r="AH44" s="331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45849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47"/>
      <c r="AB45" s="348"/>
      <c r="AC45" s="332"/>
      <c r="AD45" s="333"/>
      <c r="AE45" s="340"/>
      <c r="AF45" s="340"/>
      <c r="AG45" s="332"/>
      <c r="AH45" s="333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45850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49"/>
      <c r="AB46" s="350"/>
      <c r="AC46" s="330"/>
      <c r="AD46" s="331"/>
      <c r="AE46" s="323"/>
      <c r="AF46" s="323"/>
      <c r="AG46" s="330"/>
      <c r="AH46" s="331"/>
    </row>
    <row r="47" spans="2:40" ht="14.1" customHeight="1" x14ac:dyDescent="0.25">
      <c r="B47" s="163" t="s">
        <v>86</v>
      </c>
      <c r="C47" s="164">
        <v>45851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53"/>
      <c r="AB47" s="354"/>
      <c r="AC47" s="334"/>
      <c r="AD47" s="335"/>
      <c r="AE47" s="340"/>
      <c r="AF47" s="340"/>
      <c r="AG47" s="334"/>
      <c r="AH47" s="335"/>
    </row>
    <row r="48" spans="2:40" ht="14.1" customHeight="1" x14ac:dyDescent="0.25">
      <c r="B48" s="139" t="s">
        <v>80</v>
      </c>
      <c r="C48" s="140">
        <v>45852</v>
      </c>
      <c r="D48" s="299"/>
      <c r="E48" s="300"/>
      <c r="F48" s="299"/>
      <c r="G48" s="300"/>
      <c r="H48" s="299"/>
      <c r="I48" s="300"/>
      <c r="J48" s="299"/>
      <c r="K48" s="300"/>
      <c r="L48" s="299"/>
      <c r="M48" s="300"/>
      <c r="N48" s="301"/>
      <c r="O48" s="300"/>
      <c r="P48" s="299"/>
      <c r="Q48" s="300"/>
      <c r="R48" s="299"/>
      <c r="S48" s="300"/>
      <c r="T48" s="299"/>
      <c r="U48" s="300"/>
      <c r="V48" s="299"/>
      <c r="W48" s="302"/>
      <c r="X48" s="303"/>
      <c r="Y48" s="304"/>
      <c r="Z48" s="305"/>
      <c r="AA48" s="363"/>
      <c r="AB48" s="364"/>
      <c r="AC48" s="336" t="str">
        <f>TRUNC(SUM(AA48:AA54)*24,0) &amp; "h" &amp; RIGHT("00"&amp;ROUND(((SUM(AA48:AA54)*24)-TRUNC(SUM(AA48:AA54)*24,0))*60,2),2)</f>
        <v>0h00</v>
      </c>
      <c r="AD48" s="337"/>
      <c r="AE48" s="322"/>
      <c r="AF48" s="323"/>
      <c r="AG48" s="336" t="str">
        <f>TRUNC(SUM(AE48:AE54)*24,0) &amp; "h" &amp; RIGHT("00"&amp;ROUND(((SUM(AE48:AE54)*24)-TRUNC(SUM(AE48:AE54)*24,0))*60,2),2)</f>
        <v>0h00</v>
      </c>
      <c r="AH48" s="337"/>
    </row>
    <row r="49" spans="2:34" ht="14.1" customHeight="1" x14ac:dyDescent="0.25">
      <c r="B49" s="139" t="s">
        <v>81</v>
      </c>
      <c r="C49" s="140">
        <v>45853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47"/>
      <c r="AB49" s="348"/>
      <c r="AC49" s="332"/>
      <c r="AD49" s="333"/>
      <c r="AE49" s="340"/>
      <c r="AF49" s="340"/>
      <c r="AG49" s="332"/>
      <c r="AH49" s="333"/>
    </row>
    <row r="50" spans="2:34" ht="14.1" customHeight="1" x14ac:dyDescent="0.25">
      <c r="B50" s="139" t="s">
        <v>82</v>
      </c>
      <c r="C50" s="140">
        <v>45854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49"/>
      <c r="AB50" s="350"/>
      <c r="AC50" s="330"/>
      <c r="AD50" s="331"/>
      <c r="AE50" s="323"/>
      <c r="AF50" s="323"/>
      <c r="AG50" s="330"/>
      <c r="AH50" s="331"/>
    </row>
    <row r="51" spans="2:34" ht="14.1" customHeight="1" x14ac:dyDescent="0.25">
      <c r="B51" s="139" t="s">
        <v>83</v>
      </c>
      <c r="C51" s="140">
        <v>45855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47"/>
      <c r="AB51" s="348"/>
      <c r="AC51" s="332"/>
      <c r="AD51" s="333"/>
      <c r="AE51" s="340"/>
      <c r="AF51" s="340"/>
      <c r="AG51" s="332"/>
      <c r="AH51" s="333"/>
    </row>
    <row r="52" spans="2:34" ht="14.1" customHeight="1" x14ac:dyDescent="0.25">
      <c r="B52" s="139" t="s">
        <v>84</v>
      </c>
      <c r="C52" s="140">
        <v>45856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49"/>
      <c r="AB52" s="350"/>
      <c r="AC52" s="330"/>
      <c r="AD52" s="331"/>
      <c r="AE52" s="323"/>
      <c r="AF52" s="323"/>
      <c r="AG52" s="330"/>
      <c r="AH52" s="331"/>
    </row>
    <row r="53" spans="2:34" ht="14.1" customHeight="1" x14ac:dyDescent="0.25">
      <c r="B53" s="139" t="s">
        <v>85</v>
      </c>
      <c r="C53" s="140">
        <v>45857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47"/>
      <c r="AB53" s="348"/>
      <c r="AC53" s="332"/>
      <c r="AD53" s="333"/>
      <c r="AE53" s="340"/>
      <c r="AF53" s="340"/>
      <c r="AG53" s="332"/>
      <c r="AH53" s="333"/>
    </row>
    <row r="54" spans="2:34" ht="14.1" customHeight="1" x14ac:dyDescent="0.25">
      <c r="B54" s="163" t="s">
        <v>86</v>
      </c>
      <c r="C54" s="164">
        <v>45858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61"/>
      <c r="AB54" s="362"/>
      <c r="AC54" s="338"/>
      <c r="AD54" s="339"/>
      <c r="AE54" s="323"/>
      <c r="AF54" s="323"/>
      <c r="AG54" s="338"/>
      <c r="AH54" s="339"/>
    </row>
    <row r="55" spans="2:34" ht="14.1" customHeight="1" x14ac:dyDescent="0.25">
      <c r="B55" s="139" t="s">
        <v>80</v>
      </c>
      <c r="C55" s="140">
        <v>45859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57"/>
      <c r="AB55" s="358"/>
      <c r="AC55" s="328" t="str">
        <f>TRUNC(SUM(AA55:AA61)*24,0) &amp; "h" &amp; RIGHT("00"&amp;ROUND(((SUM(AA55:AA61)*24)-TRUNC(SUM(AA55:AA61)*24,0))*60,2),2)</f>
        <v>0h00</v>
      </c>
      <c r="AD55" s="329"/>
      <c r="AE55" s="340"/>
      <c r="AF55" s="340"/>
      <c r="AG55" s="328" t="str">
        <f>TRUNC(SUM(AE55:AE61)*24,0) &amp; "h" &amp; RIGHT("00"&amp;ROUND(((SUM(AE55:AE61)*24)-TRUNC(SUM(AE55:AE61)*24,0))*60,2),2)</f>
        <v>0h00</v>
      </c>
      <c r="AH55" s="329"/>
    </row>
    <row r="56" spans="2:34" ht="14.1" customHeight="1" x14ac:dyDescent="0.25">
      <c r="B56" s="139" t="s">
        <v>81</v>
      </c>
      <c r="C56" s="140">
        <v>45860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49"/>
      <c r="AB56" s="350"/>
      <c r="AC56" s="330"/>
      <c r="AD56" s="331"/>
      <c r="AE56" s="323"/>
      <c r="AF56" s="323"/>
      <c r="AG56" s="330"/>
      <c r="AH56" s="331"/>
    </row>
    <row r="57" spans="2:34" ht="14.1" customHeight="1" x14ac:dyDescent="0.25">
      <c r="B57" s="139" t="s">
        <v>82</v>
      </c>
      <c r="C57" s="140">
        <v>45861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47"/>
      <c r="AB57" s="348"/>
      <c r="AC57" s="332"/>
      <c r="AD57" s="333"/>
      <c r="AE57" s="340"/>
      <c r="AF57" s="340"/>
      <c r="AG57" s="332"/>
      <c r="AH57" s="333"/>
    </row>
    <row r="58" spans="2:34" ht="14.1" customHeight="1" x14ac:dyDescent="0.25">
      <c r="B58" s="139" t="s">
        <v>83</v>
      </c>
      <c r="C58" s="140">
        <v>45862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49"/>
      <c r="AB58" s="350"/>
      <c r="AC58" s="330"/>
      <c r="AD58" s="331"/>
      <c r="AE58" s="323"/>
      <c r="AF58" s="323"/>
      <c r="AG58" s="330"/>
      <c r="AH58" s="331"/>
    </row>
    <row r="59" spans="2:34" ht="14.1" customHeight="1" x14ac:dyDescent="0.25">
      <c r="B59" s="139" t="s">
        <v>84</v>
      </c>
      <c r="C59" s="140">
        <v>45863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47"/>
      <c r="AB59" s="348"/>
      <c r="AC59" s="332"/>
      <c r="AD59" s="333"/>
      <c r="AE59" s="340"/>
      <c r="AF59" s="340"/>
      <c r="AG59" s="332"/>
      <c r="AH59" s="333"/>
    </row>
    <row r="60" spans="2:34" ht="14.1" customHeight="1" x14ac:dyDescent="0.25">
      <c r="B60" s="139" t="s">
        <v>85</v>
      </c>
      <c r="C60" s="140">
        <v>45864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49"/>
      <c r="AB60" s="350"/>
      <c r="AC60" s="330"/>
      <c r="AD60" s="331"/>
      <c r="AE60" s="323"/>
      <c r="AF60" s="323"/>
      <c r="AG60" s="330"/>
      <c r="AH60" s="331"/>
    </row>
    <row r="61" spans="2:34" ht="14.1" customHeight="1" thickBot="1" x14ac:dyDescent="0.3">
      <c r="B61" s="169" t="s">
        <v>86</v>
      </c>
      <c r="C61" s="170">
        <v>45865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59"/>
      <c r="AB61" s="360"/>
      <c r="AC61" s="332"/>
      <c r="AD61" s="333"/>
      <c r="AE61" s="341"/>
      <c r="AF61" s="341"/>
      <c r="AG61" s="332"/>
      <c r="AH61" s="333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19" t="s">
        <v>130</v>
      </c>
      <c r="Z62" s="320"/>
      <c r="AA62" s="320"/>
      <c r="AB62" s="321"/>
      <c r="AC62" s="315" t="str">
        <f>TRUNC(SUM(AA27:AA61)*24,0) &amp; "h" &amp; RIGHT("00"&amp;ROUND(((SUM(AA27:AA61)*24)-TRUNC(SUM(AA27:AA61)*24,0))*60,2),2)</f>
        <v>0h00</v>
      </c>
      <c r="AD62" s="316"/>
      <c r="AE62" s="297"/>
      <c r="AF62" s="298"/>
      <c r="AG62" s="317" t="str">
        <f>TRUNC(SUM(AE27:AE61)*24,0) &amp; "h" &amp; RIGHT("00"&amp;ROUND(((SUM(AE27:AE61)*24)-TRUNC(SUM(AE27:AE61)*24,0))*60,2),2)</f>
        <v>0h00</v>
      </c>
      <c r="AH62" s="318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24" t="s">
        <v>150</v>
      </c>
      <c r="F66" s="324"/>
      <c r="G66" s="324"/>
      <c r="H66" s="324"/>
      <c r="I66" s="324"/>
      <c r="J66" s="324"/>
      <c r="K66" s="324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43" t="s">
        <v>109</v>
      </c>
      <c r="F68" s="344"/>
      <c r="G68" s="344"/>
      <c r="H68" s="344"/>
      <c r="I68" s="344"/>
      <c r="J68" s="344"/>
      <c r="K68" s="345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>
        <v>2</v>
      </c>
      <c r="F77" s="7">
        <v>2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39:AB39"/>
    <mergeCell ref="AA42:AB42"/>
    <mergeCell ref="AC27:AD33"/>
    <mergeCell ref="AC34:AD40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153</v>
      </c>
      <c r="AB1" t="s">
        <v>15</v>
      </c>
    </row>
    <row r="2" spans="4:28" ht="17.25" x14ac:dyDescent="0.3">
      <c r="D2" t="s">
        <v>13</v>
      </c>
      <c r="E2" s="390"/>
      <c r="F2" s="390"/>
      <c r="G2" s="390"/>
      <c r="H2" s="39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2"/>
      <c r="F4" s="382"/>
      <c r="G4" s="382"/>
      <c r="P4" t="s">
        <v>23</v>
      </c>
      <c r="Q4" t="s">
        <v>52</v>
      </c>
      <c r="T4" s="20"/>
      <c r="U4" t="s">
        <v>32</v>
      </c>
      <c r="AB4" t="s">
        <v>110</v>
      </c>
    </row>
    <row r="5" spans="4:28" x14ac:dyDescent="0.25">
      <c r="T5" s="21"/>
      <c r="U5" t="s">
        <v>33</v>
      </c>
      <c r="AB5" t="s">
        <v>111</v>
      </c>
    </row>
    <row r="6" spans="4:28" x14ac:dyDescent="0.25">
      <c r="D6" t="s">
        <v>35</v>
      </c>
      <c r="F6" s="43"/>
      <c r="G6" s="43"/>
      <c r="H6" s="43"/>
      <c r="T6" s="22"/>
      <c r="U6" t="s">
        <v>34</v>
      </c>
      <c r="AB6" t="s">
        <v>112</v>
      </c>
    </row>
    <row r="7" spans="4:28" ht="15.75" thickBot="1" x14ac:dyDescent="0.3">
      <c r="AB7" t="s">
        <v>113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129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6" t="s">
        <v>12</v>
      </c>
      <c r="I9" s="387"/>
      <c r="O9" s="457"/>
      <c r="P9" s="458"/>
      <c r="Q9" s="459"/>
      <c r="R9" s="460"/>
      <c r="S9" s="461"/>
    </row>
    <row r="10" spans="4:28" ht="15.75" thickBot="1" x14ac:dyDescent="0.3">
      <c r="D10" s="23"/>
      <c r="E10" s="294"/>
      <c r="F10" s="295"/>
      <c r="G10" s="296"/>
      <c r="H10" s="388"/>
      <c r="I10" s="389"/>
      <c r="O10" s="306"/>
      <c r="P10" s="307"/>
      <c r="Q10" s="308"/>
      <c r="R10" s="309"/>
      <c r="S10" s="310"/>
    </row>
    <row r="11" spans="4:28" x14ac:dyDescent="0.25">
      <c r="O11" s="306"/>
      <c r="P11" s="307"/>
      <c r="Q11" s="308"/>
      <c r="R11" s="309"/>
      <c r="S11" s="310"/>
    </row>
    <row r="12" spans="4:28" x14ac:dyDescent="0.25">
      <c r="O12" s="306"/>
      <c r="P12" s="307"/>
      <c r="Q12" s="308"/>
      <c r="R12" s="309"/>
      <c r="S12" s="310"/>
    </row>
    <row r="13" spans="4:28" x14ac:dyDescent="0.25">
      <c r="O13" s="306"/>
      <c r="P13" s="307"/>
      <c r="Q13" s="308"/>
      <c r="R13" s="309"/>
      <c r="S13" s="310"/>
    </row>
    <row r="14" spans="4:28" x14ac:dyDescent="0.25">
      <c r="O14" s="306"/>
      <c r="P14" s="307"/>
      <c r="Q14" s="308"/>
      <c r="R14" s="309"/>
      <c r="S14" s="310"/>
    </row>
    <row r="15" spans="4:28" x14ac:dyDescent="0.25">
      <c r="O15" s="306"/>
      <c r="P15" s="307"/>
      <c r="Q15" s="308"/>
      <c r="R15" s="309"/>
      <c r="S15" s="310"/>
    </row>
    <row r="16" spans="4:28" ht="15.75" thickBot="1" x14ac:dyDescent="0.3">
      <c r="O16" s="306"/>
      <c r="P16" s="307"/>
      <c r="Q16" s="308"/>
      <c r="R16" s="309"/>
      <c r="S16" s="310"/>
    </row>
    <row r="17" spans="4:19" ht="15.75" thickBot="1" x14ac:dyDescent="0.3">
      <c r="D17" s="383" t="s">
        <v>17</v>
      </c>
      <c r="E17" s="384"/>
      <c r="F17" s="384"/>
      <c r="G17" s="385"/>
      <c r="O17" s="306"/>
      <c r="P17" s="307"/>
      <c r="Q17" s="308"/>
      <c r="R17" s="309"/>
      <c r="S17" s="310"/>
    </row>
    <row r="18" spans="4:19" x14ac:dyDescent="0.25">
      <c r="D18" s="5"/>
      <c r="G18" s="6"/>
      <c r="O18" s="306"/>
      <c r="P18" s="307"/>
      <c r="Q18" s="308"/>
      <c r="R18" s="309"/>
      <c r="S18" s="310"/>
    </row>
    <row r="19" spans="4:19" x14ac:dyDescent="0.25">
      <c r="D19" s="5" t="s">
        <v>18</v>
      </c>
      <c r="E19" s="1"/>
      <c r="G19" s="6"/>
      <c r="O19" s="306"/>
      <c r="P19" s="307"/>
      <c r="Q19" s="308"/>
      <c r="R19" s="309"/>
      <c r="S19" s="310"/>
    </row>
    <row r="20" spans="4:19" ht="15.75" thickBot="1" x14ac:dyDescent="0.3">
      <c r="D20" s="16" t="s">
        <v>19</v>
      </c>
      <c r="E20" s="17"/>
      <c r="F20" s="7"/>
      <c r="G20" s="8"/>
      <c r="O20" s="306"/>
      <c r="P20" s="307"/>
      <c r="Q20" s="308"/>
      <c r="R20" s="309"/>
      <c r="S20" s="310"/>
    </row>
    <row r="21" spans="4:19" x14ac:dyDescent="0.25">
      <c r="O21" s="306"/>
      <c r="P21" s="307"/>
      <c r="Q21" s="308"/>
      <c r="R21" s="309"/>
      <c r="S21" s="310"/>
    </row>
    <row r="22" spans="4:19" x14ac:dyDescent="0.25">
      <c r="E22" s="40"/>
      <c r="O22" s="306"/>
      <c r="P22" s="307"/>
      <c r="Q22" s="308"/>
      <c r="R22" s="309"/>
      <c r="S22" s="310"/>
    </row>
    <row r="23" spans="4:19" x14ac:dyDescent="0.25">
      <c r="O23" s="306"/>
      <c r="P23" s="307"/>
      <c r="Q23" s="308"/>
      <c r="R23" s="309"/>
      <c r="S23" s="310"/>
    </row>
    <row r="24" spans="4:19" x14ac:dyDescent="0.25">
      <c r="O24" s="306"/>
      <c r="P24" s="307"/>
      <c r="Q24" s="308"/>
      <c r="R24" s="309"/>
      <c r="S24" s="310"/>
    </row>
    <row r="25" spans="4:19" x14ac:dyDescent="0.25">
      <c r="O25" s="306"/>
      <c r="P25" s="307"/>
      <c r="Q25" s="308"/>
      <c r="R25" s="309"/>
      <c r="S25" s="310"/>
    </row>
    <row r="26" spans="4:19" x14ac:dyDescent="0.25">
      <c r="O26" s="306"/>
      <c r="P26" s="307"/>
      <c r="Q26" s="308"/>
      <c r="R26" s="309"/>
      <c r="S26" s="310"/>
    </row>
    <row r="27" spans="4:19" x14ac:dyDescent="0.25">
      <c r="O27" s="306"/>
      <c r="P27" s="307"/>
      <c r="Q27" s="308"/>
      <c r="R27" s="309"/>
      <c r="S27" s="310"/>
    </row>
    <row r="28" spans="4:19" x14ac:dyDescent="0.25">
      <c r="O28" s="306"/>
      <c r="P28" s="307"/>
      <c r="Q28" s="308"/>
      <c r="R28" s="309"/>
      <c r="S28" s="310"/>
    </row>
    <row r="29" spans="4:19" x14ac:dyDescent="0.25">
      <c r="O29" s="306"/>
      <c r="P29" s="309"/>
      <c r="Q29" s="308"/>
      <c r="R29" s="309"/>
      <c r="S29" s="310"/>
    </row>
    <row r="30" spans="4:19" x14ac:dyDescent="0.25">
      <c r="O30" s="306"/>
      <c r="P30" s="309"/>
      <c r="Q30" s="308"/>
      <c r="R30" s="309"/>
      <c r="S30" s="310"/>
    </row>
    <row r="31" spans="4:19" x14ac:dyDescent="0.25">
      <c r="O31" s="306"/>
      <c r="P31" s="309"/>
      <c r="Q31" s="308"/>
      <c r="R31" s="309"/>
      <c r="S31" s="310"/>
    </row>
    <row r="32" spans="4:19" x14ac:dyDescent="0.25">
      <c r="O32" s="306"/>
      <c r="P32" s="309"/>
      <c r="Q32" s="308"/>
      <c r="R32" s="309"/>
      <c r="S32" s="310"/>
    </row>
    <row r="33" spans="15:19" x14ac:dyDescent="0.25">
      <c r="O33" s="306"/>
      <c r="P33" s="309"/>
      <c r="Q33" s="308"/>
      <c r="R33" s="309"/>
      <c r="S33" s="310"/>
    </row>
    <row r="34" spans="15:19" x14ac:dyDescent="0.25">
      <c r="O34" s="306"/>
      <c r="P34" s="309"/>
      <c r="Q34" s="308"/>
      <c r="R34" s="309"/>
      <c r="S34" s="310"/>
    </row>
    <row r="35" spans="15:19" x14ac:dyDescent="0.25">
      <c r="O35" s="306"/>
      <c r="P35" s="309"/>
      <c r="Q35" s="308"/>
      <c r="R35" s="309"/>
      <c r="S35" s="310"/>
    </row>
    <row r="36" spans="15:19" x14ac:dyDescent="0.25">
      <c r="O36" s="306"/>
      <c r="P36" s="309"/>
      <c r="Q36" s="308"/>
      <c r="R36" s="309"/>
      <c r="S36" s="310"/>
    </row>
    <row r="37" spans="15:19" x14ac:dyDescent="0.25">
      <c r="O37" s="306"/>
      <c r="P37" s="309"/>
      <c r="Q37" s="308"/>
      <c r="R37" s="309"/>
      <c r="S37" s="310"/>
    </row>
    <row r="38" spans="15:19" x14ac:dyDescent="0.25">
      <c r="O38" s="306"/>
      <c r="P38" s="309"/>
      <c r="Q38" s="308"/>
      <c r="R38" s="309"/>
      <c r="S38" s="310"/>
    </row>
    <row r="39" spans="15:19" x14ac:dyDescent="0.25">
      <c r="O39" s="306"/>
      <c r="P39" s="309"/>
      <c r="Q39" s="308"/>
      <c r="R39" s="309"/>
      <c r="S39" s="310"/>
    </row>
    <row r="40" spans="15:19" x14ac:dyDescent="0.25">
      <c r="O40" s="306"/>
      <c r="P40" s="309"/>
      <c r="Q40" s="308"/>
      <c r="R40" s="309"/>
      <c r="S40" s="310"/>
    </row>
    <row r="41" spans="15:19" x14ac:dyDescent="0.25">
      <c r="O41" s="306"/>
      <c r="P41" s="309"/>
      <c r="Q41" s="308"/>
      <c r="R41" s="309"/>
      <c r="S41" s="310"/>
    </row>
    <row r="42" spans="15:19" x14ac:dyDescent="0.25">
      <c r="O42" s="306"/>
      <c r="P42" s="309"/>
      <c r="Q42" s="308"/>
      <c r="R42" s="309"/>
      <c r="S42" s="310"/>
    </row>
    <row r="43" spans="15:19" x14ac:dyDescent="0.25">
      <c r="O43" s="306"/>
      <c r="P43" s="309"/>
      <c r="Q43" s="308"/>
      <c r="R43" s="309"/>
      <c r="S43" s="310"/>
    </row>
    <row r="44" spans="15:19" x14ac:dyDescent="0.25">
      <c r="O44" s="306"/>
      <c r="P44" s="309"/>
      <c r="Q44" s="308"/>
      <c r="R44" s="309"/>
      <c r="S44" s="310"/>
    </row>
    <row r="45" spans="15:19" x14ac:dyDescent="0.25">
      <c r="O45" s="306"/>
      <c r="P45" s="309"/>
      <c r="Q45" s="308"/>
      <c r="R45" s="309"/>
      <c r="S45" s="310"/>
    </row>
    <row r="46" spans="15:19" x14ac:dyDescent="0.25">
      <c r="O46" s="306"/>
      <c r="P46" s="309"/>
      <c r="Q46" s="308"/>
      <c r="R46" s="309"/>
      <c r="S46" s="310"/>
    </row>
    <row r="47" spans="15:19" x14ac:dyDescent="0.25">
      <c r="O47" s="306"/>
      <c r="P47" s="309"/>
      <c r="Q47" s="308"/>
      <c r="R47" s="309"/>
      <c r="S47" s="310"/>
    </row>
    <row r="48" spans="15:19" x14ac:dyDescent="0.25">
      <c r="O48" s="306"/>
      <c r="P48" s="309"/>
      <c r="Q48" s="308"/>
      <c r="R48" s="309"/>
      <c r="S48" s="310"/>
    </row>
    <row r="49" spans="15:19" ht="15.75" thickBot="1" x14ac:dyDescent="0.3">
      <c r="O49" s="311"/>
      <c r="P49" s="312"/>
      <c r="Q49" s="313"/>
      <c r="R49" s="312"/>
      <c r="S49" s="31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18" sqref="L1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103</v>
      </c>
    </row>
    <row r="2" spans="1:17" ht="19.5" customHeight="1" thickTop="1" x14ac:dyDescent="0.25">
      <c r="A2" s="231"/>
      <c r="B2" s="242"/>
      <c r="C2" s="249"/>
      <c r="D2" s="233"/>
      <c r="L2" s="391" t="s">
        <v>45</v>
      </c>
      <c r="M2" s="392"/>
      <c r="N2" s="392"/>
      <c r="O2" s="392"/>
      <c r="P2" s="392"/>
      <c r="Q2" s="393"/>
    </row>
    <row r="3" spans="1:17" ht="15.75" thickBot="1" x14ac:dyDescent="0.3">
      <c r="A3" s="232"/>
      <c r="B3" s="243"/>
      <c r="C3" s="250"/>
      <c r="D3" s="234"/>
      <c r="L3" s="394"/>
      <c r="M3" s="395"/>
      <c r="N3" s="395"/>
      <c r="O3" s="395"/>
      <c r="P3" s="395"/>
      <c r="Q3" s="396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97" t="s">
        <v>46</v>
      </c>
      <c r="O13" s="397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116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152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24"/>
      <c r="D39" s="324"/>
      <c r="E39" s="3" t="s">
        <v>27</v>
      </c>
    </row>
    <row r="41" spans="1:17" s="24" customFormat="1" ht="15.75" x14ac:dyDescent="0.25">
      <c r="B41" s="24" t="s">
        <v>36</v>
      </c>
      <c r="C41" s="463"/>
      <c r="E41" s="25" t="s">
        <v>37</v>
      </c>
    </row>
    <row r="42" spans="1:17" s="24" customFormat="1" ht="15.75" x14ac:dyDescent="0.25">
      <c r="B42" s="24" t="s">
        <v>38</v>
      </c>
      <c r="C42" s="46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3"/>
      <c r="E44" s="4" t="s">
        <v>9</v>
      </c>
    </row>
    <row r="45" spans="1:17" x14ac:dyDescent="0.25">
      <c r="B45" s="2" t="s">
        <v>6</v>
      </c>
      <c r="C45" s="464"/>
      <c r="E45" s="4" t="s">
        <v>10</v>
      </c>
    </row>
    <row r="46" spans="1:17" x14ac:dyDescent="0.25">
      <c r="B46" s="2" t="s">
        <v>7</v>
      </c>
      <c r="C46" s="464"/>
    </row>
    <row r="47" spans="1:17" x14ac:dyDescent="0.25">
      <c r="B47" s="2" t="s">
        <v>8</v>
      </c>
      <c r="C47" s="46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08"/>
      <c r="B2" s="409"/>
      <c r="C2" s="409"/>
      <c r="D2" s="409"/>
      <c r="E2" s="409"/>
      <c r="F2" s="409"/>
      <c r="G2" s="409"/>
      <c r="H2" s="410" t="s">
        <v>53</v>
      </c>
      <c r="I2" s="410"/>
      <c r="J2" s="410"/>
      <c r="K2" s="410"/>
      <c r="L2" s="410"/>
      <c r="M2" s="410"/>
      <c r="N2" s="410"/>
      <c r="O2" s="410"/>
      <c r="P2" s="410"/>
      <c r="Q2" s="410"/>
      <c r="R2" s="410"/>
      <c r="S2" s="410"/>
      <c r="T2" s="411"/>
      <c r="U2" s="412">
        <v>0</v>
      </c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02" t="s">
        <v>54</v>
      </c>
      <c r="AP2" s="403"/>
      <c r="AQ2" s="403"/>
      <c r="AR2" s="403"/>
      <c r="AS2" s="403"/>
      <c r="AT2" s="403"/>
      <c r="AU2" s="403"/>
      <c r="AV2" s="403"/>
      <c r="AW2" s="403"/>
      <c r="AX2" s="403"/>
      <c r="AY2" s="403"/>
      <c r="AZ2" s="403"/>
      <c r="BA2" s="404"/>
      <c r="BB2" s="405"/>
      <c r="BC2" s="406"/>
      <c r="BD2" s="406"/>
      <c r="BE2" s="406"/>
      <c r="BF2" s="406"/>
      <c r="BG2" s="406"/>
      <c r="BH2" s="406"/>
      <c r="BI2" s="406"/>
      <c r="BJ2" s="406"/>
      <c r="BK2" s="406"/>
      <c r="BL2" s="407"/>
    </row>
    <row r="3" spans="1:65" ht="15.75" thickBot="1" x14ac:dyDescent="0.3">
      <c r="A3" s="381">
        <v>1</v>
      </c>
      <c r="B3" s="381"/>
      <c r="C3" s="381">
        <v>2</v>
      </c>
      <c r="D3" s="381"/>
      <c r="E3" s="381">
        <v>3</v>
      </c>
      <c r="F3" s="381"/>
      <c r="G3" s="381">
        <v>4</v>
      </c>
      <c r="H3" s="381"/>
      <c r="I3" s="367">
        <v>5</v>
      </c>
      <c r="J3" s="368"/>
      <c r="K3" s="367">
        <v>6</v>
      </c>
      <c r="L3" s="368"/>
      <c r="M3" s="367">
        <v>7</v>
      </c>
      <c r="N3" s="368"/>
      <c r="O3" s="367">
        <v>8</v>
      </c>
      <c r="P3" s="368"/>
      <c r="Q3" s="367">
        <v>9</v>
      </c>
      <c r="R3" s="368"/>
      <c r="S3" s="367">
        <v>10</v>
      </c>
      <c r="T3" s="366"/>
      <c r="U3" s="365">
        <v>1</v>
      </c>
      <c r="V3" s="368"/>
      <c r="W3" s="367">
        <v>2</v>
      </c>
      <c r="X3" s="368"/>
      <c r="Y3" s="367">
        <v>3</v>
      </c>
      <c r="Z3" s="368"/>
      <c r="AA3" s="367">
        <v>4</v>
      </c>
      <c r="AB3" s="368"/>
      <c r="AC3" s="367">
        <v>5</v>
      </c>
      <c r="AD3" s="368"/>
      <c r="AE3" s="367">
        <v>6</v>
      </c>
      <c r="AF3" s="368"/>
      <c r="AG3" s="367">
        <v>7</v>
      </c>
      <c r="AH3" s="368"/>
      <c r="AI3" s="367">
        <v>8</v>
      </c>
      <c r="AJ3" s="368"/>
      <c r="AK3" s="367">
        <v>9</v>
      </c>
      <c r="AL3" s="368"/>
      <c r="AM3" s="367">
        <v>10</v>
      </c>
      <c r="AN3" s="366"/>
      <c r="AO3" s="399" t="s">
        <v>55</v>
      </c>
      <c r="AP3" s="400"/>
      <c r="AQ3" s="400"/>
      <c r="AR3" s="401"/>
      <c r="AS3" s="399" t="s">
        <v>56</v>
      </c>
      <c r="AT3" s="400"/>
      <c r="AU3" s="400"/>
      <c r="AV3" s="400"/>
      <c r="AW3" s="400"/>
      <c r="AX3" s="400"/>
      <c r="AY3" s="365" t="s">
        <v>57</v>
      </c>
      <c r="AZ3" s="398"/>
      <c r="BA3" s="366"/>
      <c r="BB3" s="414" t="s">
        <v>102</v>
      </c>
      <c r="BC3" s="415"/>
      <c r="BD3" s="415"/>
      <c r="BE3" s="415"/>
      <c r="BF3" s="415"/>
      <c r="BG3" s="415"/>
      <c r="BH3" s="415"/>
      <c r="BI3" s="415"/>
      <c r="BJ3" s="415"/>
      <c r="BK3" s="415"/>
      <c r="BL3" s="416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0.51180555555555551</v>
      </c>
      <c r="B14" s="73">
        <v>0.60972222222222217</v>
      </c>
      <c r="C14" s="72">
        <v>0.73611111111111116</v>
      </c>
      <c r="D14" s="73">
        <v>0.80763888888888891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0.51180555555555551</v>
      </c>
      <c r="V14" s="73">
        <v>0.60972222222222217</v>
      </c>
      <c r="W14" s="72">
        <v>0.73611111111111116</v>
      </c>
      <c r="X14" s="73">
        <v>0.80763888888888891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0.51180555555555551</v>
      </c>
      <c r="AV14" s="81">
        <f t="shared" si="7"/>
        <v>0.60972222222222217</v>
      </c>
      <c r="AW14" s="81">
        <f t="shared" si="8"/>
        <v>0.73611111111111116</v>
      </c>
      <c r="AX14" s="81">
        <f t="shared" si="9"/>
        <v>0.80763888888888891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9.7916666666666652E-2</v>
      </c>
      <c r="BC14" s="83">
        <f>X14 - W14</f>
        <v>7.1527777777777746E-2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0.1694444444444444</v>
      </c>
      <c r="BM14" s="71">
        <v>45840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2:21</v>
      </c>
      <c r="BC43" s="121" t="str">
        <f t="shared" si="14"/>
        <v>1:43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4:04</v>
      </c>
      <c r="BM43" s="124"/>
    </row>
    <row r="45" spans="1:65" x14ac:dyDescent="0.25">
      <c r="C45" s="382"/>
      <c r="D45" s="38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117</v>
      </c>
      <c r="B1" t="s">
        <v>12</v>
      </c>
      <c r="C1" t="s">
        <v>131</v>
      </c>
    </row>
    <row r="2" spans="1:3" x14ac:dyDescent="0.25">
      <c r="A2" t="s">
        <v>119</v>
      </c>
      <c r="B2" t="s">
        <v>118</v>
      </c>
      <c r="C2">
        <v>0.3</v>
      </c>
    </row>
    <row r="3" spans="1:3" x14ac:dyDescent="0.25">
      <c r="A3" t="s">
        <v>120</v>
      </c>
      <c r="B3" t="s">
        <v>142</v>
      </c>
      <c r="C3">
        <v>0.2</v>
      </c>
    </row>
    <row r="4" spans="1:3" x14ac:dyDescent="0.25">
      <c r="A4" t="s">
        <v>121</v>
      </c>
      <c r="B4" t="s">
        <v>122</v>
      </c>
      <c r="C4">
        <v>0.5</v>
      </c>
    </row>
    <row r="5" spans="1:3" x14ac:dyDescent="0.25">
      <c r="A5" t="s">
        <v>123</v>
      </c>
      <c r="B5" t="s">
        <v>132</v>
      </c>
      <c r="C5">
        <v>0.6</v>
      </c>
    </row>
    <row r="6" spans="1:3" x14ac:dyDescent="0.25">
      <c r="A6" t="s">
        <v>124</v>
      </c>
      <c r="B6" t="s">
        <v>133</v>
      </c>
      <c r="C6">
        <v>0.35</v>
      </c>
    </row>
    <row r="7" spans="1:3" x14ac:dyDescent="0.25">
      <c r="A7" t="s">
        <v>125</v>
      </c>
      <c r="B7" t="s">
        <v>126</v>
      </c>
      <c r="C7">
        <v>0.25</v>
      </c>
    </row>
    <row r="8" spans="1:3" x14ac:dyDescent="0.25">
      <c r="A8" t="s">
        <v>127</v>
      </c>
      <c r="B8" t="s">
        <v>128</v>
      </c>
      <c r="C8">
        <v>0.5</v>
      </c>
    </row>
    <row r="9" spans="1:3" x14ac:dyDescent="0.25">
      <c r="A9" t="s">
        <v>134</v>
      </c>
      <c r="B9" t="s">
        <v>135</v>
      </c>
      <c r="C9">
        <v>6.5</v>
      </c>
    </row>
    <row r="10" spans="1:3" x14ac:dyDescent="0.25">
      <c r="A10" t="s">
        <v>136</v>
      </c>
      <c r="B10" t="s">
        <v>137</v>
      </c>
      <c r="C10">
        <v>1.5</v>
      </c>
    </row>
    <row r="11" spans="1:3" x14ac:dyDescent="0.25">
      <c r="A11" t="s">
        <v>138</v>
      </c>
      <c r="B11" t="s">
        <v>139</v>
      </c>
      <c r="C11">
        <v>6</v>
      </c>
    </row>
    <row r="12" spans="1:3" x14ac:dyDescent="0.25">
      <c r="A12" t="s">
        <v>141</v>
      </c>
      <c r="B12" t="s">
        <v>140</v>
      </c>
      <c r="C12">
        <v>2.5</v>
      </c>
    </row>
    <row r="13" spans="1:3" x14ac:dyDescent="0.25">
      <c r="A13" t="s">
        <v>143</v>
      </c>
      <c r="B13" t="s">
        <v>144</v>
      </c>
      <c r="C13">
        <v>32.5</v>
      </c>
    </row>
    <row r="14" spans="1:3" x14ac:dyDescent="0.25">
      <c r="A14" t="s">
        <v>145</v>
      </c>
      <c r="B14" t="s">
        <v>146</v>
      </c>
      <c r="C14">
        <v>0.25</v>
      </c>
    </row>
    <row r="15" spans="1:3" x14ac:dyDescent="0.25">
      <c r="A15" t="s">
        <v>147</v>
      </c>
      <c r="B15" t="s">
        <v>148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2" t="s">
        <v>87</v>
      </c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</row>
    <row r="2" spans="2:17" x14ac:dyDescent="0.25"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150</v>
      </c>
    </row>
    <row r="5" spans="2:17" ht="15.75" thickBot="1" x14ac:dyDescent="0.3"/>
    <row r="6" spans="2:17" ht="15.75" customHeight="1" x14ac:dyDescent="0.25">
      <c r="C6" s="443" t="s">
        <v>91</v>
      </c>
      <c r="D6" s="446" t="s">
        <v>92</v>
      </c>
      <c r="E6" s="446" t="s">
        <v>4</v>
      </c>
      <c r="F6" s="449"/>
      <c r="G6" s="449"/>
      <c r="H6" s="451" t="s">
        <v>93</v>
      </c>
      <c r="I6" s="453" t="s">
        <v>4</v>
      </c>
      <c r="J6" s="449"/>
      <c r="K6" s="449"/>
      <c r="L6" s="451" t="s">
        <v>93</v>
      </c>
      <c r="M6" s="455" t="s">
        <v>94</v>
      </c>
      <c r="N6" s="195"/>
      <c r="O6" s="196"/>
    </row>
    <row r="7" spans="2:17" x14ac:dyDescent="0.25">
      <c r="C7" s="444"/>
      <c r="D7" s="447"/>
      <c r="E7" s="450"/>
      <c r="F7" s="450"/>
      <c r="G7" s="450"/>
      <c r="H7" s="452"/>
      <c r="I7" s="454"/>
      <c r="J7" s="450"/>
      <c r="K7" s="450"/>
      <c r="L7" s="452"/>
      <c r="M7" s="456"/>
      <c r="N7" s="195"/>
      <c r="O7" s="196"/>
    </row>
    <row r="8" spans="2:17" x14ac:dyDescent="0.25">
      <c r="C8" s="444"/>
      <c r="D8" s="447"/>
      <c r="E8" s="450"/>
      <c r="F8" s="450"/>
      <c r="G8" s="450"/>
      <c r="H8" s="452"/>
      <c r="I8" s="454"/>
      <c r="J8" s="450"/>
      <c r="K8" s="450"/>
      <c r="L8" s="452"/>
      <c r="M8" s="456"/>
      <c r="N8" s="195"/>
      <c r="O8" s="196"/>
    </row>
    <row r="9" spans="2:17" ht="15.75" thickBot="1" x14ac:dyDescent="0.3">
      <c r="C9" s="445"/>
      <c r="D9" s="448"/>
      <c r="E9" s="197" t="s">
        <v>58</v>
      </c>
      <c r="F9" s="197" t="s">
        <v>59</v>
      </c>
      <c r="G9" s="197" t="s">
        <v>95</v>
      </c>
      <c r="H9" s="452"/>
      <c r="I9" s="198" t="s">
        <v>58</v>
      </c>
      <c r="J9" s="197" t="s">
        <v>59</v>
      </c>
      <c r="K9" s="197" t="s">
        <v>95</v>
      </c>
      <c r="L9" s="452"/>
      <c r="M9" s="456"/>
      <c r="N9" s="195"/>
      <c r="O9" s="196"/>
    </row>
    <row r="10" spans="2:17" ht="15.75" thickBot="1" x14ac:dyDescent="0.3">
      <c r="B10" s="428" t="s">
        <v>80</v>
      </c>
      <c r="C10" s="429"/>
      <c r="D10" s="432"/>
      <c r="E10" s="199"/>
      <c r="F10" s="199"/>
      <c r="G10" s="200"/>
      <c r="H10" s="201"/>
      <c r="I10" s="202"/>
      <c r="J10" s="203"/>
      <c r="K10" s="204"/>
      <c r="L10" s="205"/>
      <c r="M10" s="441"/>
      <c r="N10" s="195"/>
      <c r="O10" s="196"/>
      <c r="P10" s="206"/>
      <c r="Q10" s="206"/>
    </row>
    <row r="11" spans="2:17" ht="15.75" thickBot="1" x14ac:dyDescent="0.3">
      <c r="B11" s="428"/>
      <c r="C11" s="430"/>
      <c r="D11" s="433"/>
      <c r="E11" s="207"/>
      <c r="F11" s="207"/>
      <c r="G11" s="46"/>
      <c r="H11" s="47"/>
      <c r="I11" s="208"/>
      <c r="J11" s="209"/>
      <c r="K11" s="210"/>
      <c r="L11" s="211"/>
      <c r="M11" s="436"/>
      <c r="N11" s="195"/>
      <c r="O11" s="196"/>
      <c r="P11" s="172"/>
      <c r="Q11" s="172"/>
    </row>
    <row r="12" spans="2:17" ht="15.75" thickBot="1" x14ac:dyDescent="0.3">
      <c r="B12" s="428"/>
      <c r="C12" s="431"/>
      <c r="D12" s="434"/>
      <c r="E12" s="212"/>
      <c r="F12" s="212"/>
      <c r="G12" s="213"/>
      <c r="H12" s="214"/>
      <c r="I12" s="215"/>
      <c r="J12" s="216"/>
      <c r="K12" s="217"/>
      <c r="L12" s="218"/>
      <c r="M12" s="437"/>
      <c r="N12" s="195"/>
      <c r="O12" s="196"/>
      <c r="P12" s="172"/>
      <c r="Q12" s="172"/>
    </row>
    <row r="13" spans="2:17" ht="15.75" thickBot="1" x14ac:dyDescent="0.3">
      <c r="B13" s="428" t="s">
        <v>81</v>
      </c>
      <c r="C13" s="429"/>
      <c r="D13" s="432"/>
      <c r="E13" s="199"/>
      <c r="F13" s="199"/>
      <c r="G13" s="200"/>
      <c r="H13" s="201"/>
      <c r="I13" s="202"/>
      <c r="J13" s="203"/>
      <c r="K13" s="204"/>
      <c r="L13" s="205"/>
      <c r="M13" s="435"/>
      <c r="N13" s="195"/>
      <c r="O13" s="219"/>
      <c r="P13" s="172"/>
      <c r="Q13" s="172"/>
    </row>
    <row r="14" spans="2:17" ht="15.75" thickBot="1" x14ac:dyDescent="0.3">
      <c r="B14" s="428"/>
      <c r="C14" s="430"/>
      <c r="D14" s="433"/>
      <c r="E14" s="207"/>
      <c r="F14" s="207"/>
      <c r="G14" s="46"/>
      <c r="H14" s="47"/>
      <c r="I14" s="208"/>
      <c r="J14" s="209"/>
      <c r="K14" s="210"/>
      <c r="L14" s="211"/>
      <c r="M14" s="436"/>
      <c r="N14" s="220"/>
      <c r="O14" s="219"/>
      <c r="P14" s="172"/>
      <c r="Q14" s="172"/>
    </row>
    <row r="15" spans="2:17" ht="15.75" thickBot="1" x14ac:dyDescent="0.3">
      <c r="B15" s="428"/>
      <c r="C15" s="431"/>
      <c r="D15" s="434"/>
      <c r="E15" s="212"/>
      <c r="F15" s="212"/>
      <c r="G15" s="213"/>
      <c r="H15" s="214"/>
      <c r="I15" s="215"/>
      <c r="J15" s="216"/>
      <c r="K15" s="217"/>
      <c r="L15" s="218"/>
      <c r="M15" s="437"/>
      <c r="N15" s="220"/>
      <c r="O15" s="219"/>
      <c r="P15" s="172"/>
      <c r="Q15" s="172"/>
    </row>
    <row r="16" spans="2:17" ht="15.75" thickBot="1" x14ac:dyDescent="0.3">
      <c r="B16" s="428" t="s">
        <v>82</v>
      </c>
      <c r="C16" s="429"/>
      <c r="D16" s="432">
        <v>0.51180555555555551</v>
      </c>
      <c r="E16" s="199">
        <v>0.60972222222222217</v>
      </c>
      <c r="F16" s="199">
        <v>0.73611111111111116</v>
      </c>
      <c r="G16" s="200"/>
      <c r="H16" s="201" t="s">
        <v>151</v>
      </c>
      <c r="I16" s="202"/>
      <c r="J16" s="203"/>
      <c r="K16" s="204"/>
      <c r="L16" s="205"/>
      <c r="M16" s="435">
        <v>0.80763888888888891</v>
      </c>
      <c r="N16" s="220"/>
      <c r="O16" s="219"/>
      <c r="P16" s="172"/>
      <c r="Q16" s="172"/>
    </row>
    <row r="17" spans="2:17" ht="15.75" thickBot="1" x14ac:dyDescent="0.3">
      <c r="B17" s="428"/>
      <c r="C17" s="430"/>
      <c r="D17" s="433"/>
      <c r="E17" s="207"/>
      <c r="F17" s="207"/>
      <c r="G17" s="46"/>
      <c r="H17" s="47"/>
      <c r="I17" s="208"/>
      <c r="J17" s="209"/>
      <c r="K17" s="210"/>
      <c r="L17" s="211"/>
      <c r="M17" s="436"/>
      <c r="N17" s="220"/>
      <c r="O17" s="219"/>
      <c r="P17" s="172"/>
      <c r="Q17" s="172"/>
    </row>
    <row r="18" spans="2:17" ht="15.75" thickBot="1" x14ac:dyDescent="0.3">
      <c r="B18" s="428"/>
      <c r="C18" s="431"/>
      <c r="D18" s="434"/>
      <c r="E18" s="212"/>
      <c r="F18" s="212"/>
      <c r="G18" s="213"/>
      <c r="H18" s="214"/>
      <c r="I18" s="215"/>
      <c r="J18" s="216"/>
      <c r="K18" s="217"/>
      <c r="L18" s="218"/>
      <c r="M18" s="437"/>
      <c r="N18" s="220"/>
      <c r="O18" s="219"/>
      <c r="P18" s="172"/>
      <c r="Q18" s="172"/>
    </row>
    <row r="19" spans="2:17" ht="15.75" thickBot="1" x14ac:dyDescent="0.3">
      <c r="B19" s="428" t="s">
        <v>83</v>
      </c>
      <c r="C19" s="429"/>
      <c r="D19" s="432"/>
      <c r="E19" s="199"/>
      <c r="F19" s="199"/>
      <c r="G19" s="200"/>
      <c r="H19" s="201"/>
      <c r="I19" s="202"/>
      <c r="J19" s="203"/>
      <c r="K19" s="204"/>
      <c r="L19" s="205"/>
      <c r="M19" s="435"/>
      <c r="N19" s="220"/>
      <c r="O19" s="219"/>
      <c r="P19" s="172"/>
      <c r="Q19" s="172"/>
    </row>
    <row r="20" spans="2:17" ht="15.75" thickBot="1" x14ac:dyDescent="0.3">
      <c r="B20" s="428"/>
      <c r="C20" s="430"/>
      <c r="D20" s="433"/>
      <c r="E20" s="207"/>
      <c r="F20" s="207"/>
      <c r="G20" s="46"/>
      <c r="H20" s="47"/>
      <c r="I20" s="208"/>
      <c r="J20" s="209"/>
      <c r="K20" s="210"/>
      <c r="L20" s="211"/>
      <c r="M20" s="436"/>
      <c r="N20" s="220"/>
      <c r="O20" s="219"/>
      <c r="P20" s="172"/>
      <c r="Q20" s="172"/>
    </row>
    <row r="21" spans="2:17" ht="15.75" thickBot="1" x14ac:dyDescent="0.3">
      <c r="B21" s="428"/>
      <c r="C21" s="431"/>
      <c r="D21" s="434"/>
      <c r="E21" s="212"/>
      <c r="F21" s="212"/>
      <c r="G21" s="213"/>
      <c r="H21" s="214"/>
      <c r="I21" s="215"/>
      <c r="J21" s="216"/>
      <c r="K21" s="217"/>
      <c r="L21" s="218"/>
      <c r="M21" s="437"/>
      <c r="N21" s="220"/>
      <c r="O21" s="219"/>
      <c r="P21" s="172"/>
      <c r="Q21" s="172"/>
    </row>
    <row r="22" spans="2:17" ht="15.75" thickBot="1" x14ac:dyDescent="0.3">
      <c r="B22" s="428" t="s">
        <v>84</v>
      </c>
      <c r="C22" s="429"/>
      <c r="D22" s="432"/>
      <c r="E22" s="199"/>
      <c r="F22" s="199"/>
      <c r="G22" s="200"/>
      <c r="H22" s="201"/>
      <c r="I22" s="202"/>
      <c r="J22" s="203"/>
      <c r="K22" s="204"/>
      <c r="L22" s="205"/>
      <c r="M22" s="435"/>
      <c r="N22" s="195"/>
      <c r="O22" s="219"/>
      <c r="P22" s="172"/>
      <c r="Q22" s="172"/>
    </row>
    <row r="23" spans="2:17" ht="15.75" thickBot="1" x14ac:dyDescent="0.3">
      <c r="B23" s="428"/>
      <c r="C23" s="430"/>
      <c r="D23" s="433"/>
      <c r="E23" s="207"/>
      <c r="F23" s="207"/>
      <c r="G23" s="46"/>
      <c r="H23" s="47"/>
      <c r="I23" s="208"/>
      <c r="J23" s="209"/>
      <c r="K23" s="210"/>
      <c r="L23" s="211"/>
      <c r="M23" s="436"/>
      <c r="N23" s="220"/>
      <c r="O23" s="219"/>
      <c r="P23" s="172"/>
      <c r="Q23" s="172"/>
    </row>
    <row r="24" spans="2:17" ht="15.75" thickBot="1" x14ac:dyDescent="0.3">
      <c r="B24" s="428"/>
      <c r="C24" s="431"/>
      <c r="D24" s="434"/>
      <c r="E24" s="212"/>
      <c r="F24" s="212"/>
      <c r="G24" s="213"/>
      <c r="H24" s="214"/>
      <c r="I24" s="215"/>
      <c r="J24" s="216"/>
      <c r="K24" s="217"/>
      <c r="L24" s="218"/>
      <c r="M24" s="437"/>
      <c r="N24" s="220"/>
      <c r="O24" s="219"/>
      <c r="P24" s="172"/>
      <c r="Q24" s="172"/>
    </row>
    <row r="25" spans="2:17" ht="15.75" thickBot="1" x14ac:dyDescent="0.3">
      <c r="B25" s="428" t="s">
        <v>85</v>
      </c>
      <c r="C25" s="429"/>
      <c r="D25" s="432"/>
      <c r="E25" s="199"/>
      <c r="F25" s="199"/>
      <c r="G25" s="200"/>
      <c r="H25" s="201"/>
      <c r="I25" s="202"/>
      <c r="J25" s="203"/>
      <c r="K25" s="204"/>
      <c r="L25" s="205"/>
      <c r="M25" s="435"/>
      <c r="N25" s="220"/>
      <c r="O25" s="219"/>
      <c r="P25" s="172"/>
      <c r="Q25" s="172"/>
    </row>
    <row r="26" spans="2:17" ht="15.75" thickBot="1" x14ac:dyDescent="0.3">
      <c r="B26" s="428"/>
      <c r="C26" s="430"/>
      <c r="D26" s="433"/>
      <c r="E26" s="207"/>
      <c r="F26" s="207"/>
      <c r="G26" s="46"/>
      <c r="H26" s="47"/>
      <c r="I26" s="208"/>
      <c r="J26" s="209"/>
      <c r="K26" s="210"/>
      <c r="L26" s="211"/>
      <c r="M26" s="436"/>
      <c r="N26" s="220"/>
      <c r="O26" s="219"/>
      <c r="P26" s="172"/>
      <c r="Q26" s="172"/>
    </row>
    <row r="27" spans="2:17" ht="15.75" thickBot="1" x14ac:dyDescent="0.3">
      <c r="B27" s="428"/>
      <c r="C27" s="431"/>
      <c r="D27" s="434"/>
      <c r="E27" s="212"/>
      <c r="F27" s="212"/>
      <c r="G27" s="213"/>
      <c r="H27" s="214"/>
      <c r="I27" s="215"/>
      <c r="J27" s="216"/>
      <c r="K27" s="217"/>
      <c r="L27" s="218"/>
      <c r="M27" s="437"/>
      <c r="N27" s="220"/>
      <c r="O27" s="219"/>
      <c r="P27" s="172"/>
      <c r="Q27" s="172"/>
    </row>
    <row r="28" spans="2:17" ht="15.75" thickBot="1" x14ac:dyDescent="0.3">
      <c r="B28" s="428" t="s">
        <v>86</v>
      </c>
      <c r="C28" s="429"/>
      <c r="D28" s="432"/>
      <c r="E28" s="199"/>
      <c r="F28" s="199"/>
      <c r="G28" s="200"/>
      <c r="H28" s="201"/>
      <c r="I28" s="202"/>
      <c r="J28" s="203"/>
      <c r="K28" s="204"/>
      <c r="L28" s="205"/>
      <c r="M28" s="435"/>
      <c r="N28" s="220"/>
      <c r="O28" s="219"/>
      <c r="P28" s="172"/>
      <c r="Q28" s="172"/>
    </row>
    <row r="29" spans="2:17" ht="15.75" thickBot="1" x14ac:dyDescent="0.3">
      <c r="B29" s="428"/>
      <c r="C29" s="430"/>
      <c r="D29" s="433"/>
      <c r="E29" s="207"/>
      <c r="F29" s="207"/>
      <c r="G29" s="46"/>
      <c r="H29" s="47"/>
      <c r="I29" s="208"/>
      <c r="J29" s="209"/>
      <c r="K29" s="210"/>
      <c r="L29" s="211"/>
      <c r="M29" s="436"/>
      <c r="N29" s="220"/>
      <c r="O29" s="219"/>
      <c r="P29" s="172"/>
      <c r="Q29" s="172"/>
    </row>
    <row r="30" spans="2:17" ht="15.75" thickBot="1" x14ac:dyDescent="0.3">
      <c r="B30" s="428"/>
      <c r="C30" s="431"/>
      <c r="D30" s="434"/>
      <c r="E30" s="212"/>
      <c r="F30" s="212"/>
      <c r="G30" s="213"/>
      <c r="H30" s="214"/>
      <c r="I30" s="215"/>
      <c r="J30" s="216"/>
      <c r="K30" s="217"/>
      <c r="L30" s="218"/>
      <c r="M30" s="437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38" t="s">
        <v>98</v>
      </c>
      <c r="C36" s="439"/>
      <c r="D36" s="439"/>
      <c r="E36" s="439"/>
      <c r="F36" s="439"/>
      <c r="G36" s="439"/>
      <c r="H36" s="439"/>
      <c r="I36" s="439"/>
      <c r="J36" s="440"/>
      <c r="K36" s="438" t="s">
        <v>99</v>
      </c>
      <c r="L36" s="439"/>
      <c r="M36" s="439"/>
      <c r="N36" s="344"/>
      <c r="O36" s="345"/>
    </row>
    <row r="37" spans="2:15" x14ac:dyDescent="0.25">
      <c r="B37" s="417"/>
      <c r="C37" s="418"/>
      <c r="D37" s="418"/>
      <c r="E37" s="418"/>
      <c r="F37" s="418"/>
      <c r="G37" s="418"/>
      <c r="H37" s="418"/>
      <c r="I37" s="418"/>
      <c r="J37" s="419"/>
      <c r="K37" s="426" t="s">
        <v>100</v>
      </c>
      <c r="L37" s="344"/>
      <c r="M37" s="345"/>
      <c r="N37" s="426" t="s">
        <v>101</v>
      </c>
      <c r="O37" s="427"/>
    </row>
    <row r="38" spans="2:15" x14ac:dyDescent="0.25">
      <c r="B38" s="420"/>
      <c r="C38" s="421"/>
      <c r="D38" s="421"/>
      <c r="E38" s="421"/>
      <c r="F38" s="421"/>
      <c r="G38" s="421"/>
      <c r="H38" s="421"/>
      <c r="I38" s="421"/>
      <c r="J38" s="422"/>
      <c r="K38" s="417"/>
      <c r="L38" s="418"/>
      <c r="M38" s="419"/>
      <c r="N38" s="417"/>
      <c r="O38" s="419"/>
    </row>
    <row r="39" spans="2:15" x14ac:dyDescent="0.25">
      <c r="B39" s="420"/>
      <c r="C39" s="421"/>
      <c r="D39" s="421"/>
      <c r="E39" s="421"/>
      <c r="F39" s="421"/>
      <c r="G39" s="421"/>
      <c r="H39" s="421"/>
      <c r="I39" s="421"/>
      <c r="J39" s="422"/>
      <c r="K39" s="420"/>
      <c r="L39" s="421"/>
      <c r="M39" s="422"/>
      <c r="N39" s="420"/>
      <c r="O39" s="422"/>
    </row>
    <row r="40" spans="2:15" x14ac:dyDescent="0.25">
      <c r="B40" s="420"/>
      <c r="C40" s="421"/>
      <c r="D40" s="421"/>
      <c r="E40" s="421"/>
      <c r="F40" s="421"/>
      <c r="G40" s="421"/>
      <c r="H40" s="421"/>
      <c r="I40" s="421"/>
      <c r="J40" s="422"/>
      <c r="K40" s="420"/>
      <c r="L40" s="421"/>
      <c r="M40" s="422"/>
      <c r="N40" s="420"/>
      <c r="O40" s="422"/>
    </row>
    <row r="41" spans="2:15" x14ac:dyDescent="0.25">
      <c r="B41" s="423"/>
      <c r="C41" s="424"/>
      <c r="D41" s="424"/>
      <c r="E41" s="424"/>
      <c r="F41" s="424"/>
      <c r="G41" s="424"/>
      <c r="H41" s="424"/>
      <c r="I41" s="424"/>
      <c r="J41" s="425"/>
      <c r="K41" s="423"/>
      <c r="L41" s="424"/>
      <c r="M41" s="425"/>
      <c r="N41" s="423"/>
      <c r="O41" s="425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2025-09-17T14:47:10Z</dcterms:modified>
</cp:coreProperties>
</file>