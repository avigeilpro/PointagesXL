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 activeTab="2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FHebdo_O!$A$1:$L$17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C31" i="93"/>
  <c r="BB31" i="93"/>
  <c r="BL31" i="93" s="1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C28" i="93"/>
  <c r="BB28" i="93"/>
  <c r="BL28" i="93" s="1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C23" i="93"/>
  <c r="BB23" i="93"/>
  <c r="BL23" i="93" s="1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C20" i="93"/>
  <c r="BB20" i="93"/>
  <c r="BL20" i="93" s="1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E4" i="94" l="1"/>
  <c r="C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/>
  <c r="AW39" i="93" s="1"/>
  <c r="AX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Y39" i="93" s="1"/>
  <c r="AI70" i="92"/>
  <c r="AB70" i="92"/>
  <c r="AY45" i="93" l="1"/>
  <c r="BA45" i="93"/>
  <c r="AZ44" i="93"/>
  <c r="BA43" i="93"/>
  <c r="BA42" i="93"/>
  <c r="AZ43" i="93"/>
  <c r="BA39" i="93"/>
  <c r="BA40" i="93"/>
  <c r="AY42" i="93"/>
  <c r="AZ40" i="93"/>
  <c r="BA41" i="93"/>
  <c r="BA44" i="93"/>
  <c r="AZ39" i="93"/>
  <c r="AZ41" i="93"/>
  <c r="A5" i="105" l="1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BA37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18" i="93" l="1"/>
  <c r="BA24" i="93"/>
  <c r="AX17" i="93"/>
  <c r="AR17" i="93" s="1"/>
  <c r="AZ17" i="93"/>
  <c r="AQ17" i="93"/>
  <c r="BA28" i="93"/>
  <c r="AZ27" i="93"/>
  <c r="AQ27" i="93"/>
  <c r="AY27" i="93" s="1"/>
  <c r="BA27" i="93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19" i="93" l="1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24/11/2025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25/11/2025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26/11/2025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27/11/2025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28/11/2025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29/11/2025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30/11/2025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01/12/2025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02/12/2025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03/12/2025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04/12/2025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05/12/2025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06/12/2025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07/12/2025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08/12/2025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09/12/2025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10/12/2025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11/12/2025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12/12/2025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13/12/2025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14/12/2025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15/12/2025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16/12/2025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17/12/2025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18/12/2025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19/12/2025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20/12/2025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21/12/2025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22/12/2025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23/12/2025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24/12/2025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25/12/2025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26/12/2025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27/12/2025</t>
        </r>
      </text>
    </comment>
    <comment ref="Z62" authorId="0" shapeId="0">
      <text>
        <r>
          <rPr>
            <sz val="9"/>
            <color indexed="81"/>
            <rFont val="Tahoma"/>
            <family val="2"/>
          </rPr>
          <t>28/12/2025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<sst xmlns="http://schemas.openxmlformats.org/spreadsheetml/2006/main" count="440" uniqueCount="272">
  <si>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</si>
  <si>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</si>
  <si>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</si>
  <si>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</si>
  <si>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</si>
  <si>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</si>
  <si>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</si>
  <si>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</si>
  <si>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</si>
  <si>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</si>
  <si>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</si>
  <si>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</si>
  <si>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</si>
  <si>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</si>
  <si>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</si>
  <si>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</si>
  <si>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</si>
  <si>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</si>
  <si>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</si>
  <si>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</si>
  <si>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</si>
  <si>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</si>
  <si>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</si>
  <si>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</si>
  <si>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</si>
  <si>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</si>
  <si>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</si>
  <si>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</si>
  <si>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</si>
  <si>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</si>
  <si>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</si>
  <si>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</si>
  <si>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</si>
  <si>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</si>
  <si>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</si>
  <si>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</si>
  <si>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</si>
  <si>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</si>
  <si>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</si>
  <si>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</si>
  <si>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</si>
  <si>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</si>
  <si>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</si>
  <si>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</si>
  <si>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</si>
  <si>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</si>
  <si>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</si>
  <si>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</si>
  <si>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</si>
  <si>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</si>
  <si>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</si>
  <si>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</si>
  <si>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</si>
  <si>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</si>
  <si>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</si>
  <si>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</si>
  <si>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</si>
  <si>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</si>
  <si>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</si>
  <si>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</si>
  <si>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</si>
  <si>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</si>
  <si>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</si>
  <si>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</si>
  <si>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</si>
  <si>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</si>
  <si>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</si>
  <si>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</si>
  <si>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</si>
  <si>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</si>
  <si>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</si>
  <si>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</si>
  <si>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</si>
  <si>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</si>
  <si>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</si>
  <si>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</si>
  <si>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</si>
  <si>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</si>
  <si>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</si>
  <si>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</si>
  <si>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</si>
  <si>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</si>
  <si>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</si>
  <si>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</si>
  <si>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</si>
  <si>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</si>
  <si>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</si>
  <si>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</si>
  <si>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</si>
  <si>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</si>
  <si>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</si>
  <si>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</si>
  <si>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</si>
  <si>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</si>
  <si>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</si>
  <si>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</si>
  <si>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</si>
  <si>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</si>
  <si>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</si>
  <si>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</si>
  <si>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</si>
  <si>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</si>
  <si>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</si>
  <si>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</si>
  <si>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</si>
  <si>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</si>
  <si>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</si>
  <si>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</si>
  <si>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</si>
  <si>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</si>
  <si>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</si>
  <si>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</si>
  <si>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</si>
  <si>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</si>
  <si>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</si>
  <si>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</si>
  <si>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</si>
  <si>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</si>
  <si>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</si>
  <si>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</si>
  <si>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</si>
  <si>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</si>
  <si>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</si>
  <si>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</si>
  <si>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</si>
  <si>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</si>
  <si>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</si>
  <si>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</si>
  <si>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</si>
  <si>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</si>
  <si>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</si>
  <si>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</si>
  <si>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</si>
  <si>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</si>
  <si>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</si>
  <si>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</si>
  <si>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</si>
  <si>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</si>
  <si>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</si>
  <si>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</si>
  <si>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</si>
  <si>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</si>
  <si>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</si>
  <si>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I.TC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</si>
  <si>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</si>
  <si>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</si>
  <si>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</si>
  <si>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</si>
  <si>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</si>
  <si>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</si>
  <si>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</si>
  <si>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</si>
  <si>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</si>
  <si>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</si>
  <si>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</si>
  <si>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</si>
  <si>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</si>
  <si>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</si>
  <si>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</si>
  <si>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</si>
  <si>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</si>
  <si>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</si>
  <si>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</si>
  <si>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</si>
  <si>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</si>
  <si>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TALON Aurélie</t>
  </si>
  <si>
    <t>46.240006,1.5111769</t>
  </si>
  <si>
    <t>PR</t>
  </si>
  <si>
    <t>PL</t>
  </si>
  <si>
    <t>Route proche La Souterraine</t>
  </si>
  <si>
    <t>46.24245333333333,1.4709983333333332</t>
  </si>
  <si>
    <t>$O$13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</si>
  <si>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</si>
  <si>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</si>
  <si>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</si>
  <si>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</si>
  <si>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</si>
  <si>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</si>
  <si>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</si>
  <si>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</si>
  <si>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</si>
  <si>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</si>
  <si>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</si>
  <si>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</si>
  <si>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</si>
  <si>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</si>
  <si>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</si>
  <si>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</si>
  <si>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</si>
  <si>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</si>
  <si>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</si>
  <si>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</si>
  <si>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</si>
  <si>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</si>
  <si>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</si>
  <si>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</si>
  <si>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</si>
  <si>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</si>
  <si>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</si>
  <si>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</si>
  <si>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</si>
  <si>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</si>
  <si>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</si>
  <si>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</si>
  <si>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</si>
  <si>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</si>
  <si>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</si>
  <si>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</si>
  <si>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</si>
  <si>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</si>
  <si>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</si>
  <si>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</si>
  <si>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</si>
  <si>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</si>
  <si>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</si>
  <si>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</si>
  <si>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</si>
  <si>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</si>
  <si>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</si>
  <si>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</si>
  <si>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</si>
  <si>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</si>
  <si>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</si>
  <si>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</si>
  <si>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</si>
  <si>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</si>
  <si>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</si>
  <si>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</si>
  <si>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</si>
  <si>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</si>
  <si>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</si>
  <si>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</si>
  <si>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</si>
  <si>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</si>
  <si>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</si>
  <si>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Semaine n° 36 du 01/09/2025 au 07/09/2025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</si>
  <si>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</si>
  <si>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</si>
  <si>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</si>
  <si>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</si>
  <si>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</si>
  <si>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</si>
  <si>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</si>
  <si>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</si>
  <si>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</si>
  <si>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</si>
  <si>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</si>
  <si>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</si>
  <si>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</si>
  <si>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</si>
  <si>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</si>
  <si>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</si>
  <si>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</si>
  <si>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</si>
  <si>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</si>
  <si>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</si>
  <si>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</si>
  <si>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- téléchargement des pointages à l'ouverture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</si>
  <si>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</si>
  <si>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</si>
  <si>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</si>
  <si>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</si>
  <si>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</si>
  <si>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</si>
  <si>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</si>
  <si>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Repos
Ind Rep</t>
  </si>
  <si>
    <t>Ind Rep</t>
  </si>
  <si>
    <t>Semaine n° 44 du 27/10/2025 au 02/11/2025</t>
  </si>
  <si>
    <t>44h40</t>
  </si>
  <si>
    <t>Décembre</t>
  </si>
  <si>
    <t>n° 48 du 24/11/2025 au 30/11/2025</t>
  </si>
  <si>
    <t>2025.10.0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</si>
</sst>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4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9"/>
      <color indexed="81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CDF0FF"/>
        <bgColor indexed="64"/>
      </patternFill>
    </fill>
    <fill>
      <patternFill patternType="darkGrid"/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</borders>
  <cellStyleXfs count="2">
    <xf numFmtId="0" fontId="0" fillId="0" borderId="0"/>
    <xf numFmtId="0" fontId="13" fillId="0" borderId="0"/>
  </cellStyleXfs>
  <cellXfs count="54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7" fillId="0" borderId="0" xfId="0" applyFont="1"/>
    <xf numFmtId="0" fontId="13" fillId="0" borderId="0" xfId="0" applyFont="1" applyAlignment="1">
      <alignment vertical="center" wrapText="1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02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02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04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167" fontId="0" fillId="0" borderId="25" xfId="0" applyNumberFormat="1" applyBorder="1"/>
    <xf numFmtId="167" fontId="0" fillId="0" borderId="104" xfId="0" applyNumberFormat="1" applyBorder="1"/>
    <xf numFmtId="0" fontId="0" fillId="0" borderId="104" xfId="0" applyBorder="1"/>
    <xf numFmtId="0" fontId="0" fillId="0" borderId="105" xfId="0" applyBorder="1"/>
    <xf numFmtId="0" fontId="13" fillId="0" borderId="0" xfId="0" applyFont="1" applyAlignment="1">
      <alignment vertical="center"/>
    </xf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13" fillId="0" borderId="0" xfId="1" quotePrefix="1" applyFon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2" xfId="0" applyFont="1" applyFill="1" applyBorder="1" applyAlignment="1">
      <alignment horizontal="right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0" fontId="13" fillId="12" borderId="145" xfId="0" applyFont="1" applyFill="1" applyBorder="1" applyAlignment="1">
      <alignment horizontal="right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2" borderId="148" xfId="0" applyFont="1" applyFill="1" applyBorder="1" applyAlignment="1">
      <alignment horizontal="right"/>
    </xf>
    <xf numFmtId="0" fontId="13" fillId="13" borderId="135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0" fontId="13" fillId="12" borderId="147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8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0" fontId="13" fillId="0" borderId="17" xfId="0" applyFont="1" applyBorder="1" applyAlignment="1">
      <alignment vertical="center" wrapText="1"/>
    </xf>
    <xf numFmtId="0" fontId="13" fillId="0" borderId="0" xfId="0" applyFont="1" applyBorder="1" applyAlignment="1"/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6" fontId="16" fillId="16" borderId="133" xfId="0" applyNumberFormat="1" applyFont="1" applyFill="1" applyBorder="1" applyAlignment="1" applyProtection="1">
      <alignment horizontal="right"/>
      <protection locked="0"/>
    </xf>
    <xf numFmtId="166" fontId="16" fillId="16" borderId="150" xfId="0" applyNumberFormat="1" applyFont="1" applyFill="1" applyBorder="1" applyAlignment="1" applyProtection="1">
      <alignment horizontal="right"/>
      <protection locked="0"/>
    </xf>
    <xf numFmtId="0" fontId="13" fillId="16" borderId="136" xfId="0" applyFont="1" applyFill="1" applyBorder="1" applyAlignment="1">
      <alignment horizontal="right"/>
    </xf>
    <xf numFmtId="0" fontId="13" fillId="16" borderId="133" xfId="0" applyFont="1" applyFill="1" applyBorder="1" applyAlignment="1">
      <alignment horizontal="right"/>
    </xf>
    <xf numFmtId="0" fontId="13" fillId="16" borderId="139" xfId="0" applyFont="1" applyFill="1" applyBorder="1" applyAlignment="1">
      <alignment horizontal="right"/>
    </xf>
    <xf numFmtId="0" fontId="13" fillId="16" borderId="156" xfId="0" applyFont="1" applyFill="1" applyBorder="1" applyAlignment="1">
      <alignment horizontal="right"/>
    </xf>
    <xf numFmtId="0" fontId="13" fillId="16" borderId="156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7" borderId="17" xfId="0" applyFill="1" applyBorder="1"/>
    <xf numFmtId="0" fontId="13" fillId="12" borderId="144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34" xfId="0" applyFont="1" applyFill="1" applyBorder="1" applyAlignment="1">
      <alignment horizontal="right"/>
    </xf>
    <xf numFmtId="166" fontId="13" fillId="12" borderId="144" xfId="0" applyNumberFormat="1" applyFont="1" applyFill="1" applyBorder="1" applyAlignment="1" applyProtection="1">
      <alignment horizontal="right"/>
      <protection locked="0"/>
    </xf>
    <xf numFmtId="166" fontId="13" fillId="12" borderId="151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3" fillId="0" borderId="162" xfId="0" applyFont="1" applyFill="1" applyBorder="1"/>
    <xf numFmtId="14" fontId="3" fillId="0" borderId="163" xfId="0" applyNumberFormat="1" applyFont="1" applyFill="1" applyBorder="1"/>
    <xf numFmtId="20" fontId="3" fillId="0" borderId="163" xfId="0" applyNumberFormat="1" applyFont="1" applyFill="1" applyBorder="1"/>
    <xf numFmtId="0" fontId="3" fillId="0" borderId="163" xfId="0" applyFont="1" applyFill="1" applyBorder="1"/>
    <xf numFmtId="0" fontId="3" fillId="0" borderId="164" xfId="0" applyFont="1" applyFill="1" applyBorder="1"/>
    <xf numFmtId="0" fontId="3" fillId="0" borderId="165" xfId="0" applyFont="1" applyFill="1" applyBorder="1"/>
    <xf numFmtId="0" fontId="3" fillId="0" borderId="166" xfId="0" applyFont="1" applyFill="1" applyBorder="1"/>
    <xf numFmtId="20" fontId="3" fillId="0" borderId="166" xfId="0" applyNumberFormat="1" applyFont="1" applyFill="1" applyBorder="1"/>
    <xf numFmtId="0" fontId="3" fillId="0" borderId="167" xfId="0" applyFont="1" applyFill="1" applyBorder="1"/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0" fontId="5" fillId="0" borderId="0" xfId="0" applyFont="1" applyFill="1" applyBorder="1" applyAlignment="1">
      <alignment horizontal="center" wrapText="1"/>
    </xf>
    <xf numFmtId="165" fontId="5" fillId="0" borderId="0" xfId="0" applyNumberFormat="1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0" fontId="13" fillId="14" borderId="168" xfId="0" applyFont="1" applyFill="1" applyBorder="1" applyAlignment="1">
      <alignment horizontal="right"/>
    </xf>
    <xf numFmtId="14" fontId="13" fillId="14" borderId="169" xfId="0" applyNumberFormat="1" applyFont="1" applyFill="1" applyBorder="1" applyAlignment="1">
      <alignment horizontal="center"/>
    </xf>
    <xf numFmtId="166" fontId="16" fillId="12" borderId="169" xfId="0" applyNumberFormat="1" applyFont="1" applyFill="1" applyBorder="1" applyAlignment="1" applyProtection="1">
      <alignment horizontal="right"/>
      <protection locked="0"/>
    </xf>
    <xf numFmtId="0" fontId="13" fillId="12" borderId="169" xfId="0" applyFont="1" applyFill="1" applyBorder="1" applyAlignment="1">
      <alignment horizontal="right"/>
    </xf>
    <xf numFmtId="166" fontId="16" fillId="12" borderId="171" xfId="0" applyNumberFormat="1" applyFont="1" applyFill="1" applyBorder="1" applyAlignment="1" applyProtection="1">
      <alignment horizontal="right"/>
      <protection locked="0"/>
    </xf>
    <xf numFmtId="0" fontId="13" fillId="12" borderId="168" xfId="0" applyFont="1" applyFill="1" applyBorder="1" applyAlignment="1">
      <alignment horizontal="right"/>
    </xf>
    <xf numFmtId="0" fontId="13" fillId="12" borderId="170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center"/>
    </xf>
    <xf numFmtId="0" fontId="0" fillId="18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0" fontId="5" fillId="0" borderId="91" xfId="0" applyFont="1" applyFill="1" applyBorder="1" applyAlignment="1">
      <alignment horizontal="center" vertical="center"/>
    </xf>
    <xf numFmtId="166" fontId="24" fillId="13" borderId="158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2" borderId="172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24" fillId="12" borderId="160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24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24" fillId="15" borderId="156" xfId="0" applyNumberFormat="1" applyFont="1" applyFill="1" applyBorder="1" applyAlignment="1">
      <alignment horizontal="center"/>
    </xf>
    <xf numFmtId="166" fontId="8" fillId="12" borderId="160" xfId="0" applyNumberFormat="1" applyFont="1" applyFill="1" applyBorder="1" applyAlignment="1">
      <alignment horizontal="center"/>
    </xf>
    <xf numFmtId="166" fontId="24" fillId="15" borderId="158" xfId="0" applyNumberFormat="1" applyFont="1" applyFill="1" applyBorder="1" applyAlignment="1">
      <alignment horizontal="center"/>
    </xf>
    <xf numFmtId="166" fontId="24" fillId="16" borderId="156" xfId="0" applyNumberFormat="1" applyFont="1" applyFill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12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166" fontId="8" fillId="16" borderId="156" xfId="0" applyNumberFormat="1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8" fillId="12" borderId="172" xfId="0" applyNumberFormat="1" applyFont="1" applyFill="1" applyBorder="1" applyAlignment="1">
      <alignment horizontal="center" vertical="center"/>
    </xf>
    <xf numFmtId="166" fontId="24" fillId="12" borderId="172" xfId="0" applyNumberFormat="1" applyFont="1" applyFill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13" fillId="0" borderId="17" xfId="0" applyFont="1" applyBorder="1" applyAlignment="1">
      <alignment horizontal="center" vertical="center"/>
    </xf>
    <xf numFmtId="167" fontId="13" fillId="0" borderId="17" xfId="0" applyNumberFormat="1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 wrapText="1"/>
    </xf>
    <xf numFmtId="167" fontId="13" fillId="0" borderId="17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0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9" fillId="0" borderId="98" xfId="0" applyFont="1" applyBorder="1" applyAlignment="1">
      <alignment horizontal="center" vertical="center" wrapText="1"/>
    </xf>
    <xf numFmtId="167" fontId="13" fillId="0" borderId="35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9" fillId="0" borderId="109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0" fontId="13" fillId="1" borderId="114" xfId="0" applyFont="1" applyFill="1" applyBorder="1" applyAlignment="1">
      <alignment horizontal="center"/>
    </xf>
    <xf numFmtId="0" fontId="13" fillId="1" borderId="27" xfId="0" applyFont="1" applyFill="1" applyBorder="1" applyAlignment="1">
      <alignment horizontal="center"/>
    </xf>
    <xf numFmtId="0" fontId="13" fillId="1" borderId="112" xfId="0" applyFont="1" applyFill="1" applyBorder="1" applyAlignment="1">
      <alignment horizontal="center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909-4566-913A-FDE09BF8E390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09-4566-913A-FDE09BF8E390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5909-4566-913A-FDE09BF8E390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5909-4566-913A-FDE09BF8E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400050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400050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228600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171450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171450</xdr:rowOff>
        </xdr:from>
        <xdr:to>
          <xdr:col>8</xdr:col>
          <xdr:colOff>352425</xdr:colOff>
          <xdr:row>25</xdr:row>
          <xdr:rowOff>152400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zoomScaleNormal="100" workbookViewId="0">
      <pane ySplit="23" topLeftCell="A24" activePane="bottomLeft" state="frozen"/>
      <selection pane="bottomLeft" activeCell="AG24" sqref="AG24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170" customWidth="1"/>
    <col min="27" max="28" width="6.140625" style="187" customWidth="1"/>
    <col min="29" max="39" width="6.140625" style="24" customWidth="1"/>
    <col min="40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375" t="s">
        <v>76</v>
      </c>
      <c r="F1" s="376"/>
      <c r="G1" s="377"/>
      <c r="M1" s="125"/>
      <c r="N1" s="390" t="s">
        <v>269</v>
      </c>
      <c r="O1" s="390"/>
      <c r="P1" s="390"/>
      <c r="Q1" s="125"/>
      <c r="S1" s="390">
        <v>2025</v>
      </c>
      <c r="T1" s="390"/>
      <c r="X1" s="24" t="s">
        <v>75</v>
      </c>
      <c r="AA1" s="405"/>
      <c r="AB1" s="405"/>
      <c r="AC1" s="26"/>
      <c r="AD1" s="26"/>
      <c r="AE1" s="26"/>
    </row>
    <row r="2" spans="3:41" hidden="1" x14ac:dyDescent="0.25"/>
    <row r="4" spans="3:41" s="30" customFormat="1" ht="30" customHeight="1" x14ac:dyDescent="0.25">
      <c r="C4" s="219"/>
      <c r="D4" s="361"/>
      <c r="E4" s="361"/>
      <c r="F4" s="361"/>
      <c r="G4" s="361"/>
      <c r="H4" s="329"/>
      <c r="I4" s="361"/>
      <c r="J4" s="361"/>
      <c r="K4" s="361"/>
      <c r="L4" s="361"/>
      <c r="M4" s="329"/>
      <c r="N4" s="361"/>
      <c r="O4" s="361"/>
      <c r="P4" s="361"/>
      <c r="Q4" s="361"/>
      <c r="R4" s="329"/>
      <c r="S4" s="361"/>
      <c r="T4" s="361"/>
      <c r="U4" s="361"/>
      <c r="V4" s="361"/>
      <c r="W4" s="329"/>
      <c r="X4" s="361"/>
      <c r="Y4" s="361"/>
      <c r="Z4" s="361"/>
      <c r="AA4" s="361"/>
      <c r="AB4" s="329"/>
      <c r="AC4" s="361"/>
      <c r="AD4" s="361"/>
      <c r="AE4" s="361"/>
      <c r="AF4" s="361"/>
      <c r="AG4" s="329"/>
      <c r="AH4" s="361"/>
      <c r="AI4" s="361"/>
      <c r="AJ4" s="361"/>
      <c r="AK4" s="361"/>
      <c r="AL4" s="127"/>
      <c r="AM4" s="127"/>
      <c r="AN4" s="127"/>
      <c r="AO4" s="328"/>
    </row>
    <row r="5" spans="3:41" s="30" customFormat="1" x14ac:dyDescent="0.25">
      <c r="C5" s="264"/>
      <c r="D5" s="329"/>
      <c r="E5" s="329"/>
      <c r="F5" s="329"/>
      <c r="G5" s="329"/>
      <c r="H5" s="329"/>
      <c r="I5" s="329"/>
      <c r="J5" s="329"/>
      <c r="K5" s="329"/>
      <c r="L5" s="329"/>
      <c r="M5" s="329"/>
      <c r="N5" s="329"/>
      <c r="O5" s="329"/>
      <c r="P5" s="329"/>
      <c r="Q5" s="329"/>
      <c r="R5" s="329"/>
      <c r="S5" s="329"/>
      <c r="T5" s="329"/>
      <c r="U5" s="329"/>
      <c r="V5" s="329"/>
      <c r="W5" s="329"/>
      <c r="X5" s="329"/>
      <c r="Y5" s="329"/>
      <c r="Z5" s="363"/>
      <c r="AA5" s="329"/>
      <c r="AB5" s="329"/>
      <c r="AC5" s="329"/>
      <c r="AD5" s="329"/>
      <c r="AE5" s="329"/>
      <c r="AF5" s="329"/>
      <c r="AG5" s="329"/>
      <c r="AH5" s="329"/>
      <c r="AI5" s="329"/>
      <c r="AJ5" s="329"/>
      <c r="AK5" s="329"/>
      <c r="AL5" s="127"/>
      <c r="AM5" s="127"/>
      <c r="AN5" s="127"/>
      <c r="AO5" s="328"/>
    </row>
    <row r="6" spans="3:41" s="30" customFormat="1" x14ac:dyDescent="0.25">
      <c r="C6" s="264"/>
      <c r="D6" s="337"/>
      <c r="E6" s="337"/>
      <c r="F6" s="307"/>
      <c r="G6" s="307"/>
      <c r="H6" s="329"/>
      <c r="I6" s="337"/>
      <c r="J6" s="337"/>
      <c r="K6" s="307"/>
      <c r="L6" s="307"/>
      <c r="M6" s="128"/>
      <c r="N6" s="337"/>
      <c r="O6" s="337"/>
      <c r="P6" s="307"/>
      <c r="Q6" s="307"/>
      <c r="R6" s="128"/>
      <c r="S6" s="337"/>
      <c r="T6" s="337"/>
      <c r="U6" s="307"/>
      <c r="V6" s="307"/>
      <c r="W6" s="329"/>
      <c r="X6" s="337"/>
      <c r="Y6" s="337"/>
      <c r="Z6" s="307"/>
      <c r="AA6" s="307"/>
      <c r="AB6" s="329"/>
      <c r="AC6" s="337"/>
      <c r="AD6" s="337"/>
      <c r="AE6" s="307"/>
      <c r="AF6" s="307"/>
      <c r="AG6" s="128"/>
      <c r="AH6" s="337"/>
      <c r="AI6" s="337"/>
      <c r="AJ6" s="307"/>
      <c r="AK6" s="307"/>
      <c r="AL6" s="127"/>
      <c r="AM6" s="307"/>
      <c r="AN6" s="307"/>
      <c r="AO6" s="328"/>
    </row>
    <row r="7" spans="3:41" s="30" customFormat="1" x14ac:dyDescent="0.25">
      <c r="C7" s="264"/>
      <c r="D7" s="329"/>
      <c r="E7" s="329"/>
      <c r="F7" s="307"/>
      <c r="G7" s="307"/>
      <c r="H7" s="329"/>
      <c r="I7" s="128"/>
      <c r="J7" s="128"/>
      <c r="K7" s="307"/>
      <c r="L7" s="307"/>
      <c r="M7" s="128"/>
      <c r="N7" s="128"/>
      <c r="O7" s="128"/>
      <c r="P7" s="307"/>
      <c r="Q7" s="307"/>
      <c r="R7" s="128"/>
      <c r="S7" s="329"/>
      <c r="T7" s="329"/>
      <c r="U7" s="307"/>
      <c r="V7" s="307"/>
      <c r="W7" s="329"/>
      <c r="X7" s="329"/>
      <c r="Y7" s="329"/>
      <c r="Z7" s="307"/>
      <c r="AA7" s="307"/>
      <c r="AB7" s="329"/>
      <c r="AC7" s="128"/>
      <c r="AD7" s="128"/>
      <c r="AE7" s="307"/>
      <c r="AF7" s="307"/>
      <c r="AG7" s="128"/>
      <c r="AH7" s="128"/>
      <c r="AI7" s="128"/>
      <c r="AJ7" s="307"/>
      <c r="AK7" s="307"/>
      <c r="AL7" s="127"/>
      <c r="AM7" s="128"/>
      <c r="AN7" s="128"/>
      <c r="AO7" s="328"/>
    </row>
    <row r="8" spans="3:41" s="30" customFormat="1" ht="30" customHeight="1" x14ac:dyDescent="0.25">
      <c r="C8" s="264"/>
      <c r="D8" s="361"/>
      <c r="E8" s="361"/>
      <c r="F8" s="361"/>
      <c r="G8" s="361"/>
      <c r="H8" s="329"/>
      <c r="I8" s="361"/>
      <c r="J8" s="361"/>
      <c r="K8" s="361"/>
      <c r="L8" s="361"/>
      <c r="M8" s="128"/>
      <c r="N8" s="362"/>
      <c r="O8" s="362"/>
      <c r="P8" s="362"/>
      <c r="Q8" s="362"/>
      <c r="R8" s="128"/>
      <c r="S8" s="361"/>
      <c r="T8" s="361"/>
      <c r="U8" s="361"/>
      <c r="V8" s="361"/>
      <c r="W8" s="329"/>
      <c r="X8" s="361"/>
      <c r="Y8" s="361"/>
      <c r="Z8" s="361"/>
      <c r="AA8" s="361"/>
      <c r="AB8" s="329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328"/>
    </row>
    <row r="9" spans="3:41" s="30" customFormat="1" ht="15" customHeight="1" x14ac:dyDescent="0.25">
      <c r="C9" s="264"/>
      <c r="D9" s="329"/>
      <c r="E9" s="329"/>
      <c r="F9" s="128"/>
      <c r="G9" s="128"/>
      <c r="H9" s="329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329"/>
      <c r="T9" s="329"/>
      <c r="U9" s="128"/>
      <c r="V9" s="128"/>
      <c r="W9" s="329"/>
      <c r="X9" s="329"/>
      <c r="Y9" s="329"/>
      <c r="Z9" s="128"/>
      <c r="AA9" s="128"/>
      <c r="AB9" s="329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328"/>
    </row>
    <row r="10" spans="3:41" s="30" customFormat="1" ht="15" customHeight="1" x14ac:dyDescent="0.25">
      <c r="C10" s="264"/>
      <c r="D10" s="337"/>
      <c r="E10" s="337"/>
      <c r="F10" s="307"/>
      <c r="G10" s="307"/>
      <c r="H10" s="329"/>
      <c r="I10" s="337"/>
      <c r="J10" s="337"/>
      <c r="K10" s="307"/>
      <c r="L10" s="307"/>
      <c r="M10" s="128"/>
      <c r="N10" s="337"/>
      <c r="O10" s="337"/>
      <c r="P10" s="307"/>
      <c r="Q10" s="307"/>
      <c r="R10" s="128"/>
      <c r="S10" s="337"/>
      <c r="T10" s="337"/>
      <c r="U10" s="307"/>
      <c r="V10" s="307"/>
      <c r="W10" s="329"/>
      <c r="X10" s="337"/>
      <c r="Y10" s="337"/>
      <c r="Z10" s="307"/>
      <c r="AA10" s="307"/>
      <c r="AB10" s="329"/>
      <c r="AC10" s="337"/>
      <c r="AD10" s="337"/>
      <c r="AE10" s="307"/>
      <c r="AF10" s="307"/>
      <c r="AG10" s="128"/>
      <c r="AH10" s="337"/>
      <c r="AI10" s="337"/>
      <c r="AJ10" s="307"/>
      <c r="AK10" s="307"/>
      <c r="AL10" s="127"/>
      <c r="AM10" s="128"/>
      <c r="AN10" s="128"/>
      <c r="AO10" s="328"/>
    </row>
    <row r="11" spans="3:41" s="30" customFormat="1" ht="15" customHeight="1" thickBot="1" x14ac:dyDescent="0.3">
      <c r="C11" s="264"/>
      <c r="D11" s="329"/>
      <c r="E11" s="329"/>
      <c r="F11" s="128"/>
      <c r="G11" s="128"/>
      <c r="H11" s="329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329"/>
      <c r="T11" s="329"/>
      <c r="U11" s="128"/>
      <c r="V11" s="128"/>
      <c r="W11" s="329"/>
      <c r="X11" s="329"/>
      <c r="Y11" s="329"/>
      <c r="Z11" s="128"/>
      <c r="AA11" s="128"/>
      <c r="AB11" s="329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328"/>
    </row>
    <row r="12" spans="3:41" s="30" customFormat="1" ht="15" hidden="1" customHeight="1" x14ac:dyDescent="0.3">
      <c r="C12" s="264"/>
      <c r="D12" s="329"/>
      <c r="E12" s="329"/>
      <c r="F12" s="307"/>
      <c r="G12" s="307"/>
      <c r="H12" s="160"/>
      <c r="I12" s="329"/>
      <c r="J12" s="329"/>
      <c r="K12" s="128"/>
      <c r="L12" s="128"/>
      <c r="M12" s="160"/>
      <c r="N12" s="329"/>
      <c r="O12" s="329"/>
      <c r="P12" s="128"/>
      <c r="Q12" s="128"/>
      <c r="R12" s="160"/>
      <c r="S12" s="329"/>
      <c r="T12" s="329"/>
      <c r="U12" s="128"/>
      <c r="V12" s="128"/>
      <c r="W12" s="160"/>
      <c r="X12" s="329"/>
      <c r="Y12" s="329"/>
      <c r="Z12" s="128"/>
      <c r="AA12" s="128"/>
      <c r="AB12" s="160"/>
      <c r="AC12" s="329"/>
      <c r="AD12" s="329"/>
      <c r="AE12" s="128"/>
      <c r="AF12" s="128"/>
      <c r="AG12" s="162"/>
      <c r="AH12" s="329"/>
      <c r="AI12" s="329"/>
      <c r="AJ12" s="128"/>
      <c r="AK12" s="128"/>
      <c r="AL12" s="162"/>
      <c r="AM12" s="162"/>
      <c r="AN12" s="162"/>
      <c r="AO12" s="328"/>
    </row>
    <row r="13" spans="3:41" s="30" customFormat="1" ht="15" hidden="1" customHeight="1" x14ac:dyDescent="0.3">
      <c r="C13" s="264"/>
      <c r="D13" s="329"/>
      <c r="E13" s="329"/>
      <c r="F13" s="307"/>
      <c r="G13" s="307"/>
      <c r="H13" s="160"/>
      <c r="I13" s="329"/>
      <c r="J13" s="329"/>
      <c r="K13" s="128"/>
      <c r="L13" s="128"/>
      <c r="M13" s="160"/>
      <c r="N13" s="329"/>
      <c r="O13" s="329"/>
      <c r="P13" s="128"/>
      <c r="Q13" s="128"/>
      <c r="R13" s="160"/>
      <c r="S13" s="329"/>
      <c r="T13" s="329"/>
      <c r="U13" s="128"/>
      <c r="V13" s="128"/>
      <c r="W13" s="160"/>
      <c r="X13" s="329"/>
      <c r="Y13" s="329"/>
      <c r="Z13" s="128"/>
      <c r="AA13" s="128"/>
      <c r="AB13" s="160"/>
      <c r="AC13" s="329"/>
      <c r="AD13" s="329"/>
      <c r="AE13" s="128"/>
      <c r="AF13" s="128"/>
      <c r="AG13" s="162"/>
      <c r="AH13" s="329"/>
      <c r="AI13" s="329"/>
      <c r="AJ13" s="128"/>
      <c r="AK13" s="128"/>
      <c r="AL13" s="162"/>
      <c r="AM13" s="162"/>
      <c r="AN13" s="162"/>
      <c r="AO13" s="328"/>
    </row>
    <row r="14" spans="3:41" s="218" customFormat="1" ht="15" hidden="1" customHeight="1" x14ac:dyDescent="0.3">
      <c r="C14" s="266"/>
      <c r="D14" s="329"/>
      <c r="E14" s="329"/>
      <c r="F14" s="307"/>
      <c r="G14" s="307"/>
      <c r="H14" s="160"/>
      <c r="I14" s="329"/>
      <c r="J14" s="329"/>
      <c r="K14" s="329"/>
      <c r="L14" s="329"/>
      <c r="M14" s="160"/>
      <c r="N14" s="329"/>
      <c r="O14" s="329"/>
      <c r="P14" s="329"/>
      <c r="Q14" s="329"/>
      <c r="R14" s="160"/>
      <c r="S14" s="329"/>
      <c r="T14" s="329"/>
      <c r="U14" s="329"/>
      <c r="V14" s="329"/>
      <c r="W14" s="160"/>
      <c r="X14" s="329"/>
      <c r="Y14" s="329"/>
      <c r="Z14" s="329"/>
      <c r="AA14" s="329"/>
      <c r="AB14" s="329"/>
      <c r="AC14" s="329"/>
      <c r="AD14" s="329"/>
      <c r="AE14" s="160"/>
      <c r="AF14" s="329"/>
      <c r="AG14" s="329"/>
      <c r="AH14" s="329"/>
      <c r="AI14" s="329"/>
      <c r="AJ14" s="162"/>
      <c r="AK14" s="329"/>
      <c r="AL14" s="127"/>
      <c r="AM14" s="127"/>
      <c r="AN14" s="127"/>
    </row>
    <row r="15" spans="3:41" s="30" customFormat="1" ht="15" hidden="1" customHeight="1" x14ac:dyDescent="0.3">
      <c r="C15" s="264"/>
      <c r="D15" s="329"/>
      <c r="E15" s="329"/>
      <c r="F15" s="128"/>
      <c r="G15" s="128"/>
      <c r="H15" s="161"/>
      <c r="I15" s="329"/>
      <c r="J15" s="329"/>
      <c r="K15" s="329"/>
      <c r="L15" s="329"/>
      <c r="M15" s="160"/>
      <c r="N15" s="329"/>
      <c r="O15" s="329"/>
      <c r="P15" s="329"/>
      <c r="Q15" s="329"/>
      <c r="R15" s="160"/>
      <c r="S15" s="329"/>
      <c r="T15" s="329"/>
      <c r="U15" s="329"/>
      <c r="V15" s="329"/>
      <c r="W15" s="160"/>
      <c r="X15" s="329"/>
      <c r="Y15" s="329"/>
      <c r="Z15" s="329"/>
      <c r="AA15" s="329"/>
      <c r="AB15" s="329"/>
      <c r="AC15" s="329"/>
      <c r="AD15" s="329"/>
      <c r="AE15" s="160"/>
      <c r="AF15" s="329"/>
      <c r="AG15" s="329"/>
      <c r="AH15" s="329"/>
      <c r="AI15" s="329"/>
      <c r="AJ15" s="162"/>
      <c r="AK15" s="329"/>
      <c r="AL15" s="127"/>
      <c r="AM15" s="127"/>
      <c r="AN15" s="127"/>
      <c r="AO15" s="328"/>
    </row>
    <row r="16" spans="3:41" s="30" customFormat="1" ht="15" hidden="1" customHeight="1" x14ac:dyDescent="0.3">
      <c r="C16" s="264"/>
      <c r="D16" s="329"/>
      <c r="E16" s="329"/>
      <c r="F16" s="128"/>
      <c r="G16" s="128"/>
      <c r="H16" s="161"/>
      <c r="I16" s="128"/>
      <c r="J16" s="128"/>
      <c r="K16" s="128"/>
      <c r="L16" s="128"/>
      <c r="M16" s="161"/>
      <c r="N16" s="128"/>
      <c r="O16" s="128"/>
      <c r="P16" s="128"/>
      <c r="Q16" s="128"/>
      <c r="R16" s="160"/>
      <c r="S16" s="329"/>
      <c r="T16" s="329"/>
      <c r="U16" s="128"/>
      <c r="V16" s="128"/>
      <c r="W16" s="161"/>
      <c r="X16" s="329"/>
      <c r="Y16" s="329"/>
      <c r="Z16" s="329"/>
      <c r="AA16" s="329"/>
      <c r="AB16" s="329"/>
      <c r="AC16" s="128"/>
      <c r="AD16" s="128"/>
      <c r="AE16" s="161"/>
      <c r="AF16" s="128"/>
      <c r="AG16" s="128"/>
      <c r="AH16" s="128"/>
      <c r="AI16" s="128"/>
      <c r="AJ16" s="162"/>
      <c r="AK16" s="329"/>
      <c r="AL16" s="127"/>
      <c r="AM16" s="128"/>
      <c r="AN16" s="128"/>
      <c r="AO16" s="328"/>
    </row>
    <row r="17" spans="1:41" s="30" customFormat="1" ht="15" hidden="1" customHeight="1" x14ac:dyDescent="0.3">
      <c r="C17" s="265"/>
      <c r="D17" s="329"/>
      <c r="E17" s="329"/>
      <c r="F17" s="128"/>
      <c r="G17" s="128"/>
      <c r="H17" s="161"/>
      <c r="I17" s="128"/>
      <c r="J17" s="128"/>
      <c r="K17" s="128"/>
      <c r="L17" s="128"/>
      <c r="M17" s="128"/>
      <c r="N17" s="128"/>
      <c r="O17" s="128"/>
      <c r="P17" s="128"/>
      <c r="Q17" s="128"/>
      <c r="R17" s="329"/>
      <c r="S17" s="329"/>
      <c r="T17" s="329"/>
      <c r="U17" s="128"/>
      <c r="V17" s="128"/>
      <c r="W17" s="128"/>
      <c r="X17" s="329"/>
      <c r="Y17" s="329"/>
      <c r="Z17" s="329"/>
      <c r="AA17" s="329"/>
      <c r="AB17" s="329"/>
      <c r="AC17" s="128"/>
      <c r="AD17" s="128"/>
      <c r="AE17" s="128"/>
      <c r="AF17" s="128"/>
      <c r="AG17" s="128"/>
      <c r="AH17" s="128"/>
      <c r="AI17" s="128"/>
      <c r="AJ17" s="162"/>
      <c r="AK17" s="329"/>
      <c r="AL17" s="127"/>
      <c r="AM17" s="128"/>
      <c r="AN17" s="128"/>
      <c r="AO17" s="328"/>
    </row>
    <row r="18" spans="1:41" s="30" customFormat="1" ht="15" hidden="1" customHeight="1" x14ac:dyDescent="0.3">
      <c r="C18" s="265"/>
      <c r="D18" s="329"/>
      <c r="E18" s="329"/>
      <c r="F18" s="128"/>
      <c r="G18" s="128"/>
      <c r="H18" s="161"/>
      <c r="I18" s="128"/>
      <c r="J18" s="128"/>
      <c r="K18" s="128"/>
      <c r="L18" s="128"/>
      <c r="M18" s="128"/>
      <c r="N18" s="128"/>
      <c r="O18" s="128"/>
      <c r="P18" s="128"/>
      <c r="Q18" s="128"/>
      <c r="R18" s="329"/>
      <c r="S18" s="329"/>
      <c r="T18" s="329"/>
      <c r="U18" s="128"/>
      <c r="V18" s="128"/>
      <c r="W18" s="128"/>
      <c r="X18" s="329"/>
      <c r="Y18" s="329"/>
      <c r="Z18" s="329"/>
      <c r="AA18" s="329"/>
      <c r="AB18" s="329"/>
      <c r="AC18" s="128"/>
      <c r="AD18" s="128"/>
      <c r="AE18" s="128"/>
      <c r="AF18" s="128"/>
      <c r="AG18" s="128"/>
      <c r="AH18" s="128"/>
      <c r="AI18" s="128"/>
      <c r="AJ18" s="162"/>
      <c r="AK18" s="329"/>
      <c r="AL18" s="127"/>
      <c r="AM18" s="128"/>
      <c r="AN18" s="128"/>
      <c r="AO18" s="328"/>
    </row>
    <row r="19" spans="1:41" s="30" customFormat="1" ht="15" hidden="1" customHeight="1" x14ac:dyDescent="0.3">
      <c r="C19" s="265"/>
      <c r="D19" s="329"/>
      <c r="E19" s="329"/>
      <c r="F19" s="128"/>
      <c r="G19" s="128"/>
      <c r="H19" s="161"/>
      <c r="I19" s="128"/>
      <c r="J19" s="128"/>
      <c r="K19" s="128"/>
      <c r="L19" s="128"/>
      <c r="M19" s="128"/>
      <c r="N19" s="128"/>
      <c r="O19" s="128"/>
      <c r="P19" s="128"/>
      <c r="Q19" s="128"/>
      <c r="R19" s="329"/>
      <c r="S19" s="329"/>
      <c r="T19" s="329"/>
      <c r="U19" s="128"/>
      <c r="V19" s="128"/>
      <c r="W19" s="128"/>
      <c r="X19" s="329"/>
      <c r="Y19" s="329"/>
      <c r="Z19" s="329"/>
      <c r="AA19" s="329"/>
      <c r="AB19" s="329"/>
      <c r="AC19" s="128"/>
      <c r="AD19" s="128"/>
      <c r="AE19" s="128"/>
      <c r="AF19" s="128"/>
      <c r="AG19" s="128"/>
      <c r="AH19" s="128"/>
      <c r="AI19" s="128"/>
      <c r="AJ19" s="162"/>
      <c r="AK19" s="329"/>
      <c r="AL19" s="127"/>
      <c r="AM19" s="128"/>
      <c r="AN19" s="128"/>
      <c r="AO19" s="328"/>
    </row>
    <row r="20" spans="1:41" s="30" customFormat="1" ht="15" hidden="1" customHeight="1" x14ac:dyDescent="0.3">
      <c r="C20" s="265"/>
      <c r="D20" s="329"/>
      <c r="E20" s="329"/>
      <c r="F20" s="128"/>
      <c r="G20" s="128"/>
      <c r="H20" s="161"/>
      <c r="I20" s="128"/>
      <c r="J20" s="128"/>
      <c r="K20" s="128"/>
      <c r="L20" s="128"/>
      <c r="M20" s="128"/>
      <c r="N20" s="128"/>
      <c r="O20" s="128"/>
      <c r="P20" s="128"/>
      <c r="Q20" s="128"/>
      <c r="R20" s="329"/>
      <c r="S20" s="329"/>
      <c r="T20" s="329"/>
      <c r="U20" s="128"/>
      <c r="V20" s="128"/>
      <c r="W20" s="128"/>
      <c r="X20" s="329"/>
      <c r="Y20" s="329"/>
      <c r="Z20" s="329"/>
      <c r="AA20" s="329"/>
      <c r="AB20" s="329"/>
      <c r="AC20" s="128"/>
      <c r="AD20" s="128"/>
      <c r="AE20" s="128"/>
      <c r="AF20" s="128"/>
      <c r="AG20" s="128"/>
      <c r="AH20" s="128"/>
      <c r="AI20" s="128"/>
      <c r="AJ20" s="162"/>
      <c r="AK20" s="329"/>
      <c r="AL20" s="127"/>
      <c r="AM20" s="128"/>
      <c r="AN20" s="128"/>
      <c r="AO20" s="328"/>
    </row>
    <row r="21" spans="1:41" s="30" customFormat="1" ht="15" hidden="1" customHeight="1" x14ac:dyDescent="0.3">
      <c r="C21" s="265"/>
      <c r="D21" s="329"/>
      <c r="E21" s="329"/>
      <c r="F21" s="128"/>
      <c r="G21" s="128"/>
      <c r="H21" s="160"/>
      <c r="I21" s="128"/>
      <c r="J21" s="128"/>
      <c r="K21" s="128"/>
      <c r="L21" s="128"/>
      <c r="M21" s="128"/>
      <c r="N21" s="128"/>
      <c r="O21" s="128"/>
      <c r="P21" s="128"/>
      <c r="Q21" s="128"/>
      <c r="R21" s="329"/>
      <c r="S21" s="329"/>
      <c r="T21" s="329"/>
      <c r="U21" s="128"/>
      <c r="V21" s="128"/>
      <c r="W21" s="128"/>
      <c r="X21" s="329"/>
      <c r="Y21" s="329"/>
      <c r="Z21" s="329"/>
      <c r="AA21" s="329"/>
      <c r="AB21" s="329"/>
      <c r="AC21" s="128"/>
      <c r="AD21" s="128"/>
      <c r="AE21" s="128"/>
      <c r="AF21" s="128"/>
      <c r="AG21" s="128"/>
      <c r="AH21" s="128"/>
      <c r="AI21" s="128"/>
      <c r="AJ21" s="162"/>
      <c r="AK21" s="329"/>
      <c r="AL21" s="127"/>
      <c r="AM21" s="128"/>
      <c r="AN21" s="128"/>
      <c r="AO21" s="328"/>
    </row>
    <row r="22" spans="1:41" s="30" customFormat="1" ht="15" hidden="1" customHeight="1" x14ac:dyDescent="0.3">
      <c r="C22" s="265"/>
      <c r="D22" s="329"/>
      <c r="E22" s="329"/>
      <c r="F22" s="128"/>
      <c r="G22" s="128"/>
      <c r="H22" s="160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328"/>
      <c r="AM22" s="328"/>
      <c r="AN22" s="328"/>
      <c r="AO22" s="328"/>
    </row>
    <row r="23" spans="1:41" s="30" customFormat="1" ht="15.75" hidden="1" thickBot="1" x14ac:dyDescent="0.3">
      <c r="B23" s="30" t="b">
        <v>1</v>
      </c>
      <c r="C23" s="265" t="s">
        <v>165</v>
      </c>
      <c r="D23" s="219"/>
      <c r="E23" s="219"/>
      <c r="F23" s="219"/>
      <c r="G23" s="219"/>
    </row>
    <row r="24" spans="1:41" ht="19.5" thickBot="1" x14ac:dyDescent="0.35">
      <c r="C24" s="126"/>
      <c r="I24" s="394"/>
      <c r="J24" s="395"/>
      <c r="K24" s="395"/>
      <c r="L24" s="395"/>
      <c r="M24" s="395"/>
      <c r="N24" s="396"/>
      <c r="Q24" s="339"/>
      <c r="R24" s="397" t="s">
        <v>77</v>
      </c>
      <c r="S24" s="398"/>
      <c r="T24" s="398"/>
      <c r="U24" s="398"/>
      <c r="V24" s="399"/>
    </row>
    <row r="25" spans="1:41" ht="15.75" thickBot="1" x14ac:dyDescent="0.3">
      <c r="A25" s="260"/>
      <c r="B25" s="400" t="s">
        <v>78</v>
      </c>
      <c r="C25" s="401"/>
      <c r="D25" s="401"/>
      <c r="E25" s="401"/>
      <c r="F25" s="401"/>
      <c r="G25" s="401"/>
      <c r="H25" s="401"/>
      <c r="I25" s="402"/>
      <c r="J25" s="402"/>
      <c r="K25" s="402"/>
      <c r="L25" s="402"/>
      <c r="M25" s="402"/>
      <c r="N25" s="402"/>
      <c r="O25" s="401"/>
      <c r="P25" s="401"/>
      <c r="Q25" s="402"/>
      <c r="R25" s="401"/>
      <c r="S25" s="401"/>
      <c r="T25" s="401"/>
      <c r="U25" s="401"/>
      <c r="V25" s="401"/>
      <c r="W25" s="403"/>
      <c r="X25" s="129"/>
      <c r="Y25" s="129"/>
      <c r="Z25" s="129"/>
      <c r="AA25" s="129"/>
      <c r="AB25" s="129"/>
      <c r="AC25" s="130"/>
      <c r="AD25" s="130"/>
      <c r="AE25" s="130"/>
      <c r="AF25" s="131"/>
      <c r="AG25" s="260"/>
      <c r="AH25" s="260"/>
      <c r="AI25" s="260"/>
      <c r="AJ25" s="260"/>
    </row>
    <row r="26" spans="1:41" ht="15.75" thickBot="1" x14ac:dyDescent="0.3">
      <c r="A26" s="260"/>
      <c r="B26" s="216">
        <v>1</v>
      </c>
      <c r="C26" s="217">
        <v>1</v>
      </c>
      <c r="D26" s="404">
        <v>1</v>
      </c>
      <c r="E26" s="404"/>
      <c r="F26" s="404">
        <v>2</v>
      </c>
      <c r="G26" s="404"/>
      <c r="H26" s="404">
        <v>3</v>
      </c>
      <c r="I26" s="404"/>
      <c r="J26" s="404">
        <v>4</v>
      </c>
      <c r="K26" s="404"/>
      <c r="L26" s="404">
        <v>5</v>
      </c>
      <c r="M26" s="409"/>
      <c r="N26" s="409">
        <v>6</v>
      </c>
      <c r="O26" s="410"/>
      <c r="P26" s="409">
        <v>7</v>
      </c>
      <c r="Q26" s="410"/>
      <c r="R26" s="409">
        <v>8</v>
      </c>
      <c r="S26" s="410"/>
      <c r="T26" s="409">
        <v>9</v>
      </c>
      <c r="U26" s="410"/>
      <c r="V26" s="409">
        <v>10</v>
      </c>
      <c r="W26" s="436"/>
      <c r="X26" s="406" t="s">
        <v>108</v>
      </c>
      <c r="Y26" s="407"/>
      <c r="Z26" s="408"/>
      <c r="AA26" s="188"/>
      <c r="AB26" s="188"/>
      <c r="AC26" s="132"/>
      <c r="AD26" s="132"/>
      <c r="AE26" s="132"/>
      <c r="AF26" s="132"/>
      <c r="AG26" s="260"/>
      <c r="AH26" s="260"/>
      <c r="AI26" s="260"/>
      <c r="AJ26" s="260"/>
    </row>
    <row r="27" spans="1:41" s="260" customFormat="1" ht="15.75" thickBot="1" x14ac:dyDescent="0.3">
      <c r="B27" s="222"/>
      <c r="C27" s="133"/>
      <c r="D27" s="223" t="s">
        <v>58</v>
      </c>
      <c r="E27" s="223" t="s">
        <v>59</v>
      </c>
      <c r="F27" s="223" t="s">
        <v>58</v>
      </c>
      <c r="G27" s="223" t="s">
        <v>59</v>
      </c>
      <c r="H27" s="223" t="s">
        <v>58</v>
      </c>
      <c r="I27" s="223" t="s">
        <v>59</v>
      </c>
      <c r="J27" s="223" t="s">
        <v>58</v>
      </c>
      <c r="K27" s="223" t="s">
        <v>59</v>
      </c>
      <c r="L27" s="223" t="s">
        <v>58</v>
      </c>
      <c r="M27" s="223" t="s">
        <v>59</v>
      </c>
      <c r="N27" s="223" t="s">
        <v>58</v>
      </c>
      <c r="O27" s="223" t="s">
        <v>59</v>
      </c>
      <c r="P27" s="223" t="s">
        <v>58</v>
      </c>
      <c r="Q27" s="223" t="s">
        <v>59</v>
      </c>
      <c r="R27" s="223" t="s">
        <v>58</v>
      </c>
      <c r="S27" s="223" t="s">
        <v>59</v>
      </c>
      <c r="T27" s="223" t="s">
        <v>58</v>
      </c>
      <c r="U27" s="223" t="s">
        <v>59</v>
      </c>
      <c r="V27" s="223" t="s">
        <v>58</v>
      </c>
      <c r="W27" s="223" t="s">
        <v>59</v>
      </c>
      <c r="X27" s="224" t="s">
        <v>79</v>
      </c>
      <c r="Y27" s="225" t="s">
        <v>106</v>
      </c>
      <c r="Z27" s="226" t="s">
        <v>109</v>
      </c>
      <c r="AA27" s="54" t="s">
        <v>142</v>
      </c>
      <c r="AB27" s="54" t="s">
        <v>143</v>
      </c>
      <c r="AC27" s="378" t="s">
        <v>102</v>
      </c>
      <c r="AD27" s="379"/>
      <c r="AE27" s="378" t="s">
        <v>103</v>
      </c>
      <c r="AF27" s="379"/>
      <c r="AG27" s="380" t="s">
        <v>104</v>
      </c>
      <c r="AH27" s="380"/>
      <c r="AI27" s="380" t="s">
        <v>105</v>
      </c>
      <c r="AJ27" s="380"/>
    </row>
    <row r="28" spans="1:41" x14ac:dyDescent="0.25">
      <c r="A28" s="260"/>
      <c r="B28" s="364" t="s">
        <v>80</v>
      </c>
      <c r="C28" s="365">
        <v>45985</v>
      </c>
      <c r="D28" s="366"/>
      <c r="E28" s="366"/>
      <c r="F28" s="366"/>
      <c r="G28" s="366"/>
      <c r="H28" s="366"/>
      <c r="I28" s="366"/>
      <c r="J28" s="366"/>
      <c r="K28" s="366"/>
      <c r="L28" s="366"/>
      <c r="M28" s="366"/>
      <c r="N28" s="366"/>
      <c r="O28" s="366"/>
      <c r="P28" s="366"/>
      <c r="Q28" s="366"/>
      <c r="R28" s="366"/>
      <c r="S28" s="366"/>
      <c r="T28" s="366"/>
      <c r="U28" s="366"/>
      <c r="V28" s="366"/>
      <c r="W28" s="368"/>
      <c r="X28" s="369"/>
      <c r="Y28" s="367"/>
      <c r="Z28" s="370"/>
      <c r="AA28" s="371"/>
      <c r="AB28" s="372"/>
      <c r="AC28" s="391"/>
      <c r="AD28" s="391"/>
      <c r="AE28" s="434" t="str">
        <f>TRUNC(SUM(AC28:AC34)*24,0) &amp; "h" &amp; RIGHT("00"&amp;ROUND(((SUM(AC28:AC34)*24)-TRUNC(SUM(AC28:AC34)*24,0))*60,2),2)</f>
        <v>0h00</v>
      </c>
      <c r="AF28" s="434"/>
      <c r="AG28" s="435"/>
      <c r="AH28" s="435"/>
      <c r="AI28" s="434" t="str">
        <f>TRUNC(SUM(AG28:AG34)*24,0) &amp; "h" &amp; RIGHT("00"&amp;ROUND(((SUM(AG28:AG34)*24)-TRUNC(SUM(AG28:AG34)*24,0))*60,2),2)</f>
        <v>0h00</v>
      </c>
      <c r="AJ28" s="434"/>
    </row>
    <row r="29" spans="1:41" ht="14.1" customHeight="1" x14ac:dyDescent="0.25">
      <c r="A29" s="260"/>
      <c r="B29" s="244" t="s">
        <v>81</v>
      </c>
      <c r="C29" s="241">
        <v>45986</v>
      </c>
      <c r="D29" s="227"/>
      <c r="E29" s="227"/>
      <c r="F29" s="227"/>
      <c r="G29" s="227"/>
      <c r="H29" s="227"/>
      <c r="I29" s="227"/>
      <c r="J29" s="227"/>
      <c r="K29" s="227"/>
      <c r="L29" s="227"/>
      <c r="M29" s="227"/>
      <c r="N29" s="227"/>
      <c r="O29" s="227"/>
      <c r="P29" s="227"/>
      <c r="Q29" s="227"/>
      <c r="R29" s="227"/>
      <c r="S29" s="227"/>
      <c r="T29" s="227"/>
      <c r="U29" s="227"/>
      <c r="V29" s="227"/>
      <c r="W29" s="267"/>
      <c r="X29" s="278"/>
      <c r="Y29" s="228"/>
      <c r="Z29" s="279"/>
      <c r="AA29" s="292"/>
      <c r="AB29" s="293"/>
      <c r="AC29" s="392"/>
      <c r="AD29" s="392"/>
      <c r="AE29" s="383"/>
      <c r="AF29" s="383"/>
      <c r="AG29" s="414"/>
      <c r="AH29" s="414"/>
      <c r="AI29" s="383"/>
      <c r="AJ29" s="383"/>
    </row>
    <row r="30" spans="1:41" ht="14.1" customHeight="1" x14ac:dyDescent="0.25">
      <c r="A30" s="260"/>
      <c r="B30" s="244" t="s">
        <v>82</v>
      </c>
      <c r="C30" s="241">
        <v>45987</v>
      </c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29"/>
      <c r="P30" s="229"/>
      <c r="Q30" s="229"/>
      <c r="R30" s="229"/>
      <c r="S30" s="229"/>
      <c r="T30" s="229"/>
      <c r="U30" s="229"/>
      <c r="V30" s="229"/>
      <c r="W30" s="268"/>
      <c r="X30" s="280"/>
      <c r="Y30" s="230"/>
      <c r="Z30" s="281"/>
      <c r="AA30" s="294"/>
      <c r="AB30" s="295"/>
      <c r="AC30" s="393"/>
      <c r="AD30" s="393"/>
      <c r="AE30" s="384"/>
      <c r="AF30" s="384"/>
      <c r="AG30" s="388"/>
      <c r="AH30" s="388"/>
      <c r="AI30" s="384"/>
      <c r="AJ30" s="384"/>
    </row>
    <row r="31" spans="1:41" ht="14.1" customHeight="1" x14ac:dyDescent="0.25">
      <c r="A31" s="260"/>
      <c r="B31" s="244" t="s">
        <v>83</v>
      </c>
      <c r="C31" s="241">
        <v>45988</v>
      </c>
      <c r="D31" s="227"/>
      <c r="E31" s="227"/>
      <c r="F31" s="227"/>
      <c r="G31" s="227"/>
      <c r="H31" s="227"/>
      <c r="I31" s="227"/>
      <c r="J31" s="227"/>
      <c r="K31" s="227"/>
      <c r="L31" s="227"/>
      <c r="M31" s="227"/>
      <c r="N31" s="227"/>
      <c r="O31" s="227"/>
      <c r="P31" s="227"/>
      <c r="Q31" s="227"/>
      <c r="R31" s="227"/>
      <c r="S31" s="227"/>
      <c r="T31" s="227"/>
      <c r="U31" s="227"/>
      <c r="V31" s="227"/>
      <c r="W31" s="267"/>
      <c r="X31" s="278"/>
      <c r="Y31" s="228"/>
      <c r="Z31" s="279"/>
      <c r="AA31" s="292"/>
      <c r="AB31" s="293"/>
      <c r="AC31" s="392"/>
      <c r="AD31" s="392"/>
      <c r="AE31" s="383"/>
      <c r="AF31" s="383"/>
      <c r="AG31" s="414"/>
      <c r="AH31" s="414"/>
      <c r="AI31" s="383"/>
      <c r="AJ31" s="383"/>
    </row>
    <row r="32" spans="1:41" ht="14.1" customHeight="1" x14ac:dyDescent="0.25">
      <c r="A32" s="260"/>
      <c r="B32" s="244" t="s">
        <v>84</v>
      </c>
      <c r="C32" s="241">
        <v>45989</v>
      </c>
      <c r="D32" s="229"/>
      <c r="E32" s="229"/>
      <c r="F32" s="229"/>
      <c r="G32" s="229"/>
      <c r="H32" s="229"/>
      <c r="I32" s="229"/>
      <c r="J32" s="229"/>
      <c r="K32" s="229"/>
      <c r="L32" s="229"/>
      <c r="M32" s="229"/>
      <c r="N32" s="229"/>
      <c r="O32" s="229"/>
      <c r="P32" s="229"/>
      <c r="Q32" s="229"/>
      <c r="R32" s="229"/>
      <c r="S32" s="229"/>
      <c r="T32" s="229"/>
      <c r="U32" s="229"/>
      <c r="V32" s="229"/>
      <c r="W32" s="268"/>
      <c r="X32" s="280"/>
      <c r="Y32" s="230"/>
      <c r="Z32" s="281"/>
      <c r="AA32" s="294"/>
      <c r="AB32" s="295"/>
      <c r="AC32" s="393"/>
      <c r="AD32" s="393"/>
      <c r="AE32" s="384"/>
      <c r="AF32" s="384"/>
      <c r="AG32" s="388"/>
      <c r="AH32" s="388"/>
      <c r="AI32" s="384"/>
      <c r="AJ32" s="384"/>
    </row>
    <row r="33" spans="1:42" ht="14.1" customHeight="1" x14ac:dyDescent="0.25">
      <c r="A33" s="260"/>
      <c r="B33" s="244" t="s">
        <v>85</v>
      </c>
      <c r="C33" s="241">
        <v>45990</v>
      </c>
      <c r="D33" s="227"/>
      <c r="E33" s="227"/>
      <c r="F33" s="227"/>
      <c r="G33" s="227"/>
      <c r="H33" s="227"/>
      <c r="I33" s="227"/>
      <c r="J33" s="227"/>
      <c r="K33" s="227"/>
      <c r="L33" s="227"/>
      <c r="M33" s="227"/>
      <c r="N33" s="227"/>
      <c r="O33" s="227"/>
      <c r="P33" s="227"/>
      <c r="Q33" s="227"/>
      <c r="R33" s="227"/>
      <c r="S33" s="227"/>
      <c r="T33" s="227"/>
      <c r="U33" s="227"/>
      <c r="V33" s="227"/>
      <c r="W33" s="267"/>
      <c r="X33" s="278"/>
      <c r="Y33" s="228"/>
      <c r="Z33" s="279"/>
      <c r="AA33" s="292"/>
      <c r="AB33" s="293"/>
      <c r="AC33" s="392"/>
      <c r="AD33" s="392"/>
      <c r="AE33" s="383"/>
      <c r="AF33" s="383"/>
      <c r="AG33" s="414"/>
      <c r="AH33" s="414"/>
      <c r="AI33" s="383"/>
      <c r="AJ33" s="383"/>
    </row>
    <row r="34" spans="1:42" ht="14.1" customHeight="1" x14ac:dyDescent="0.25">
      <c r="A34" s="260"/>
      <c r="B34" s="247" t="s">
        <v>86</v>
      </c>
      <c r="C34" s="248">
        <v>45991</v>
      </c>
      <c r="D34" s="235"/>
      <c r="E34" s="235"/>
      <c r="F34" s="235"/>
      <c r="G34" s="235"/>
      <c r="H34" s="235"/>
      <c r="I34" s="235"/>
      <c r="J34" s="235"/>
      <c r="K34" s="235"/>
      <c r="L34" s="235"/>
      <c r="M34" s="235"/>
      <c r="N34" s="235"/>
      <c r="O34" s="235"/>
      <c r="P34" s="235"/>
      <c r="Q34" s="235"/>
      <c r="R34" s="235"/>
      <c r="S34" s="235"/>
      <c r="T34" s="235"/>
      <c r="U34" s="235"/>
      <c r="V34" s="235"/>
      <c r="W34" s="269"/>
      <c r="X34" s="282"/>
      <c r="Y34" s="340"/>
      <c r="Z34" s="283"/>
      <c r="AA34" s="296"/>
      <c r="AB34" s="297"/>
      <c r="AC34" s="411"/>
      <c r="AD34" s="411"/>
      <c r="AE34" s="385"/>
      <c r="AF34" s="385"/>
      <c r="AG34" s="420"/>
      <c r="AH34" s="420"/>
      <c r="AI34" s="385"/>
      <c r="AJ34" s="385"/>
    </row>
    <row r="35" spans="1:42" ht="14.1" customHeight="1" x14ac:dyDescent="0.25">
      <c r="A35" s="260"/>
      <c r="B35" s="249" t="s">
        <v>80</v>
      </c>
      <c r="C35" s="250">
        <v>45992</v>
      </c>
      <c r="D35" s="234"/>
      <c r="E35" s="234"/>
      <c r="F35" s="234"/>
      <c r="G35" s="234"/>
      <c r="H35" s="234"/>
      <c r="I35" s="234"/>
      <c r="J35" s="234"/>
      <c r="K35" s="234"/>
      <c r="L35" s="234"/>
      <c r="M35" s="234"/>
      <c r="N35" s="234"/>
      <c r="O35" s="234"/>
      <c r="P35" s="234"/>
      <c r="Q35" s="234"/>
      <c r="R35" s="234"/>
      <c r="S35" s="234"/>
      <c r="T35" s="234"/>
      <c r="U35" s="234"/>
      <c r="V35" s="234"/>
      <c r="W35" s="270"/>
      <c r="X35" s="284"/>
      <c r="Y35" s="233"/>
      <c r="Z35" s="285"/>
      <c r="AA35" s="341"/>
      <c r="AB35" s="298"/>
      <c r="AC35" s="412"/>
      <c r="AD35" s="412"/>
      <c r="AE35" s="421" t="str">
        <f>TRUNC(SUM(AC35:AC41)*24,0) &amp; "h" &amp; RIGHT("00"&amp;ROUND(((SUM(AC35:AC41)*24)-TRUNC(SUM(AC35:AC41)*24,0))*60,2),2)</f>
        <v>0h00</v>
      </c>
      <c r="AF35" s="421"/>
      <c r="AG35" s="387"/>
      <c r="AH35" s="387"/>
      <c r="AI35" s="421" t="str">
        <f>TRUNC(SUM(AG35:AG41)*24,0) &amp; "h" &amp; RIGHT("00"&amp;ROUND(((SUM(AG35:AG41)*24)-TRUNC(SUM(AG35:AG41)*24,0))*60,2),2)</f>
        <v>0h00</v>
      </c>
      <c r="AJ35" s="421"/>
      <c r="AK35" s="171"/>
      <c r="AL35" s="171"/>
      <c r="AM35" s="171"/>
      <c r="AN35" s="171"/>
      <c r="AO35" s="171"/>
      <c r="AP35" s="171"/>
    </row>
    <row r="36" spans="1:42" ht="14.1" customHeight="1" x14ac:dyDescent="0.25">
      <c r="A36" s="260"/>
      <c r="B36" s="244" t="s">
        <v>81</v>
      </c>
      <c r="C36" s="241">
        <v>45993</v>
      </c>
      <c r="D36" s="229"/>
      <c r="E36" s="229"/>
      <c r="F36" s="229"/>
      <c r="G36" s="229"/>
      <c r="H36" s="229"/>
      <c r="I36" s="229"/>
      <c r="J36" s="229"/>
      <c r="K36" s="229"/>
      <c r="L36" s="229"/>
      <c r="M36" s="229"/>
      <c r="N36" s="229"/>
      <c r="O36" s="229"/>
      <c r="P36" s="229"/>
      <c r="Q36" s="229"/>
      <c r="R36" s="229"/>
      <c r="S36" s="229"/>
      <c r="T36" s="229"/>
      <c r="U36" s="229"/>
      <c r="V36" s="229"/>
      <c r="W36" s="268"/>
      <c r="X36" s="280"/>
      <c r="Y36" s="230"/>
      <c r="Z36" s="281"/>
      <c r="AA36" s="294"/>
      <c r="AB36" s="295"/>
      <c r="AC36" s="393"/>
      <c r="AD36" s="393"/>
      <c r="AE36" s="384"/>
      <c r="AF36" s="384"/>
      <c r="AG36" s="388"/>
      <c r="AH36" s="388"/>
      <c r="AI36" s="384"/>
      <c r="AJ36" s="384"/>
      <c r="AK36" s="172"/>
      <c r="AL36" s="172"/>
      <c r="AM36" s="172"/>
      <c r="AN36" s="172"/>
      <c r="AO36" s="172"/>
      <c r="AP36" s="171"/>
    </row>
    <row r="37" spans="1:42" ht="14.1" customHeight="1" x14ac:dyDescent="0.25">
      <c r="A37" s="260"/>
      <c r="B37" s="244" t="s">
        <v>82</v>
      </c>
      <c r="C37" s="241">
        <v>45994</v>
      </c>
      <c r="D37" s="227"/>
      <c r="E37" s="227"/>
      <c r="F37" s="227"/>
      <c r="G37" s="227"/>
      <c r="H37" s="227"/>
      <c r="I37" s="227"/>
      <c r="J37" s="227"/>
      <c r="K37" s="227"/>
      <c r="L37" s="227"/>
      <c r="M37" s="227"/>
      <c r="N37" s="227"/>
      <c r="O37" s="227"/>
      <c r="P37" s="227"/>
      <c r="Q37" s="227"/>
      <c r="R37" s="227"/>
      <c r="S37" s="227"/>
      <c r="T37" s="227"/>
      <c r="U37" s="227"/>
      <c r="V37" s="227"/>
      <c r="W37" s="267"/>
      <c r="X37" s="278"/>
      <c r="Y37" s="228"/>
      <c r="Z37" s="279"/>
      <c r="AA37" s="292"/>
      <c r="AB37" s="293"/>
      <c r="AC37" s="392"/>
      <c r="AD37" s="392"/>
      <c r="AE37" s="383"/>
      <c r="AF37" s="383"/>
      <c r="AG37" s="414"/>
      <c r="AH37" s="414"/>
      <c r="AI37" s="383"/>
      <c r="AJ37" s="383"/>
      <c r="AK37" s="171"/>
      <c r="AL37" s="173"/>
      <c r="AM37" s="171"/>
      <c r="AN37" s="171"/>
      <c r="AO37" s="171"/>
      <c r="AP37" s="171"/>
    </row>
    <row r="38" spans="1:42" ht="14.1" customHeight="1" x14ac:dyDescent="0.25">
      <c r="A38" s="260"/>
      <c r="B38" s="244" t="s">
        <v>83</v>
      </c>
      <c r="C38" s="241">
        <v>45995</v>
      </c>
      <c r="D38" s="229"/>
      <c r="E38" s="229"/>
      <c r="F38" s="229"/>
      <c r="G38" s="229"/>
      <c r="H38" s="229"/>
      <c r="I38" s="229"/>
      <c r="J38" s="231"/>
      <c r="K38" s="231"/>
      <c r="L38" s="231"/>
      <c r="M38" s="231"/>
      <c r="N38" s="231"/>
      <c r="O38" s="231"/>
      <c r="P38" s="231"/>
      <c r="Q38" s="231"/>
      <c r="R38" s="231"/>
      <c r="S38" s="231"/>
      <c r="T38" s="231"/>
      <c r="U38" s="231"/>
      <c r="V38" s="231"/>
      <c r="W38" s="271"/>
      <c r="X38" s="280"/>
      <c r="Y38" s="230"/>
      <c r="Z38" s="281"/>
      <c r="AA38" s="294"/>
      <c r="AB38" s="295"/>
      <c r="AC38" s="393"/>
      <c r="AD38" s="393"/>
      <c r="AE38" s="384"/>
      <c r="AF38" s="384"/>
      <c r="AG38" s="388"/>
      <c r="AH38" s="388"/>
      <c r="AI38" s="384"/>
      <c r="AJ38" s="384"/>
      <c r="AK38" s="172"/>
      <c r="AL38" s="172"/>
      <c r="AM38" s="172"/>
      <c r="AN38" s="172"/>
      <c r="AO38" s="172"/>
      <c r="AP38" s="171"/>
    </row>
    <row r="39" spans="1:42" ht="14.1" customHeight="1" x14ac:dyDescent="0.25">
      <c r="A39" s="260"/>
      <c r="B39" s="244" t="s">
        <v>84</v>
      </c>
      <c r="C39" s="241">
        <v>45996</v>
      </c>
      <c r="D39" s="227"/>
      <c r="E39" s="227"/>
      <c r="F39" s="227"/>
      <c r="G39" s="227"/>
      <c r="H39" s="227"/>
      <c r="I39" s="227"/>
      <c r="J39" s="232"/>
      <c r="K39" s="232"/>
      <c r="L39" s="232"/>
      <c r="M39" s="232"/>
      <c r="N39" s="232"/>
      <c r="O39" s="232"/>
      <c r="P39" s="232"/>
      <c r="Q39" s="232"/>
      <c r="R39" s="232"/>
      <c r="S39" s="232"/>
      <c r="T39" s="232"/>
      <c r="U39" s="232"/>
      <c r="V39" s="232"/>
      <c r="W39" s="272"/>
      <c r="X39" s="278"/>
      <c r="Y39" s="228"/>
      <c r="Z39" s="279"/>
      <c r="AA39" s="292"/>
      <c r="AB39" s="293"/>
      <c r="AC39" s="392"/>
      <c r="AD39" s="392"/>
      <c r="AE39" s="383"/>
      <c r="AF39" s="383"/>
      <c r="AG39" s="414"/>
      <c r="AH39" s="414"/>
      <c r="AI39" s="383"/>
      <c r="AJ39" s="383"/>
      <c r="AK39" s="171"/>
      <c r="AL39" s="171"/>
      <c r="AM39" s="171"/>
      <c r="AN39" s="171"/>
      <c r="AO39" s="171"/>
      <c r="AP39" s="171"/>
    </row>
    <row r="40" spans="1:42" ht="14.1" customHeight="1" x14ac:dyDescent="0.25">
      <c r="A40" s="260"/>
      <c r="B40" s="244" t="s">
        <v>85</v>
      </c>
      <c r="C40" s="241">
        <v>45997</v>
      </c>
      <c r="D40" s="229"/>
      <c r="E40" s="229"/>
      <c r="F40" s="229"/>
      <c r="G40" s="229"/>
      <c r="H40" s="229"/>
      <c r="I40" s="229"/>
      <c r="J40" s="231"/>
      <c r="K40" s="231"/>
      <c r="L40" s="231"/>
      <c r="M40" s="231"/>
      <c r="N40" s="231"/>
      <c r="O40" s="231"/>
      <c r="P40" s="231"/>
      <c r="Q40" s="231"/>
      <c r="R40" s="231"/>
      <c r="S40" s="231"/>
      <c r="T40" s="231"/>
      <c r="U40" s="231"/>
      <c r="V40" s="231"/>
      <c r="W40" s="271"/>
      <c r="X40" s="280"/>
      <c r="Y40" s="230"/>
      <c r="Z40" s="281"/>
      <c r="AA40" s="294"/>
      <c r="AB40" s="295"/>
      <c r="AC40" s="393"/>
      <c r="AD40" s="393"/>
      <c r="AE40" s="384"/>
      <c r="AF40" s="384"/>
      <c r="AG40" s="388"/>
      <c r="AH40" s="388"/>
      <c r="AI40" s="384"/>
      <c r="AJ40" s="384"/>
      <c r="AK40" s="171"/>
      <c r="AL40" s="171"/>
      <c r="AM40" s="171"/>
      <c r="AN40" s="171"/>
      <c r="AO40" s="171"/>
      <c r="AP40" s="171"/>
    </row>
    <row r="41" spans="1:42" ht="14.1" customHeight="1" x14ac:dyDescent="0.25">
      <c r="A41" s="260"/>
      <c r="B41" s="245" t="s">
        <v>86</v>
      </c>
      <c r="C41" s="246">
        <v>45998</v>
      </c>
      <c r="D41" s="338"/>
      <c r="E41" s="338"/>
      <c r="F41" s="238"/>
      <c r="G41" s="238"/>
      <c r="H41" s="238"/>
      <c r="I41" s="238"/>
      <c r="J41" s="238"/>
      <c r="K41" s="238"/>
      <c r="L41" s="238"/>
      <c r="M41" s="238"/>
      <c r="N41" s="238"/>
      <c r="O41" s="238"/>
      <c r="P41" s="238"/>
      <c r="Q41" s="238"/>
      <c r="R41" s="238"/>
      <c r="S41" s="238"/>
      <c r="T41" s="238"/>
      <c r="U41" s="238"/>
      <c r="V41" s="238"/>
      <c r="W41" s="273"/>
      <c r="X41" s="286"/>
      <c r="Y41" s="342"/>
      <c r="Z41" s="287"/>
      <c r="AA41" s="299"/>
      <c r="AB41" s="300"/>
      <c r="AC41" s="389"/>
      <c r="AD41" s="389"/>
      <c r="AE41" s="422"/>
      <c r="AF41" s="422"/>
      <c r="AG41" s="415"/>
      <c r="AH41" s="415"/>
      <c r="AI41" s="422"/>
      <c r="AJ41" s="422"/>
      <c r="AK41" s="171"/>
      <c r="AL41" s="171"/>
      <c r="AM41" s="171"/>
      <c r="AN41" s="171"/>
      <c r="AO41" s="171"/>
      <c r="AP41" s="171"/>
    </row>
    <row r="42" spans="1:42" ht="14.1" customHeight="1" x14ac:dyDescent="0.25">
      <c r="A42" s="260"/>
      <c r="B42" s="242" t="s">
        <v>80</v>
      </c>
      <c r="C42" s="243">
        <v>45999</v>
      </c>
      <c r="D42" s="236"/>
      <c r="E42" s="236"/>
      <c r="F42" s="236"/>
      <c r="G42" s="236"/>
      <c r="H42" s="236"/>
      <c r="I42" s="236"/>
      <c r="J42" s="236"/>
      <c r="K42" s="236"/>
      <c r="L42" s="236"/>
      <c r="M42" s="236"/>
      <c r="N42" s="236"/>
      <c r="O42" s="236"/>
      <c r="P42" s="236"/>
      <c r="Q42" s="236"/>
      <c r="R42" s="236"/>
      <c r="S42" s="236"/>
      <c r="T42" s="236"/>
      <c r="U42" s="236"/>
      <c r="V42" s="236"/>
      <c r="W42" s="274"/>
      <c r="X42" s="288"/>
      <c r="Y42" s="237"/>
      <c r="Z42" s="289"/>
      <c r="AA42" s="301"/>
      <c r="AB42" s="302"/>
      <c r="AC42" s="424"/>
      <c r="AD42" s="424"/>
      <c r="AE42" s="382" t="str">
        <f>TRUNC(SUM(AC42:AC48)*24,0) &amp; "h" &amp; RIGHT("00"&amp;ROUND(((SUM(AC42:AC48)*24)-TRUNC(SUM(AC42:AC48)*24,0))*60,2),2)</f>
        <v>0h00</v>
      </c>
      <c r="AF42" s="382"/>
      <c r="AG42" s="416"/>
      <c r="AH42" s="416"/>
      <c r="AI42" s="382" t="str">
        <f>TRUNC(SUM(AG42:AG48)*24,0) &amp; "h" &amp; RIGHT("00"&amp;ROUND(((SUM(AG42:AG48)*24)-TRUNC(SUM(AG42:AG48)*24,0))*60,2),2)</f>
        <v>0h00</v>
      </c>
      <c r="AJ42" s="382"/>
      <c r="AK42" s="171"/>
      <c r="AL42" s="171"/>
      <c r="AM42" s="171"/>
      <c r="AN42" s="171"/>
      <c r="AO42" s="171"/>
      <c r="AP42" s="171"/>
    </row>
    <row r="43" spans="1:42" ht="14.1" customHeight="1" x14ac:dyDescent="0.25">
      <c r="A43" s="260"/>
      <c r="B43" s="244" t="s">
        <v>81</v>
      </c>
      <c r="C43" s="241">
        <v>46000</v>
      </c>
      <c r="D43" s="227"/>
      <c r="E43" s="227"/>
      <c r="F43" s="227"/>
      <c r="G43" s="227"/>
      <c r="H43" s="227"/>
      <c r="I43" s="227"/>
      <c r="J43" s="227"/>
      <c r="K43" s="227"/>
      <c r="L43" s="227"/>
      <c r="M43" s="227"/>
      <c r="N43" s="227"/>
      <c r="O43" s="227"/>
      <c r="P43" s="227"/>
      <c r="Q43" s="227"/>
      <c r="R43" s="227"/>
      <c r="S43" s="227"/>
      <c r="T43" s="227"/>
      <c r="U43" s="227"/>
      <c r="V43" s="227"/>
      <c r="W43" s="267"/>
      <c r="X43" s="278"/>
      <c r="Y43" s="228"/>
      <c r="Z43" s="279"/>
      <c r="AA43" s="292"/>
      <c r="AB43" s="293"/>
      <c r="AC43" s="392"/>
      <c r="AD43" s="392"/>
      <c r="AE43" s="383"/>
      <c r="AF43" s="383"/>
      <c r="AG43" s="414"/>
      <c r="AH43" s="414"/>
      <c r="AI43" s="383"/>
      <c r="AJ43" s="383"/>
      <c r="AK43" s="171"/>
      <c r="AL43" s="171"/>
      <c r="AM43" s="171"/>
      <c r="AN43" s="171"/>
      <c r="AO43" s="171"/>
      <c r="AP43" s="171"/>
    </row>
    <row r="44" spans="1:42" ht="14.1" customHeight="1" x14ac:dyDescent="0.25">
      <c r="A44" s="260"/>
      <c r="B44" s="244" t="s">
        <v>82</v>
      </c>
      <c r="C44" s="241">
        <v>46001</v>
      </c>
      <c r="D44" s="229"/>
      <c r="E44" s="229"/>
      <c r="F44" s="229"/>
      <c r="G44" s="229"/>
      <c r="H44" s="229"/>
      <c r="I44" s="229"/>
      <c r="J44" s="229"/>
      <c r="K44" s="229"/>
      <c r="L44" s="229"/>
      <c r="M44" s="229"/>
      <c r="N44" s="229"/>
      <c r="O44" s="229"/>
      <c r="P44" s="229"/>
      <c r="Q44" s="229"/>
      <c r="R44" s="229"/>
      <c r="S44" s="229"/>
      <c r="T44" s="229"/>
      <c r="U44" s="229"/>
      <c r="V44" s="229"/>
      <c r="W44" s="268"/>
      <c r="X44" s="280"/>
      <c r="Y44" s="230"/>
      <c r="Z44" s="281"/>
      <c r="AA44" s="294"/>
      <c r="AB44" s="295"/>
      <c r="AC44" s="393"/>
      <c r="AD44" s="393"/>
      <c r="AE44" s="384"/>
      <c r="AF44" s="384"/>
      <c r="AG44" s="388"/>
      <c r="AH44" s="388"/>
      <c r="AI44" s="384"/>
      <c r="AJ44" s="384"/>
      <c r="AK44" s="171"/>
      <c r="AL44" s="171"/>
      <c r="AM44" s="171"/>
      <c r="AN44" s="171"/>
      <c r="AO44" s="171"/>
      <c r="AP44" s="171"/>
    </row>
    <row r="45" spans="1:42" ht="14.1" customHeight="1" x14ac:dyDescent="0.25">
      <c r="A45" s="260"/>
      <c r="B45" s="244" t="s">
        <v>83</v>
      </c>
      <c r="C45" s="241">
        <v>46002</v>
      </c>
      <c r="D45" s="227"/>
      <c r="E45" s="227"/>
      <c r="F45" s="227"/>
      <c r="G45" s="227"/>
      <c r="H45" s="227"/>
      <c r="I45" s="227"/>
      <c r="J45" s="227"/>
      <c r="K45" s="227"/>
      <c r="L45" s="227"/>
      <c r="M45" s="227"/>
      <c r="N45" s="227"/>
      <c r="O45" s="227"/>
      <c r="P45" s="227"/>
      <c r="Q45" s="227"/>
      <c r="R45" s="227"/>
      <c r="S45" s="227"/>
      <c r="T45" s="227"/>
      <c r="U45" s="227"/>
      <c r="V45" s="227"/>
      <c r="W45" s="267"/>
      <c r="X45" s="278"/>
      <c r="Y45" s="228"/>
      <c r="Z45" s="279"/>
      <c r="AA45" s="292"/>
      <c r="AB45" s="293"/>
      <c r="AC45" s="392"/>
      <c r="AD45" s="392"/>
      <c r="AE45" s="383"/>
      <c r="AF45" s="383"/>
      <c r="AG45" s="414"/>
      <c r="AH45" s="414"/>
      <c r="AI45" s="383"/>
      <c r="AJ45" s="383"/>
      <c r="AK45" s="171"/>
      <c r="AL45" s="171"/>
      <c r="AM45" s="171"/>
      <c r="AN45" s="171"/>
      <c r="AO45" s="171"/>
      <c r="AP45" s="171"/>
    </row>
    <row r="46" spans="1:42" ht="14.1" customHeight="1" x14ac:dyDescent="0.25">
      <c r="A46" s="260"/>
      <c r="B46" s="244" t="s">
        <v>84</v>
      </c>
      <c r="C46" s="241">
        <v>46003</v>
      </c>
      <c r="D46" s="229"/>
      <c r="E46" s="229"/>
      <c r="F46" s="229"/>
      <c r="G46" s="229"/>
      <c r="H46" s="229"/>
      <c r="I46" s="229"/>
      <c r="J46" s="229"/>
      <c r="K46" s="229"/>
      <c r="L46" s="229"/>
      <c r="M46" s="229"/>
      <c r="N46" s="229"/>
      <c r="O46" s="229"/>
      <c r="P46" s="229"/>
      <c r="Q46" s="229"/>
      <c r="R46" s="229"/>
      <c r="S46" s="229"/>
      <c r="T46" s="229"/>
      <c r="U46" s="229"/>
      <c r="V46" s="229"/>
      <c r="W46" s="268"/>
      <c r="X46" s="280"/>
      <c r="Y46" s="230"/>
      <c r="Z46" s="281"/>
      <c r="AA46" s="294"/>
      <c r="AB46" s="295"/>
      <c r="AC46" s="393"/>
      <c r="AD46" s="393"/>
      <c r="AE46" s="384"/>
      <c r="AF46" s="384"/>
      <c r="AG46" s="388"/>
      <c r="AH46" s="388"/>
      <c r="AI46" s="384"/>
      <c r="AJ46" s="384"/>
      <c r="AK46" s="171"/>
      <c r="AL46" s="171"/>
      <c r="AM46" s="171"/>
      <c r="AN46" s="171"/>
      <c r="AO46" s="171"/>
      <c r="AP46" s="171"/>
    </row>
    <row r="47" spans="1:42" ht="14.1" customHeight="1" x14ac:dyDescent="0.25">
      <c r="A47" s="260"/>
      <c r="B47" s="244" t="s">
        <v>85</v>
      </c>
      <c r="C47" s="241">
        <v>46004</v>
      </c>
      <c r="D47" s="227"/>
      <c r="E47" s="227"/>
      <c r="F47" s="227"/>
      <c r="G47" s="227"/>
      <c r="H47" s="227"/>
      <c r="I47" s="227"/>
      <c r="J47" s="227"/>
      <c r="K47" s="227"/>
      <c r="L47" s="227"/>
      <c r="M47" s="227"/>
      <c r="N47" s="227"/>
      <c r="O47" s="227"/>
      <c r="P47" s="227"/>
      <c r="Q47" s="227"/>
      <c r="R47" s="227"/>
      <c r="S47" s="227"/>
      <c r="T47" s="227"/>
      <c r="U47" s="227"/>
      <c r="V47" s="227"/>
      <c r="W47" s="267"/>
      <c r="X47" s="278"/>
      <c r="Y47" s="228"/>
      <c r="Z47" s="279"/>
      <c r="AA47" s="292"/>
      <c r="AB47" s="293"/>
      <c r="AC47" s="392"/>
      <c r="AD47" s="392"/>
      <c r="AE47" s="383"/>
      <c r="AF47" s="383"/>
      <c r="AG47" s="414"/>
      <c r="AH47" s="414"/>
      <c r="AI47" s="383"/>
      <c r="AJ47" s="383"/>
      <c r="AK47" s="171"/>
      <c r="AL47" s="171"/>
      <c r="AM47" s="171"/>
      <c r="AN47" s="171"/>
      <c r="AO47" s="171"/>
      <c r="AP47" s="171"/>
    </row>
    <row r="48" spans="1:42" ht="14.1" customHeight="1" x14ac:dyDescent="0.25">
      <c r="A48" s="260"/>
      <c r="B48" s="247" t="s">
        <v>86</v>
      </c>
      <c r="C48" s="248">
        <v>46005</v>
      </c>
      <c r="D48" s="235"/>
      <c r="E48" s="235"/>
      <c r="F48" s="235"/>
      <c r="G48" s="235"/>
      <c r="H48" s="235"/>
      <c r="I48" s="235"/>
      <c r="J48" s="235"/>
      <c r="K48" s="235"/>
      <c r="L48" s="235"/>
      <c r="M48" s="235"/>
      <c r="N48" s="235"/>
      <c r="O48" s="235"/>
      <c r="P48" s="235"/>
      <c r="Q48" s="235"/>
      <c r="R48" s="235"/>
      <c r="S48" s="235"/>
      <c r="T48" s="235"/>
      <c r="U48" s="235"/>
      <c r="V48" s="235"/>
      <c r="W48" s="269"/>
      <c r="X48" s="282"/>
      <c r="Y48" s="340"/>
      <c r="Z48" s="283"/>
      <c r="AA48" s="296"/>
      <c r="AB48" s="297"/>
      <c r="AC48" s="411"/>
      <c r="AD48" s="411"/>
      <c r="AE48" s="385"/>
      <c r="AF48" s="385"/>
      <c r="AG48" s="420"/>
      <c r="AH48" s="420"/>
      <c r="AI48" s="385"/>
      <c r="AJ48" s="385"/>
    </row>
    <row r="49" spans="1:36" ht="14.1" customHeight="1" x14ac:dyDescent="0.25">
      <c r="A49" s="260"/>
      <c r="B49" s="249" t="s">
        <v>80</v>
      </c>
      <c r="C49" s="250">
        <v>46006</v>
      </c>
      <c r="D49" s="234"/>
      <c r="E49" s="234"/>
      <c r="F49" s="234"/>
      <c r="G49" s="234"/>
      <c r="H49" s="234"/>
      <c r="I49" s="234"/>
      <c r="J49" s="234"/>
      <c r="K49" s="234"/>
      <c r="L49" s="234"/>
      <c r="M49" s="234"/>
      <c r="N49" s="234"/>
      <c r="O49" s="234"/>
      <c r="P49" s="234"/>
      <c r="Q49" s="234"/>
      <c r="R49" s="234"/>
      <c r="S49" s="234"/>
      <c r="T49" s="234"/>
      <c r="U49" s="234"/>
      <c r="V49" s="234"/>
      <c r="W49" s="270"/>
      <c r="X49" s="284"/>
      <c r="Y49" s="233"/>
      <c r="Z49" s="285"/>
      <c r="AA49" s="341"/>
      <c r="AB49" s="298"/>
      <c r="AC49" s="412"/>
      <c r="AD49" s="412"/>
      <c r="AE49" s="421" t="str">
        <f>TRUNC(SUM(AC49:AC55)*24,0) &amp; "h" &amp; RIGHT("00"&amp;ROUND(((SUM(AC49:AC55)*24)-TRUNC(SUM(AC49:AC55)*24,0))*60,2),2)</f>
        <v>0h00</v>
      </c>
      <c r="AF49" s="421"/>
      <c r="AG49" s="387"/>
      <c r="AH49" s="387"/>
      <c r="AI49" s="421" t="str">
        <f>TRUNC(SUM(AG49:AG55)*24,0) &amp; "h" &amp; RIGHT("00"&amp;ROUND(((SUM(AG49:AG55)*24)-TRUNC(SUM(AG49:AG55)*24,0))*60,2),2)</f>
        <v>0h00</v>
      </c>
      <c r="AJ49" s="421"/>
    </row>
    <row r="50" spans="1:36" ht="14.1" customHeight="1" x14ac:dyDescent="0.25">
      <c r="A50" s="260"/>
      <c r="B50" s="244" t="s">
        <v>81</v>
      </c>
      <c r="C50" s="241">
        <v>46007</v>
      </c>
      <c r="D50" s="229"/>
      <c r="E50" s="229"/>
      <c r="F50" s="229"/>
      <c r="G50" s="229"/>
      <c r="H50" s="229"/>
      <c r="I50" s="229"/>
      <c r="J50" s="229"/>
      <c r="K50" s="229"/>
      <c r="L50" s="229"/>
      <c r="M50" s="229"/>
      <c r="N50" s="229"/>
      <c r="O50" s="229"/>
      <c r="P50" s="229"/>
      <c r="Q50" s="229"/>
      <c r="R50" s="229"/>
      <c r="S50" s="229"/>
      <c r="T50" s="229"/>
      <c r="U50" s="229"/>
      <c r="V50" s="229"/>
      <c r="W50" s="268"/>
      <c r="X50" s="280"/>
      <c r="Y50" s="230"/>
      <c r="Z50" s="281"/>
      <c r="AA50" s="294"/>
      <c r="AB50" s="295"/>
      <c r="AC50" s="393"/>
      <c r="AD50" s="393"/>
      <c r="AE50" s="384"/>
      <c r="AF50" s="384"/>
      <c r="AG50" s="388"/>
      <c r="AH50" s="388"/>
      <c r="AI50" s="384"/>
      <c r="AJ50" s="384"/>
    </row>
    <row r="51" spans="1:36" ht="14.1" customHeight="1" x14ac:dyDescent="0.25">
      <c r="A51" s="260"/>
      <c r="B51" s="244" t="s">
        <v>82</v>
      </c>
      <c r="C51" s="241">
        <v>46008</v>
      </c>
      <c r="D51" s="227"/>
      <c r="E51" s="227"/>
      <c r="F51" s="227"/>
      <c r="G51" s="227"/>
      <c r="H51" s="227"/>
      <c r="I51" s="227"/>
      <c r="J51" s="227"/>
      <c r="K51" s="227"/>
      <c r="L51" s="227"/>
      <c r="M51" s="227"/>
      <c r="N51" s="227"/>
      <c r="O51" s="227"/>
      <c r="P51" s="227"/>
      <c r="Q51" s="227"/>
      <c r="R51" s="227"/>
      <c r="S51" s="227"/>
      <c r="T51" s="227"/>
      <c r="U51" s="227"/>
      <c r="V51" s="227"/>
      <c r="W51" s="267"/>
      <c r="X51" s="278"/>
      <c r="Y51" s="228"/>
      <c r="Z51" s="279"/>
      <c r="AA51" s="292"/>
      <c r="AB51" s="293"/>
      <c r="AC51" s="392"/>
      <c r="AD51" s="392"/>
      <c r="AE51" s="383"/>
      <c r="AF51" s="383"/>
      <c r="AG51" s="414"/>
      <c r="AH51" s="414"/>
      <c r="AI51" s="383"/>
      <c r="AJ51" s="383"/>
    </row>
    <row r="52" spans="1:36" ht="14.1" customHeight="1" x14ac:dyDescent="0.25">
      <c r="A52" s="260"/>
      <c r="B52" s="244" t="s">
        <v>83</v>
      </c>
      <c r="C52" s="241">
        <v>46009</v>
      </c>
      <c r="D52" s="229"/>
      <c r="E52" s="229"/>
      <c r="F52" s="229"/>
      <c r="G52" s="229"/>
      <c r="H52" s="231"/>
      <c r="I52" s="231"/>
      <c r="J52" s="231"/>
      <c r="K52" s="231"/>
      <c r="L52" s="231"/>
      <c r="M52" s="231"/>
      <c r="N52" s="231"/>
      <c r="O52" s="231"/>
      <c r="P52" s="231"/>
      <c r="Q52" s="231"/>
      <c r="R52" s="231"/>
      <c r="S52" s="231"/>
      <c r="T52" s="231"/>
      <c r="U52" s="231"/>
      <c r="V52" s="231"/>
      <c r="W52" s="271"/>
      <c r="X52" s="280"/>
      <c r="Y52" s="230"/>
      <c r="Z52" s="281"/>
      <c r="AA52" s="294"/>
      <c r="AB52" s="295"/>
      <c r="AC52" s="393"/>
      <c r="AD52" s="393"/>
      <c r="AE52" s="384"/>
      <c r="AF52" s="384"/>
      <c r="AG52" s="388"/>
      <c r="AH52" s="388"/>
      <c r="AI52" s="384"/>
      <c r="AJ52" s="384"/>
    </row>
    <row r="53" spans="1:36" ht="14.1" customHeight="1" x14ac:dyDescent="0.25">
      <c r="A53" s="260"/>
      <c r="B53" s="244" t="s">
        <v>84</v>
      </c>
      <c r="C53" s="241">
        <v>46010</v>
      </c>
      <c r="D53" s="227"/>
      <c r="E53" s="227"/>
      <c r="F53" s="227"/>
      <c r="G53" s="227"/>
      <c r="H53" s="227"/>
      <c r="I53" s="227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72"/>
      <c r="X53" s="278"/>
      <c r="Y53" s="228"/>
      <c r="Z53" s="279"/>
      <c r="AA53" s="292"/>
      <c r="AB53" s="293"/>
      <c r="AC53" s="392"/>
      <c r="AD53" s="392"/>
      <c r="AE53" s="383"/>
      <c r="AF53" s="383"/>
      <c r="AG53" s="414"/>
      <c r="AH53" s="414"/>
      <c r="AI53" s="383"/>
      <c r="AJ53" s="383"/>
    </row>
    <row r="54" spans="1:36" ht="14.1" customHeight="1" x14ac:dyDescent="0.25">
      <c r="A54" s="260"/>
      <c r="B54" s="244" t="s">
        <v>85</v>
      </c>
      <c r="C54" s="241">
        <v>46011</v>
      </c>
      <c r="D54" s="229"/>
      <c r="E54" s="229"/>
      <c r="F54" s="229"/>
      <c r="G54" s="229"/>
      <c r="H54" s="231"/>
      <c r="I54" s="231"/>
      <c r="J54" s="231"/>
      <c r="K54" s="231"/>
      <c r="L54" s="231"/>
      <c r="M54" s="231"/>
      <c r="N54" s="231"/>
      <c r="O54" s="231"/>
      <c r="P54" s="231"/>
      <c r="Q54" s="231"/>
      <c r="R54" s="231"/>
      <c r="S54" s="231"/>
      <c r="T54" s="231"/>
      <c r="U54" s="231"/>
      <c r="V54" s="231"/>
      <c r="W54" s="271"/>
      <c r="X54" s="280"/>
      <c r="Y54" s="230"/>
      <c r="Z54" s="281"/>
      <c r="AA54" s="294"/>
      <c r="AB54" s="295"/>
      <c r="AC54" s="393"/>
      <c r="AD54" s="393"/>
      <c r="AE54" s="384"/>
      <c r="AF54" s="384"/>
      <c r="AG54" s="388"/>
      <c r="AH54" s="388"/>
      <c r="AI54" s="384"/>
      <c r="AJ54" s="384"/>
    </row>
    <row r="55" spans="1:36" ht="14.1" customHeight="1" x14ac:dyDescent="0.25">
      <c r="A55" s="260"/>
      <c r="B55" s="245" t="s">
        <v>86</v>
      </c>
      <c r="C55" s="246">
        <v>46012</v>
      </c>
      <c r="D55" s="338"/>
      <c r="E55" s="338"/>
      <c r="F55" s="238"/>
      <c r="G55" s="238"/>
      <c r="H55" s="238"/>
      <c r="I55" s="238"/>
      <c r="J55" s="238"/>
      <c r="K55" s="238"/>
      <c r="L55" s="238"/>
      <c r="M55" s="238"/>
      <c r="N55" s="238"/>
      <c r="O55" s="238"/>
      <c r="P55" s="238"/>
      <c r="Q55" s="238"/>
      <c r="R55" s="238"/>
      <c r="S55" s="238"/>
      <c r="T55" s="238"/>
      <c r="U55" s="238"/>
      <c r="V55" s="238"/>
      <c r="W55" s="273"/>
      <c r="X55" s="286"/>
      <c r="Y55" s="342"/>
      <c r="Z55" s="287"/>
      <c r="AA55" s="299"/>
      <c r="AB55" s="300"/>
      <c r="AC55" s="389"/>
      <c r="AD55" s="389"/>
      <c r="AE55" s="422"/>
      <c r="AF55" s="422"/>
      <c r="AG55" s="415"/>
      <c r="AH55" s="415"/>
      <c r="AI55" s="422"/>
      <c r="AJ55" s="422"/>
    </row>
    <row r="56" spans="1:36" ht="14.1" customHeight="1" x14ac:dyDescent="0.25">
      <c r="A56" s="260"/>
      <c r="B56" s="242" t="s">
        <v>80</v>
      </c>
      <c r="C56" s="243">
        <v>46013</v>
      </c>
      <c r="D56" s="236"/>
      <c r="E56" s="236"/>
      <c r="F56" s="236"/>
      <c r="G56" s="236"/>
      <c r="H56" s="236"/>
      <c r="I56" s="236"/>
      <c r="J56" s="236"/>
      <c r="K56" s="236"/>
      <c r="L56" s="236"/>
      <c r="M56" s="236"/>
      <c r="N56" s="236"/>
      <c r="O56" s="236"/>
      <c r="P56" s="236"/>
      <c r="Q56" s="236"/>
      <c r="R56" s="236"/>
      <c r="S56" s="236"/>
      <c r="T56" s="236"/>
      <c r="U56" s="236"/>
      <c r="V56" s="236"/>
      <c r="W56" s="274"/>
      <c r="X56" s="288"/>
      <c r="Y56" s="237"/>
      <c r="Z56" s="289"/>
      <c r="AA56" s="301"/>
      <c r="AB56" s="302"/>
      <c r="AC56" s="424"/>
      <c r="AD56" s="424"/>
      <c r="AE56" s="382" t="str">
        <f>TRUNC(SUM(AC56:AC62)*24,0) &amp; "h" &amp; RIGHT("00"&amp;ROUND(((SUM(AC56:AC62)*24)-TRUNC(SUM(AC56:AC62)*24,0))*60,2),2)</f>
        <v>0h00</v>
      </c>
      <c r="AF56" s="382"/>
      <c r="AG56" s="416"/>
      <c r="AH56" s="416"/>
      <c r="AI56" s="382" t="str">
        <f>TRUNC(SUM(AG56:AG62)*24,0) &amp; "h" &amp; RIGHT("00"&amp;ROUND(((SUM(AG56:AG62)*24)-TRUNC(SUM(AG56:AG62)*24,0))*60,2),2)</f>
        <v>0h00</v>
      </c>
      <c r="AJ56" s="382"/>
    </row>
    <row r="57" spans="1:36" ht="14.1" customHeight="1" x14ac:dyDescent="0.25">
      <c r="A57" s="260"/>
      <c r="B57" s="244" t="s">
        <v>81</v>
      </c>
      <c r="C57" s="241">
        <v>46014</v>
      </c>
      <c r="D57" s="227"/>
      <c r="E57" s="227"/>
      <c r="F57" s="227"/>
      <c r="G57" s="227"/>
      <c r="H57" s="227"/>
      <c r="I57" s="227"/>
      <c r="J57" s="227"/>
      <c r="K57" s="227"/>
      <c r="L57" s="227"/>
      <c r="M57" s="227"/>
      <c r="N57" s="227"/>
      <c r="O57" s="227"/>
      <c r="P57" s="227"/>
      <c r="Q57" s="227"/>
      <c r="R57" s="227"/>
      <c r="S57" s="227"/>
      <c r="T57" s="227"/>
      <c r="U57" s="227"/>
      <c r="V57" s="227"/>
      <c r="W57" s="267"/>
      <c r="X57" s="278"/>
      <c r="Y57" s="228"/>
      <c r="Z57" s="279"/>
      <c r="AA57" s="292"/>
      <c r="AB57" s="293"/>
      <c r="AC57" s="392"/>
      <c r="AD57" s="392"/>
      <c r="AE57" s="383"/>
      <c r="AF57" s="383"/>
      <c r="AG57" s="414"/>
      <c r="AH57" s="414"/>
      <c r="AI57" s="383"/>
      <c r="AJ57" s="383"/>
    </row>
    <row r="58" spans="1:36" ht="14.1" customHeight="1" x14ac:dyDescent="0.25">
      <c r="A58" s="260"/>
      <c r="B58" s="244" t="s">
        <v>82</v>
      </c>
      <c r="C58" s="241">
        <v>46015</v>
      </c>
      <c r="D58" s="229"/>
      <c r="E58" s="229"/>
      <c r="F58" s="229"/>
      <c r="G58" s="229"/>
      <c r="H58" s="229"/>
      <c r="I58" s="229"/>
      <c r="J58" s="229"/>
      <c r="K58" s="229"/>
      <c r="L58" s="229"/>
      <c r="M58" s="229"/>
      <c r="N58" s="229"/>
      <c r="O58" s="229"/>
      <c r="P58" s="229"/>
      <c r="Q58" s="229"/>
      <c r="R58" s="229"/>
      <c r="S58" s="229"/>
      <c r="T58" s="229"/>
      <c r="U58" s="229"/>
      <c r="V58" s="229"/>
      <c r="W58" s="268"/>
      <c r="X58" s="280"/>
      <c r="Y58" s="230"/>
      <c r="Z58" s="281"/>
      <c r="AA58" s="294"/>
      <c r="AB58" s="295"/>
      <c r="AC58" s="393"/>
      <c r="AD58" s="393"/>
      <c r="AE58" s="384"/>
      <c r="AF58" s="384"/>
      <c r="AG58" s="388"/>
      <c r="AH58" s="388"/>
      <c r="AI58" s="384"/>
      <c r="AJ58" s="384"/>
    </row>
    <row r="59" spans="1:36" ht="14.1" customHeight="1" x14ac:dyDescent="0.25">
      <c r="A59" s="260"/>
      <c r="B59" s="244" t="s">
        <v>83</v>
      </c>
      <c r="C59" s="241">
        <v>46016</v>
      </c>
      <c r="D59" s="330"/>
      <c r="E59" s="330"/>
      <c r="F59" s="330"/>
      <c r="G59" s="330"/>
      <c r="H59" s="330"/>
      <c r="I59" s="330"/>
      <c r="J59" s="330"/>
      <c r="K59" s="330"/>
      <c r="L59" s="330"/>
      <c r="M59" s="330"/>
      <c r="N59" s="330"/>
      <c r="O59" s="330"/>
      <c r="P59" s="330"/>
      <c r="Q59" s="330"/>
      <c r="R59" s="330"/>
      <c r="S59" s="330"/>
      <c r="T59" s="330"/>
      <c r="U59" s="330"/>
      <c r="V59" s="330"/>
      <c r="W59" s="331"/>
      <c r="X59" s="332"/>
      <c r="Y59" s="333"/>
      <c r="Z59" s="334"/>
      <c r="AA59" s="335"/>
      <c r="AB59" s="336"/>
      <c r="AC59" s="430"/>
      <c r="AD59" s="430"/>
      <c r="AE59" s="383"/>
      <c r="AF59" s="383"/>
      <c r="AG59" s="426"/>
      <c r="AH59" s="414"/>
      <c r="AI59" s="383"/>
      <c r="AJ59" s="383"/>
    </row>
    <row r="60" spans="1:36" ht="14.1" customHeight="1" x14ac:dyDescent="0.25">
      <c r="A60" s="260"/>
      <c r="B60" s="244" t="s">
        <v>84</v>
      </c>
      <c r="C60" s="241">
        <v>46017</v>
      </c>
      <c r="D60" s="229"/>
      <c r="E60" s="229"/>
      <c r="F60" s="229"/>
      <c r="G60" s="229"/>
      <c r="H60" s="229"/>
      <c r="I60" s="229"/>
      <c r="J60" s="229"/>
      <c r="K60" s="229"/>
      <c r="L60" s="229"/>
      <c r="M60" s="229"/>
      <c r="N60" s="229"/>
      <c r="O60" s="229"/>
      <c r="P60" s="229"/>
      <c r="Q60" s="229"/>
      <c r="R60" s="229"/>
      <c r="S60" s="229"/>
      <c r="T60" s="229"/>
      <c r="U60" s="229"/>
      <c r="V60" s="229"/>
      <c r="W60" s="268"/>
      <c r="X60" s="280"/>
      <c r="Y60" s="230"/>
      <c r="Z60" s="281"/>
      <c r="AA60" s="294"/>
      <c r="AB60" s="295"/>
      <c r="AC60" s="393"/>
      <c r="AD60" s="393"/>
      <c r="AE60" s="384"/>
      <c r="AF60" s="384"/>
      <c r="AG60" s="388"/>
      <c r="AH60" s="388"/>
      <c r="AI60" s="384"/>
      <c r="AJ60" s="384"/>
    </row>
    <row r="61" spans="1:36" ht="14.1" customHeight="1" x14ac:dyDescent="0.25">
      <c r="A61" s="260"/>
      <c r="B61" s="244" t="s">
        <v>85</v>
      </c>
      <c r="C61" s="241">
        <v>46018</v>
      </c>
      <c r="D61" s="227"/>
      <c r="E61" s="227"/>
      <c r="F61" s="227"/>
      <c r="G61" s="227"/>
      <c r="H61" s="227"/>
      <c r="I61" s="227"/>
      <c r="J61" s="227"/>
      <c r="K61" s="227"/>
      <c r="L61" s="227"/>
      <c r="M61" s="227"/>
      <c r="N61" s="227"/>
      <c r="O61" s="227"/>
      <c r="P61" s="227"/>
      <c r="Q61" s="227"/>
      <c r="R61" s="227"/>
      <c r="S61" s="227"/>
      <c r="T61" s="227"/>
      <c r="U61" s="227"/>
      <c r="V61" s="227"/>
      <c r="W61" s="267"/>
      <c r="X61" s="278"/>
      <c r="Y61" s="228"/>
      <c r="Z61" s="279"/>
      <c r="AA61" s="292"/>
      <c r="AB61" s="293"/>
      <c r="AC61" s="392"/>
      <c r="AD61" s="392"/>
      <c r="AE61" s="383"/>
      <c r="AF61" s="383"/>
      <c r="AG61" s="414"/>
      <c r="AH61" s="414"/>
      <c r="AI61" s="383"/>
      <c r="AJ61" s="383"/>
    </row>
    <row r="62" spans="1:36" ht="14.1" customHeight="1" x14ac:dyDescent="0.25">
      <c r="A62" s="260"/>
      <c r="B62" s="247" t="s">
        <v>86</v>
      </c>
      <c r="C62" s="248">
        <v>46019</v>
      </c>
      <c r="D62" s="343"/>
      <c r="E62" s="343"/>
      <c r="F62" s="343"/>
      <c r="G62" s="343"/>
      <c r="H62" s="343"/>
      <c r="I62" s="343"/>
      <c r="J62" s="343"/>
      <c r="K62" s="343"/>
      <c r="L62" s="343"/>
      <c r="M62" s="343"/>
      <c r="N62" s="343"/>
      <c r="O62" s="343"/>
      <c r="P62" s="343"/>
      <c r="Q62" s="343"/>
      <c r="R62" s="343"/>
      <c r="S62" s="343"/>
      <c r="T62" s="343"/>
      <c r="U62" s="343"/>
      <c r="V62" s="343"/>
      <c r="W62" s="344"/>
      <c r="X62" s="282"/>
      <c r="Y62" s="340"/>
      <c r="Z62" s="283"/>
      <c r="AA62" s="296"/>
      <c r="AB62" s="297"/>
      <c r="AC62" s="411"/>
      <c r="AD62" s="411"/>
      <c r="AE62" s="385"/>
      <c r="AF62" s="385"/>
      <c r="AG62" s="420"/>
      <c r="AH62" s="420"/>
      <c r="AI62" s="385"/>
      <c r="AJ62" s="385"/>
    </row>
    <row r="63" spans="1:36" ht="14.1" customHeight="1" x14ac:dyDescent="0.25">
      <c r="A63" s="260"/>
      <c r="B63" s="321"/>
      <c r="C63" s="319"/>
      <c r="D63" s="320"/>
      <c r="E63" s="320"/>
      <c r="F63" s="320"/>
      <c r="G63" s="320"/>
      <c r="H63" s="320"/>
      <c r="I63" s="320"/>
      <c r="J63" s="320"/>
      <c r="K63" s="320"/>
      <c r="L63" s="320"/>
      <c r="M63" s="320"/>
      <c r="N63" s="320"/>
      <c r="O63" s="320"/>
      <c r="P63" s="320"/>
      <c r="Q63" s="320"/>
      <c r="R63" s="320"/>
      <c r="S63" s="320"/>
      <c r="T63" s="320"/>
      <c r="U63" s="320"/>
      <c r="V63" s="320"/>
      <c r="W63" s="322"/>
      <c r="X63" s="321"/>
      <c r="Y63" s="318"/>
      <c r="Z63" s="323"/>
      <c r="AA63" s="324"/>
      <c r="AB63" s="325"/>
      <c r="AC63" s="413"/>
      <c r="AD63" s="413"/>
      <c r="AE63" s="417" t="str">
        <f>TRUNC(SUM(AC63:AC69)*24,0) &amp; "h" &amp; RIGHT("00"&amp;ROUND(((SUM(AC63:AC69)*24)-TRUNC(SUM(AC63:AC69)*24,0))*60,2),2)</f>
        <v>0h00</v>
      </c>
      <c r="AF63" s="417"/>
      <c r="AG63" s="425"/>
      <c r="AH63" s="425"/>
      <c r="AI63" s="417" t="str">
        <f>TRUNC(SUM(AG63:AG69)*24,0) &amp; "h" &amp; RIGHT("00"&amp;ROUND(((SUM(AG63:AG69)*24)-TRUNC(SUM(AG63:AG69)*24,0))*60,2),2)</f>
        <v>0h00</v>
      </c>
      <c r="AJ63" s="417"/>
    </row>
    <row r="64" spans="1:36" s="239" customFormat="1" ht="14.1" customHeight="1" x14ac:dyDescent="0.25">
      <c r="A64" s="260"/>
      <c r="B64" s="256"/>
      <c r="C64" s="257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1"/>
      <c r="P64" s="251"/>
      <c r="Q64" s="251"/>
      <c r="R64" s="251"/>
      <c r="S64" s="251"/>
      <c r="T64" s="251"/>
      <c r="U64" s="251"/>
      <c r="V64" s="251"/>
      <c r="W64" s="275"/>
      <c r="X64" s="256"/>
      <c r="Y64" s="252"/>
      <c r="Z64" s="290"/>
      <c r="AA64" s="303"/>
      <c r="AB64" s="304"/>
      <c r="AC64" s="431"/>
      <c r="AD64" s="431"/>
      <c r="AE64" s="418"/>
      <c r="AF64" s="418"/>
      <c r="AG64" s="423"/>
      <c r="AH64" s="423"/>
      <c r="AI64" s="418"/>
      <c r="AJ64" s="418"/>
    </row>
    <row r="65" spans="1:36" s="239" customFormat="1" ht="14.1" customHeight="1" x14ac:dyDescent="0.25">
      <c r="A65" s="260"/>
      <c r="B65" s="256"/>
      <c r="C65" s="257"/>
      <c r="D65" s="251"/>
      <c r="E65" s="251"/>
      <c r="F65" s="251"/>
      <c r="G65" s="251"/>
      <c r="H65" s="251"/>
      <c r="I65" s="251"/>
      <c r="J65" s="251"/>
      <c r="K65" s="251"/>
      <c r="L65" s="251"/>
      <c r="M65" s="251"/>
      <c r="N65" s="251"/>
      <c r="O65" s="251"/>
      <c r="P65" s="251"/>
      <c r="Q65" s="251"/>
      <c r="R65" s="251"/>
      <c r="S65" s="251"/>
      <c r="T65" s="251"/>
      <c r="U65" s="251"/>
      <c r="V65" s="251"/>
      <c r="W65" s="275"/>
      <c r="X65" s="256"/>
      <c r="Y65" s="252"/>
      <c r="Z65" s="290"/>
      <c r="AA65" s="303"/>
      <c r="AB65" s="304"/>
      <c r="AC65" s="431"/>
      <c r="AD65" s="431"/>
      <c r="AE65" s="418"/>
      <c r="AF65" s="418"/>
      <c r="AG65" s="423"/>
      <c r="AH65" s="423"/>
      <c r="AI65" s="418"/>
      <c r="AJ65" s="418"/>
    </row>
    <row r="66" spans="1:36" s="239" customFormat="1" ht="14.1" customHeight="1" x14ac:dyDescent="0.25">
      <c r="A66" s="260"/>
      <c r="B66" s="256"/>
      <c r="C66" s="257"/>
      <c r="D66" s="251"/>
      <c r="E66" s="251"/>
      <c r="F66" s="251"/>
      <c r="G66" s="251"/>
      <c r="H66" s="253"/>
      <c r="I66" s="253"/>
      <c r="J66" s="253"/>
      <c r="K66" s="253"/>
      <c r="L66" s="253"/>
      <c r="M66" s="253"/>
      <c r="N66" s="253"/>
      <c r="O66" s="253"/>
      <c r="P66" s="253"/>
      <c r="Q66" s="253"/>
      <c r="R66" s="253"/>
      <c r="S66" s="253"/>
      <c r="T66" s="253"/>
      <c r="U66" s="253"/>
      <c r="V66" s="253"/>
      <c r="W66" s="276"/>
      <c r="X66" s="256"/>
      <c r="Y66" s="252"/>
      <c r="Z66" s="290"/>
      <c r="AA66" s="303"/>
      <c r="AB66" s="304"/>
      <c r="AC66" s="431"/>
      <c r="AD66" s="431"/>
      <c r="AE66" s="418"/>
      <c r="AF66" s="418"/>
      <c r="AG66" s="423"/>
      <c r="AH66" s="423"/>
      <c r="AI66" s="418"/>
      <c r="AJ66" s="418"/>
    </row>
    <row r="67" spans="1:36" s="239" customFormat="1" ht="14.1" customHeight="1" x14ac:dyDescent="0.25">
      <c r="A67" s="260"/>
      <c r="B67" s="256"/>
      <c r="C67" s="257"/>
      <c r="D67" s="251"/>
      <c r="E67" s="251"/>
      <c r="F67" s="251"/>
      <c r="G67" s="251"/>
      <c r="H67" s="253"/>
      <c r="I67" s="253"/>
      <c r="J67" s="253"/>
      <c r="K67" s="253"/>
      <c r="L67" s="253"/>
      <c r="M67" s="253"/>
      <c r="N67" s="253"/>
      <c r="O67" s="253"/>
      <c r="P67" s="253"/>
      <c r="Q67" s="253"/>
      <c r="R67" s="253"/>
      <c r="S67" s="253"/>
      <c r="T67" s="253"/>
      <c r="U67" s="253"/>
      <c r="V67" s="253"/>
      <c r="W67" s="276"/>
      <c r="X67" s="256"/>
      <c r="Y67" s="252"/>
      <c r="Z67" s="290"/>
      <c r="AA67" s="303"/>
      <c r="AB67" s="304"/>
      <c r="AC67" s="431"/>
      <c r="AD67" s="431"/>
      <c r="AE67" s="418"/>
      <c r="AF67" s="418"/>
      <c r="AG67" s="423"/>
      <c r="AH67" s="423"/>
      <c r="AI67" s="418"/>
      <c r="AJ67" s="418"/>
    </row>
    <row r="68" spans="1:36" s="239" customFormat="1" ht="14.1" customHeight="1" x14ac:dyDescent="0.25">
      <c r="A68" s="260"/>
      <c r="B68" s="256"/>
      <c r="C68" s="257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253"/>
      <c r="P68" s="253"/>
      <c r="Q68" s="253"/>
      <c r="R68" s="253"/>
      <c r="S68" s="253"/>
      <c r="T68" s="253"/>
      <c r="U68" s="253"/>
      <c r="V68" s="253"/>
      <c r="W68" s="276"/>
      <c r="X68" s="256"/>
      <c r="Y68" s="252"/>
      <c r="Z68" s="290"/>
      <c r="AA68" s="303"/>
      <c r="AB68" s="304"/>
      <c r="AC68" s="431"/>
      <c r="AD68" s="431"/>
      <c r="AE68" s="418"/>
      <c r="AF68" s="418"/>
      <c r="AG68" s="423"/>
      <c r="AH68" s="423"/>
      <c r="AI68" s="418"/>
      <c r="AJ68" s="418"/>
    </row>
    <row r="69" spans="1:36" s="239" customFormat="1" ht="14.1" customHeight="1" thickBot="1" x14ac:dyDescent="0.3">
      <c r="A69" s="260"/>
      <c r="B69" s="258"/>
      <c r="C69" s="259"/>
      <c r="D69" s="254"/>
      <c r="E69" s="254"/>
      <c r="F69" s="254"/>
      <c r="G69" s="254"/>
      <c r="H69" s="254"/>
      <c r="I69" s="254"/>
      <c r="J69" s="254"/>
      <c r="K69" s="254"/>
      <c r="L69" s="254"/>
      <c r="M69" s="254"/>
      <c r="N69" s="254"/>
      <c r="O69" s="254"/>
      <c r="P69" s="254"/>
      <c r="Q69" s="254"/>
      <c r="R69" s="254"/>
      <c r="S69" s="254"/>
      <c r="T69" s="254"/>
      <c r="U69" s="254"/>
      <c r="V69" s="254"/>
      <c r="W69" s="277"/>
      <c r="X69" s="258"/>
      <c r="Y69" s="255"/>
      <c r="Z69" s="291"/>
      <c r="AA69" s="305"/>
      <c r="AB69" s="306"/>
      <c r="AC69" s="438"/>
      <c r="AD69" s="438"/>
      <c r="AE69" s="419"/>
      <c r="AF69" s="419"/>
      <c r="AG69" s="437"/>
      <c r="AH69" s="437"/>
      <c r="AI69" s="419"/>
      <c r="AJ69" s="419"/>
    </row>
    <row r="70" spans="1:36" ht="24" customHeight="1" thickBot="1" x14ac:dyDescent="0.3">
      <c r="B70" s="427" t="s">
        <v>157</v>
      </c>
      <c r="C70" s="427"/>
      <c r="D70" s="428"/>
      <c r="E70" s="428"/>
      <c r="F70" s="429" t="s">
        <v>270</v>
      </c>
      <c r="G70" s="429"/>
      <c r="H70" s="429"/>
      <c r="I70" s="429"/>
      <c r="J70" s="429"/>
      <c r="K70" s="429"/>
      <c r="L70" s="429"/>
      <c r="M70" s="429"/>
      <c r="N70" s="429"/>
      <c r="O70" s="429"/>
      <c r="P70" s="261" t="s">
        <v>107</v>
      </c>
      <c r="Q70" s="262"/>
      <c r="R70" s="262"/>
      <c r="S70" s="262"/>
      <c r="T70" s="262"/>
      <c r="U70" s="262"/>
      <c r="V70" s="432" t="s">
        <v>124</v>
      </c>
      <c r="W70" s="432"/>
      <c r="X70" s="432"/>
      <c r="Y70" s="432"/>
      <c r="Z70" s="432"/>
      <c r="AA70" s="263"/>
      <c r="AB70" s="263">
        <f>MAX(AB29:AB69)</f>
        <v>0</v>
      </c>
      <c r="AC70" s="433"/>
      <c r="AD70" s="433"/>
      <c r="AE70" s="381" t="str">
        <f>TRUNC(SUM(AC28:AC69)*24,0) &amp; "h" &amp; RIGHT("00"&amp;ROUND(((SUM(AC28:AC69)*24)-TRUNC(SUM(AC28:AC69)*24,0))*60,2),2)</f>
        <v>0h00</v>
      </c>
      <c r="AF70" s="381"/>
      <c r="AG70" s="386"/>
      <c r="AH70" s="386"/>
      <c r="AI70" s="386" t="str">
        <f>TRUNC(SUM(AG29:AG69)*24,0) &amp; "h" &amp; RIGHT("00"&amp;ROUND(((SUM(AG29:AG69)*24)-TRUNC(SUM(AG29:AG69)*24,0))*60,2),2)</f>
        <v>0h00</v>
      </c>
      <c r="AJ70" s="386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218"/>
      <c r="D72" s="218"/>
      <c r="E72" s="218"/>
      <c r="F72" s="218"/>
      <c r="G72" s="218"/>
      <c r="H72" s="218"/>
      <c r="I72" s="218"/>
      <c r="J72" s="218"/>
      <c r="K72" s="218"/>
      <c r="L72" s="218"/>
      <c r="M72" s="218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218"/>
      <c r="D73" s="30"/>
      <c r="E73" s="30"/>
      <c r="F73" s="30"/>
      <c r="G73" s="30"/>
      <c r="H73" s="30"/>
      <c r="I73" s="30"/>
      <c r="J73" s="30"/>
      <c r="K73" s="30"/>
      <c r="L73" s="30"/>
      <c r="M73" s="218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218"/>
      <c r="D74" s="30"/>
      <c r="E74" s="219"/>
      <c r="F74" s="219"/>
      <c r="G74" s="219"/>
      <c r="H74" s="219"/>
      <c r="I74" s="219"/>
      <c r="J74" s="219"/>
      <c r="K74" s="219"/>
      <c r="L74" s="30"/>
      <c r="M74" s="218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218"/>
      <c r="D75" s="30"/>
      <c r="E75" s="30"/>
      <c r="F75" s="30"/>
      <c r="G75" s="30"/>
      <c r="H75" s="220"/>
      <c r="I75" s="30"/>
      <c r="J75" s="30"/>
      <c r="K75" s="30"/>
      <c r="L75" s="30"/>
      <c r="M75" s="218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218"/>
      <c r="D76" s="30"/>
      <c r="E76" s="219"/>
      <c r="F76" s="219"/>
      <c r="G76" s="219"/>
      <c r="H76" s="219"/>
      <c r="I76" s="219"/>
      <c r="J76" s="219"/>
      <c r="K76" s="219"/>
      <c r="L76" s="30"/>
      <c r="M76" s="218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218"/>
      <c r="D77" s="30"/>
      <c r="E77" s="30"/>
      <c r="F77" s="30"/>
      <c r="G77" s="30"/>
      <c r="H77" s="30"/>
      <c r="I77" s="30"/>
      <c r="J77" s="30"/>
      <c r="K77" s="30"/>
      <c r="L77" s="30"/>
      <c r="M77" s="218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218"/>
      <c r="D78" s="30"/>
      <c r="E78" s="30"/>
      <c r="F78" s="30"/>
      <c r="G78" s="30"/>
      <c r="H78" s="30"/>
      <c r="I78" s="30"/>
      <c r="J78" s="30"/>
      <c r="K78" s="30"/>
      <c r="L78" s="30"/>
      <c r="M78" s="218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218"/>
      <c r="D79" s="30"/>
      <c r="E79" s="30"/>
      <c r="F79" s="30"/>
      <c r="G79" s="30"/>
      <c r="H79" s="30"/>
      <c r="I79" s="30"/>
      <c r="J79" s="30"/>
      <c r="K79" s="30"/>
      <c r="L79" s="30"/>
      <c r="M79" s="218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218"/>
      <c r="D80" s="30"/>
      <c r="E80" s="30"/>
      <c r="F80" s="30"/>
      <c r="G80" s="30"/>
      <c r="H80" s="30"/>
      <c r="I80" s="30"/>
      <c r="J80" s="30"/>
      <c r="K80" s="30"/>
      <c r="L80" s="30"/>
      <c r="M80" s="218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218"/>
      <c r="D81" s="30"/>
      <c r="E81" s="30"/>
      <c r="F81" s="30"/>
      <c r="G81" s="30"/>
      <c r="H81" s="30"/>
      <c r="I81" s="30"/>
      <c r="J81" s="30"/>
      <c r="K81" s="30"/>
      <c r="L81" s="30"/>
      <c r="M81" s="218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218"/>
      <c r="D82" s="30"/>
      <c r="E82" s="30"/>
      <c r="F82" s="30"/>
      <c r="G82" s="30"/>
      <c r="H82" s="30"/>
      <c r="I82" s="30"/>
      <c r="J82" s="30"/>
      <c r="K82" s="30"/>
      <c r="L82" s="30"/>
      <c r="M82" s="218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218"/>
      <c r="D83" s="30"/>
      <c r="E83" s="30"/>
      <c r="F83" s="30"/>
      <c r="G83" s="30"/>
      <c r="H83" s="30"/>
      <c r="I83" s="30"/>
      <c r="J83" s="30"/>
      <c r="K83" s="30"/>
      <c r="L83" s="30"/>
      <c r="M83" s="218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218"/>
      <c r="D84" s="30"/>
      <c r="E84" s="30"/>
      <c r="F84" s="30"/>
      <c r="G84" s="30"/>
      <c r="H84" s="30"/>
      <c r="I84" s="30"/>
      <c r="J84" s="30"/>
      <c r="K84" s="30"/>
      <c r="L84" s="30"/>
      <c r="M84" s="218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218"/>
      <c r="D85" s="171"/>
      <c r="E85" s="221"/>
      <c r="F85" s="30"/>
      <c r="G85" s="30"/>
      <c r="H85" s="30"/>
      <c r="I85" s="30"/>
      <c r="J85" s="30"/>
      <c r="K85" s="30"/>
      <c r="L85" s="30"/>
      <c r="M85" s="218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218"/>
      <c r="D86" s="218"/>
      <c r="E86" s="218"/>
      <c r="F86" s="218"/>
      <c r="G86" s="218"/>
      <c r="H86" s="218"/>
      <c r="I86" s="218"/>
      <c r="J86" s="218"/>
      <c r="K86" s="218"/>
      <c r="L86" s="218"/>
      <c r="M86" s="218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218"/>
      <c r="D87" s="218"/>
      <c r="E87" s="218"/>
      <c r="F87" s="218"/>
      <c r="G87" s="218"/>
      <c r="H87" s="218"/>
      <c r="I87" s="218"/>
      <c r="J87" s="218"/>
      <c r="K87" s="218"/>
      <c r="L87" s="218"/>
      <c r="M87" s="218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  <mergeCell ref="AG68:AH68"/>
    <mergeCell ref="AG61:AH61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G64:AH64"/>
    <mergeCell ref="AG65:AH65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9" r:id="rId4" name="PrtHebdoBtn">
          <controlPr defaultSize="0" disabled="1" autoLine="0" autoPict="0" r:id="rId5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171450</xdr:colOff>
                <xdr:row>69</xdr:row>
                <xdr:rowOff>295275</xdr:rowOff>
              </to>
            </anchor>
          </controlPr>
        </control>
      </mc:Choice>
      <mc:Fallback>
        <control shapeId="363639" r:id="rId4" name="PrtHebdoBtn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7" r:id="rId8" name="MonthMinus">
          <controlPr defaultSize="0" autoLine="0" r:id="rId9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7" r:id="rId8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I55" sqref="I55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171</v>
      </c>
      <c r="AB1" t="s">
        <v>15</v>
      </c>
    </row>
    <row r="2" spans="4:28" ht="17.25" x14ac:dyDescent="0.3">
      <c r="D2" t="s">
        <v>13</v>
      </c>
      <c r="E2" s="447"/>
      <c r="F2" s="447"/>
      <c r="G2" s="447"/>
      <c r="H2" s="447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39"/>
      <c r="F4" s="439"/>
      <c r="G4" s="439"/>
      <c r="P4" t="s">
        <v>23</v>
      </c>
      <c r="Q4" t="s">
        <v>52</v>
      </c>
      <c r="T4" s="20"/>
      <c r="U4" t="s">
        <v>32</v>
      </c>
    </row>
    <row r="5" spans="4:28" x14ac:dyDescent="0.25">
      <c r="T5" s="21"/>
      <c r="U5" t="s">
        <v>33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</row>
    <row r="7" spans="4:28" ht="15.75" thickBot="1" x14ac:dyDescent="0.3"/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86" t="s">
        <v>123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43" t="s">
        <v>12</v>
      </c>
      <c r="I9" s="444"/>
      <c r="O9" s="356"/>
      <c r="P9" s="357"/>
      <c r="Q9" s="358"/>
      <c r="R9" s="359"/>
      <c r="S9" s="360"/>
    </row>
    <row r="10" spans="4:28" ht="15.75" thickBot="1" x14ac:dyDescent="0.3">
      <c r="D10" s="23"/>
      <c r="E10" s="315"/>
      <c r="F10" s="316"/>
      <c r="G10" s="317"/>
      <c r="H10" s="445"/>
      <c r="I10" s="446"/>
      <c r="O10" s="347"/>
      <c r="P10" s="348"/>
      <c r="Q10" s="349"/>
      <c r="R10" s="350"/>
      <c r="S10" s="351"/>
    </row>
    <row r="11" spans="4:28" x14ac:dyDescent="0.25">
      <c r="O11" s="347"/>
      <c r="P11" s="348"/>
      <c r="Q11" s="349"/>
      <c r="R11" s="350"/>
      <c r="S11" s="351"/>
    </row>
    <row r="12" spans="4:28" x14ac:dyDescent="0.25">
      <c r="O12" s="347"/>
      <c r="P12" s="348"/>
      <c r="Q12" s="349"/>
      <c r="R12" s="350"/>
      <c r="S12" s="351"/>
    </row>
    <row r="13" spans="4:28" x14ac:dyDescent="0.25">
      <c r="O13" s="347"/>
      <c r="P13" s="348"/>
      <c r="Q13" s="349"/>
      <c r="R13" s="350"/>
      <c r="S13" s="351"/>
    </row>
    <row r="14" spans="4:28" x14ac:dyDescent="0.25">
      <c r="O14" s="347"/>
      <c r="P14" s="348"/>
      <c r="Q14" s="349"/>
      <c r="R14" s="350"/>
      <c r="S14" s="351"/>
    </row>
    <row r="15" spans="4:28" x14ac:dyDescent="0.25">
      <c r="O15" s="347"/>
      <c r="P15" s="348"/>
      <c r="Q15" s="349"/>
      <c r="R15" s="350"/>
      <c r="S15" s="351"/>
    </row>
    <row r="16" spans="4:28" ht="15.75" thickBot="1" x14ac:dyDescent="0.3">
      <c r="O16" s="347"/>
      <c r="P16" s="348"/>
      <c r="Q16" s="349"/>
      <c r="R16" s="350"/>
      <c r="S16" s="351"/>
    </row>
    <row r="17" spans="4:19" ht="15.75" thickBot="1" x14ac:dyDescent="0.3">
      <c r="D17" s="440" t="s">
        <v>17</v>
      </c>
      <c r="E17" s="441"/>
      <c r="F17" s="441"/>
      <c r="G17" s="442"/>
      <c r="O17" s="347"/>
      <c r="P17" s="348"/>
      <c r="Q17" s="349"/>
      <c r="R17" s="350"/>
      <c r="S17" s="351"/>
    </row>
    <row r="18" spans="4:19" x14ac:dyDescent="0.25">
      <c r="D18" s="5"/>
      <c r="G18" s="6"/>
      <c r="O18" s="347"/>
      <c r="P18" s="348"/>
      <c r="Q18" s="349"/>
      <c r="R18" s="350"/>
      <c r="S18" s="351"/>
    </row>
    <row r="19" spans="4:19" x14ac:dyDescent="0.25">
      <c r="D19" s="5" t="s">
        <v>18</v>
      </c>
      <c r="E19" s="1"/>
      <c r="G19" s="6"/>
      <c r="O19" s="347"/>
      <c r="P19" s="348"/>
      <c r="Q19" s="349"/>
      <c r="R19" s="350"/>
      <c r="S19" s="351"/>
    </row>
    <row r="20" spans="4:19" ht="15.75" thickBot="1" x14ac:dyDescent="0.3">
      <c r="D20" s="16" t="s">
        <v>19</v>
      </c>
      <c r="E20" s="17"/>
      <c r="F20" s="7"/>
      <c r="G20" s="8"/>
      <c r="O20" s="347"/>
      <c r="P20" s="348"/>
      <c r="Q20" s="349"/>
      <c r="R20" s="350"/>
      <c r="S20" s="351"/>
    </row>
    <row r="21" spans="4:19" x14ac:dyDescent="0.25">
      <c r="O21" s="347"/>
      <c r="P21" s="348"/>
      <c r="Q21" s="349"/>
      <c r="R21" s="350"/>
      <c r="S21" s="351"/>
    </row>
    <row r="22" spans="4:19" x14ac:dyDescent="0.25">
      <c r="E22" s="40"/>
      <c r="O22" s="347"/>
      <c r="P22" s="348"/>
      <c r="Q22" s="349"/>
      <c r="R22" s="350"/>
      <c r="S22" s="351"/>
    </row>
    <row r="23" spans="4:19" x14ac:dyDescent="0.25">
      <c r="O23" s="347"/>
      <c r="P23" s="348"/>
      <c r="Q23" s="349"/>
      <c r="R23" s="350"/>
      <c r="S23" s="351"/>
    </row>
    <row r="24" spans="4:19" x14ac:dyDescent="0.25">
      <c r="O24" s="347"/>
      <c r="P24" s="348"/>
      <c r="Q24" s="349"/>
      <c r="R24" s="350"/>
      <c r="S24" s="351"/>
    </row>
    <row r="25" spans="4:19" x14ac:dyDescent="0.25">
      <c r="O25" s="347"/>
      <c r="P25" s="348"/>
      <c r="Q25" s="349"/>
      <c r="R25" s="350"/>
      <c r="S25" s="351"/>
    </row>
    <row r="26" spans="4:19" x14ac:dyDescent="0.25">
      <c r="O26" s="347"/>
      <c r="P26" s="348"/>
      <c r="Q26" s="349"/>
      <c r="R26" s="350"/>
      <c r="S26" s="351"/>
    </row>
    <row r="27" spans="4:19" x14ac:dyDescent="0.25">
      <c r="O27" s="347"/>
      <c r="P27" s="348"/>
      <c r="Q27" s="349"/>
      <c r="R27" s="350"/>
      <c r="S27" s="351"/>
    </row>
    <row r="28" spans="4:19" x14ac:dyDescent="0.25">
      <c r="O28" s="347"/>
      <c r="P28" s="348"/>
      <c r="Q28" s="349"/>
      <c r="R28" s="350"/>
      <c r="S28" s="351"/>
    </row>
    <row r="29" spans="4:19" x14ac:dyDescent="0.25">
      <c r="O29" s="347"/>
      <c r="P29" s="348"/>
      <c r="Q29" s="349"/>
      <c r="R29" s="350"/>
      <c r="S29" s="351"/>
    </row>
    <row r="30" spans="4:19" x14ac:dyDescent="0.25">
      <c r="O30" s="347"/>
      <c r="P30" s="348"/>
      <c r="Q30" s="349"/>
      <c r="R30" s="350"/>
      <c r="S30" s="351"/>
    </row>
    <row r="31" spans="4:19" x14ac:dyDescent="0.25">
      <c r="O31" s="347"/>
      <c r="P31" s="348"/>
      <c r="Q31" s="349"/>
      <c r="R31" s="350"/>
      <c r="S31" s="351"/>
    </row>
    <row r="32" spans="4:19" x14ac:dyDescent="0.25">
      <c r="O32" s="347"/>
      <c r="P32" s="348"/>
      <c r="Q32" s="349"/>
      <c r="R32" s="350"/>
      <c r="S32" s="351"/>
    </row>
    <row r="33" spans="15:19" x14ac:dyDescent="0.25">
      <c r="O33" s="347"/>
      <c r="P33" s="350"/>
      <c r="Q33" s="349"/>
      <c r="R33" s="350"/>
      <c r="S33" s="351"/>
    </row>
    <row r="34" spans="15:19" x14ac:dyDescent="0.25">
      <c r="O34" s="347"/>
      <c r="P34" s="350"/>
      <c r="Q34" s="349"/>
      <c r="R34" s="350"/>
      <c r="S34" s="351"/>
    </row>
    <row r="35" spans="15:19" x14ac:dyDescent="0.25">
      <c r="O35" s="347"/>
      <c r="P35" s="350"/>
      <c r="Q35" s="349"/>
      <c r="R35" s="350"/>
      <c r="S35" s="351"/>
    </row>
    <row r="36" spans="15:19" x14ac:dyDescent="0.25">
      <c r="O36" s="347"/>
      <c r="P36" s="350"/>
      <c r="Q36" s="349"/>
      <c r="R36" s="350"/>
      <c r="S36" s="351"/>
    </row>
    <row r="37" spans="15:19" x14ac:dyDescent="0.25">
      <c r="O37" s="347"/>
      <c r="P37" s="350"/>
      <c r="Q37" s="349"/>
      <c r="R37" s="350"/>
      <c r="S37" s="351"/>
    </row>
    <row r="38" spans="15:19" x14ac:dyDescent="0.25">
      <c r="O38" s="347"/>
      <c r="P38" s="350"/>
      <c r="Q38" s="349"/>
      <c r="R38" s="350"/>
      <c r="S38" s="351"/>
    </row>
    <row r="39" spans="15:19" x14ac:dyDescent="0.25">
      <c r="O39" s="347"/>
      <c r="P39" s="350"/>
      <c r="Q39" s="349"/>
      <c r="R39" s="350"/>
      <c r="S39" s="351"/>
    </row>
    <row r="40" spans="15:19" x14ac:dyDescent="0.25">
      <c r="O40" s="347"/>
      <c r="P40" s="350"/>
      <c r="Q40" s="349"/>
      <c r="R40" s="350"/>
      <c r="S40" s="351"/>
    </row>
    <row r="41" spans="15:19" x14ac:dyDescent="0.25">
      <c r="O41" s="347"/>
      <c r="P41" s="350"/>
      <c r="Q41" s="349"/>
      <c r="R41" s="350"/>
      <c r="S41" s="351"/>
    </row>
    <row r="42" spans="15:19" x14ac:dyDescent="0.25">
      <c r="O42" s="347"/>
      <c r="P42" s="350"/>
      <c r="Q42" s="349"/>
      <c r="R42" s="350"/>
      <c r="S42" s="351"/>
    </row>
    <row r="43" spans="15:19" x14ac:dyDescent="0.25">
      <c r="O43" s="347"/>
      <c r="P43" s="350"/>
      <c r="Q43" s="349"/>
      <c r="R43" s="350"/>
      <c r="S43" s="351"/>
    </row>
    <row r="44" spans="15:19" x14ac:dyDescent="0.25">
      <c r="O44" s="347"/>
      <c r="P44" s="350"/>
      <c r="Q44" s="349"/>
      <c r="R44" s="350"/>
      <c r="S44" s="351"/>
    </row>
    <row r="45" spans="15:19" x14ac:dyDescent="0.25">
      <c r="O45" s="347"/>
      <c r="P45" s="350"/>
      <c r="Q45" s="349"/>
      <c r="R45" s="350"/>
      <c r="S45" s="351"/>
    </row>
    <row r="46" spans="15:19" x14ac:dyDescent="0.25">
      <c r="O46" s="347"/>
      <c r="P46" s="350"/>
      <c r="Q46" s="349"/>
      <c r="R46" s="350"/>
      <c r="S46" s="351"/>
    </row>
    <row r="47" spans="15:19" x14ac:dyDescent="0.25">
      <c r="O47" s="347"/>
      <c r="P47" s="350"/>
      <c r="Q47" s="349"/>
      <c r="R47" s="350"/>
      <c r="S47" s="351"/>
    </row>
    <row r="48" spans="15:19" x14ac:dyDescent="0.25">
      <c r="O48" s="347"/>
      <c r="P48" s="350"/>
      <c r="Q48" s="349"/>
      <c r="R48" s="350"/>
      <c r="S48" s="351"/>
    </row>
    <row r="49" spans="15:19" ht="15.75" thickBot="1" x14ac:dyDescent="0.3">
      <c r="O49" s="352"/>
      <c r="P49" s="353"/>
      <c r="Q49" s="354"/>
      <c r="R49" s="353"/>
      <c r="S49" s="355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$AB$1:$AB$3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1" r:id="rId4" name="DatePickerBtn">
          <controlPr defaultSize="0" disabled="1" autoLine="0" r:id="rId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4" name="DatePickerBtn"/>
      </mc:Fallback>
    </mc:AlternateContent>
    <mc:AlternateContent xmlns:mc="http://schemas.openxmlformats.org/markup-compatibility/2006">
      <mc:Choice Requires="x14">
        <control shapeId="10270" r:id="rId6" name="PrecisChk">
          <controlPr defaultSize="0" autoLine="0" r:id="rId7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6" name="PrecisChk"/>
      </mc:Fallback>
    </mc:AlternateContent>
    <mc:AlternateContent xmlns:mc="http://schemas.openxmlformats.org/markup-compatibility/2006">
      <mc:Choice Requires="x14">
        <control shapeId="10269" r:id="rId8" name="NewPtBtn">
          <controlPr defaultSize="0" disabled="1" autoLine="0" r:id="rId9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8" name="NewPtBtn"/>
      </mc:Fallback>
    </mc:AlternateContent>
    <mc:AlternateContent xmlns:mc="http://schemas.openxmlformats.org/markup-compatibility/2006">
      <mc:Choice Requires="x14">
        <control shapeId="10266" r:id="rId10" name="DL_Pointages">
          <controlPr defaultSize="0" autoLine="0" r:id="rId11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0" name="DL_Pointages"/>
      </mc:Fallback>
    </mc:AlternateContent>
    <mc:AlternateContent xmlns:mc="http://schemas.openxmlformats.org/markup-compatibility/2006">
      <mc:Choice Requires="x14">
        <control shapeId="10265" r:id="rId12" name="InfoCorrectionBtn">
          <controlPr defaultSize="0" autoLine="0" r:id="rId13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2" name="InfoCorrection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3" r:id="rId16" name="DayMinusBtn">
          <controlPr defaultSize="0" autoLine="0" r:id="rId17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6" name="DayMinusBtn"/>
      </mc:Fallback>
    </mc:AlternateContent>
    <mc:AlternateContent xmlns:mc="http://schemas.openxmlformats.org/markup-compatibility/2006">
      <mc:Choice Requires="x14">
        <control shapeId="10262" r:id="rId18" name="CorrRejBtn">
          <controlPr defaultSize="0" disabled="1" autoLine="0" r:id="rId1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8" name="CorrRejBtn"/>
      </mc:Fallback>
    </mc:AlternateContent>
    <mc:AlternateContent xmlns:mc="http://schemas.openxmlformats.org/markup-compatibility/2006">
      <mc:Choice Requires="x14">
        <control shapeId="10261" r:id="rId20" name="CorrBtn">
          <controlPr defaultSize="0" disabled="1" autoLine="0" r:id="rId21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20" name="CorrBtn"/>
      </mc:Fallback>
    </mc:AlternateContent>
    <mc:AlternateContent xmlns:mc="http://schemas.openxmlformats.org/markup-compatibility/2006">
      <mc:Choice Requires="x14">
        <control shapeId="10260" r:id="rId22" name="DelBtn">
          <controlPr defaultSize="0" disabled="1" autoLine="0" r:id="rId23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22" name="DelBtn"/>
      </mc:Fallback>
    </mc:AlternateContent>
    <mc:AlternateContent xmlns:mc="http://schemas.openxmlformats.org/markup-compatibility/2006">
      <mc:Choice Requires="x14">
        <control shapeId="10259" r:id="rId24" name="DisableBtn">
          <controlPr defaultSize="0" disabled="1" autoLine="0" r:id="rId2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24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tabSelected="1" workbookViewId="0">
      <selection activeCell="L20" sqref="L20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179" t="s">
        <v>0</v>
      </c>
      <c r="B1" s="177" t="s">
        <v>1</v>
      </c>
      <c r="C1" s="180" t="s">
        <v>48</v>
      </c>
      <c r="D1" s="181" t="s">
        <v>29</v>
      </c>
      <c r="G1" t="s">
        <v>30</v>
      </c>
      <c r="J1" t="s">
        <v>271</v>
      </c>
    </row>
    <row r="2" spans="1:17" ht="19.5" customHeight="1" thickTop="1" x14ac:dyDescent="0.25">
      <c r="A2" s="164"/>
      <c r="B2" s="175"/>
      <c r="C2" s="182"/>
      <c r="D2" s="166"/>
      <c r="L2" s="448" t="s">
        <v>45</v>
      </c>
      <c r="M2" s="449"/>
      <c r="N2" s="449"/>
      <c r="O2" s="449"/>
      <c r="P2" s="449"/>
      <c r="Q2" s="450"/>
    </row>
    <row r="3" spans="1:17" ht="15.75" thickBot="1" x14ac:dyDescent="0.3">
      <c r="A3" s="165"/>
      <c r="B3" s="176"/>
      <c r="C3" s="183"/>
      <c r="D3" s="167"/>
      <c r="L3" s="451"/>
      <c r="M3" s="452"/>
      <c r="N3" s="452"/>
      <c r="O3" s="452"/>
      <c r="P3" s="452"/>
      <c r="Q3" s="453"/>
    </row>
    <row r="4" spans="1:17" x14ac:dyDescent="0.25">
      <c r="A4" s="165"/>
      <c r="B4" s="176"/>
      <c r="C4" s="183"/>
      <c r="D4" s="167"/>
      <c r="L4" s="5"/>
      <c r="M4" s="30"/>
      <c r="N4" s="30"/>
      <c r="O4" s="30"/>
      <c r="P4" s="30"/>
      <c r="Q4" s="6"/>
    </row>
    <row r="5" spans="1:17" x14ac:dyDescent="0.25">
      <c r="A5" s="165"/>
      <c r="B5" s="176"/>
      <c r="C5" s="183"/>
      <c r="D5" s="167"/>
      <c r="L5" s="5"/>
      <c r="M5" s="30"/>
      <c r="N5" s="30"/>
      <c r="O5" s="30"/>
      <c r="P5" s="30"/>
      <c r="Q5" s="6"/>
    </row>
    <row r="6" spans="1:17" x14ac:dyDescent="0.25">
      <c r="A6" s="163"/>
      <c r="B6" s="177"/>
      <c r="C6" s="177"/>
      <c r="D6" s="174"/>
      <c r="L6" s="5"/>
      <c r="M6" s="30"/>
      <c r="N6" s="30"/>
      <c r="O6" s="30"/>
      <c r="P6" s="30"/>
      <c r="Q6" s="6"/>
    </row>
    <row r="7" spans="1:17" x14ac:dyDescent="0.25">
      <c r="A7" s="165"/>
      <c r="B7" s="176"/>
      <c r="C7" s="183"/>
      <c r="D7" s="167"/>
      <c r="L7" s="5"/>
      <c r="M7" s="30"/>
      <c r="N7" s="30"/>
      <c r="O7" s="30"/>
      <c r="P7" s="30"/>
      <c r="Q7" s="6"/>
    </row>
    <row r="8" spans="1:17" x14ac:dyDescent="0.25">
      <c r="A8" s="165"/>
      <c r="B8" s="176"/>
      <c r="C8" s="183"/>
      <c r="D8" s="167"/>
      <c r="L8" s="5"/>
      <c r="M8" s="30"/>
      <c r="N8" s="30"/>
      <c r="O8" s="30"/>
      <c r="P8" s="30"/>
      <c r="Q8" s="6"/>
    </row>
    <row r="9" spans="1:17" x14ac:dyDescent="0.25">
      <c r="A9" s="165"/>
      <c r="B9" s="176"/>
      <c r="C9" s="183"/>
      <c r="D9" s="167"/>
      <c r="L9" s="5"/>
      <c r="M9" s="30"/>
      <c r="N9" s="30"/>
      <c r="O9" s="30"/>
      <c r="P9" s="30"/>
      <c r="Q9" s="6"/>
    </row>
    <row r="10" spans="1:17" x14ac:dyDescent="0.25">
      <c r="A10" s="165"/>
      <c r="B10" s="176"/>
      <c r="C10" s="183"/>
      <c r="D10" s="167"/>
      <c r="L10" s="5"/>
      <c r="M10" s="30"/>
      <c r="N10" s="30"/>
      <c r="O10" s="30"/>
      <c r="P10" s="30"/>
      <c r="Q10" s="6"/>
    </row>
    <row r="11" spans="1:17" ht="15.75" thickBot="1" x14ac:dyDescent="0.3">
      <c r="A11" s="165"/>
      <c r="B11" s="176"/>
      <c r="C11" s="183"/>
      <c r="D11" s="167"/>
      <c r="L11" s="5"/>
      <c r="M11" s="30"/>
      <c r="N11" s="30"/>
      <c r="O11" s="30"/>
      <c r="P11" s="30"/>
      <c r="Q11" s="6"/>
    </row>
    <row r="12" spans="1:17" x14ac:dyDescent="0.25">
      <c r="A12" s="165"/>
      <c r="B12" s="176"/>
      <c r="C12" s="183"/>
      <c r="D12" s="167"/>
      <c r="L12" s="27"/>
      <c r="M12" s="28"/>
      <c r="N12" s="28"/>
      <c r="O12" s="28"/>
      <c r="P12" s="28"/>
      <c r="Q12" s="29"/>
    </row>
    <row r="13" spans="1:17" x14ac:dyDescent="0.25">
      <c r="A13" s="165"/>
      <c r="B13" s="176"/>
      <c r="C13" s="184"/>
      <c r="D13" s="167"/>
      <c r="L13" s="5"/>
      <c r="M13" s="30"/>
      <c r="N13" s="454" t="s">
        <v>46</v>
      </c>
      <c r="O13" s="454"/>
      <c r="P13" s="30"/>
      <c r="Q13" s="6"/>
    </row>
    <row r="14" spans="1:17" x14ac:dyDescent="0.25">
      <c r="A14" s="165"/>
      <c r="B14" s="176"/>
      <c r="C14" s="184"/>
      <c r="D14" s="167"/>
      <c r="L14" s="31" t="s">
        <v>47</v>
      </c>
      <c r="M14" s="30"/>
      <c r="N14" s="30"/>
      <c r="O14" s="30"/>
      <c r="P14" s="30"/>
      <c r="Q14" s="6"/>
    </row>
    <row r="15" spans="1:17" x14ac:dyDescent="0.25">
      <c r="A15" s="165"/>
      <c r="B15" s="176"/>
      <c r="C15" s="184"/>
      <c r="D15" s="167"/>
      <c r="L15" s="31"/>
      <c r="M15" s="30"/>
      <c r="N15" s="30"/>
      <c r="O15" s="30"/>
      <c r="P15" s="30"/>
      <c r="Q15" s="6"/>
    </row>
    <row r="16" spans="1:17" x14ac:dyDescent="0.25">
      <c r="A16" s="165"/>
      <c r="B16" s="176"/>
      <c r="C16" s="184"/>
      <c r="D16" s="167"/>
      <c r="L16" s="31" t="s">
        <v>110</v>
      </c>
      <c r="M16" s="32"/>
      <c r="N16" s="30"/>
      <c r="O16" s="30"/>
      <c r="P16" s="30"/>
      <c r="Q16" s="6"/>
    </row>
    <row r="17" spans="1:22" x14ac:dyDescent="0.25">
      <c r="A17" s="165"/>
      <c r="B17" s="176"/>
      <c r="C17" s="184"/>
      <c r="D17" s="167"/>
      <c r="L17" s="31"/>
      <c r="M17" s="30"/>
      <c r="N17" s="30"/>
      <c r="O17" s="30"/>
      <c r="P17" s="30"/>
      <c r="Q17" s="6"/>
    </row>
    <row r="18" spans="1:22" x14ac:dyDescent="0.25">
      <c r="A18" s="165"/>
      <c r="B18" s="176"/>
      <c r="C18" s="184"/>
      <c r="D18" s="167"/>
      <c r="L18" s="31" t="s">
        <v>141</v>
      </c>
      <c r="M18" s="30"/>
      <c r="N18" s="30"/>
      <c r="O18" s="30"/>
      <c r="P18" s="30"/>
      <c r="Q18" s="6"/>
    </row>
    <row r="19" spans="1:22" x14ac:dyDescent="0.25">
      <c r="A19" s="165"/>
      <c r="B19" s="176"/>
      <c r="C19" s="184"/>
      <c r="D19" s="167"/>
      <c r="L19" s="31"/>
      <c r="M19" s="30"/>
      <c r="N19" s="30"/>
      <c r="O19" s="30"/>
      <c r="P19" s="30"/>
      <c r="Q19" s="6"/>
    </row>
    <row r="20" spans="1:22" x14ac:dyDescent="0.25">
      <c r="A20" s="165"/>
      <c r="B20" s="176"/>
      <c r="C20" s="184"/>
      <c r="D20" s="167"/>
      <c r="L20" s="31" t="s">
        <v>257</v>
      </c>
      <c r="M20" s="30"/>
      <c r="N20" s="30"/>
      <c r="O20" s="30"/>
      <c r="P20" s="30"/>
      <c r="Q20" s="6"/>
    </row>
    <row r="21" spans="1:22" x14ac:dyDescent="0.25">
      <c r="A21" s="165"/>
      <c r="B21" s="176"/>
      <c r="C21" s="184"/>
      <c r="D21" s="167"/>
      <c r="L21" s="31"/>
      <c r="M21" s="30"/>
      <c r="N21" s="30"/>
      <c r="O21" s="30"/>
      <c r="P21" s="30"/>
      <c r="Q21" s="6"/>
    </row>
    <row r="22" spans="1:22" x14ac:dyDescent="0.25">
      <c r="A22" s="165"/>
      <c r="B22" s="176"/>
      <c r="C22" s="184"/>
      <c r="D22" s="167"/>
      <c r="L22" s="31"/>
      <c r="M22" s="30"/>
      <c r="N22" s="30"/>
      <c r="O22" s="30"/>
      <c r="P22" s="30"/>
      <c r="Q22" s="6"/>
    </row>
    <row r="23" spans="1:22" x14ac:dyDescent="0.25">
      <c r="A23" s="165"/>
      <c r="B23" s="176"/>
      <c r="C23" s="184"/>
      <c r="D23" s="167"/>
      <c r="L23" s="5"/>
      <c r="M23" s="30"/>
      <c r="N23" s="30"/>
      <c r="O23" s="30"/>
      <c r="P23" s="30"/>
      <c r="Q23" s="6"/>
    </row>
    <row r="24" spans="1:22" x14ac:dyDescent="0.25">
      <c r="A24" s="165"/>
      <c r="B24" s="176"/>
      <c r="C24" s="184"/>
      <c r="D24" s="167"/>
      <c r="L24" s="5"/>
      <c r="M24" s="30"/>
      <c r="N24" s="30"/>
      <c r="O24" s="30"/>
      <c r="P24" s="30"/>
      <c r="Q24" s="6"/>
      <c r="V24" s="41"/>
    </row>
    <row r="25" spans="1:22" x14ac:dyDescent="0.25">
      <c r="A25" s="165"/>
      <c r="B25" s="176"/>
      <c r="C25" s="184"/>
      <c r="D25" s="167"/>
      <c r="L25" s="31"/>
      <c r="M25" s="30"/>
      <c r="N25" s="30"/>
      <c r="O25" s="30"/>
      <c r="P25" s="30"/>
      <c r="Q25" s="6"/>
    </row>
    <row r="26" spans="1:22" x14ac:dyDescent="0.25">
      <c r="A26" s="165"/>
      <c r="B26" s="176"/>
      <c r="C26" s="184"/>
      <c r="D26" s="167"/>
      <c r="L26" s="5"/>
      <c r="M26" s="30"/>
      <c r="N26" s="30"/>
      <c r="O26" s="30"/>
      <c r="P26" s="30"/>
      <c r="Q26" s="6"/>
    </row>
    <row r="27" spans="1:22" x14ac:dyDescent="0.25">
      <c r="A27" s="165"/>
      <c r="B27" s="176"/>
      <c r="C27" s="184"/>
      <c r="D27" s="167"/>
      <c r="L27" s="5"/>
      <c r="M27" s="30"/>
      <c r="N27" s="30"/>
      <c r="O27" s="30"/>
      <c r="P27" s="30"/>
      <c r="Q27" s="6"/>
    </row>
    <row r="28" spans="1:22" x14ac:dyDescent="0.25">
      <c r="A28" s="165"/>
      <c r="B28" s="176"/>
      <c r="C28" s="184"/>
      <c r="D28" s="167"/>
      <c r="L28" s="5"/>
      <c r="M28" s="30"/>
      <c r="N28" s="30"/>
      <c r="O28" s="30"/>
      <c r="P28" s="30"/>
      <c r="Q28" s="6"/>
    </row>
    <row r="29" spans="1:22" x14ac:dyDescent="0.25">
      <c r="A29" s="165"/>
      <c r="B29" s="176"/>
      <c r="C29" s="184"/>
      <c r="D29" s="167"/>
      <c r="L29" s="5"/>
      <c r="M29" s="30"/>
      <c r="N29" s="30"/>
      <c r="O29" s="30"/>
      <c r="P29" s="30"/>
      <c r="Q29" s="6"/>
    </row>
    <row r="30" spans="1:22" x14ac:dyDescent="0.25">
      <c r="A30" s="168"/>
      <c r="B30" s="178"/>
      <c r="C30" s="185"/>
      <c r="D30" s="169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405"/>
      <c r="D39" s="405"/>
      <c r="E39" s="3" t="s">
        <v>27</v>
      </c>
    </row>
    <row r="41" spans="1:17" s="24" customFormat="1" ht="15.75" x14ac:dyDescent="0.25">
      <c r="B41" s="24" t="s">
        <v>36</v>
      </c>
      <c r="C41" s="373"/>
      <c r="E41" s="25" t="s">
        <v>37</v>
      </c>
    </row>
    <row r="42" spans="1:17" s="24" customFormat="1" ht="15.75" x14ac:dyDescent="0.25">
      <c r="B42" s="24" t="s">
        <v>38</v>
      </c>
      <c r="C42" s="374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373"/>
      <c r="E44" s="4" t="s">
        <v>9</v>
      </c>
    </row>
    <row r="45" spans="1:17" x14ac:dyDescent="0.25">
      <c r="B45" s="2" t="s">
        <v>6</v>
      </c>
      <c r="C45" s="374"/>
      <c r="E45" s="4" t="s">
        <v>10</v>
      </c>
    </row>
    <row r="46" spans="1:17" x14ac:dyDescent="0.25">
      <c r="B46" s="2" t="s">
        <v>7</v>
      </c>
      <c r="C46" s="374"/>
    </row>
    <row r="47" spans="1:17" x14ac:dyDescent="0.25">
      <c r="B47" s="2" t="s">
        <v>8</v>
      </c>
      <c r="C47" s="374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UpdtCfg">
          <controlPr defaultSize="0" autoLine="0" r:id="rId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4" name="UpdtCfg"/>
      </mc:Fallback>
    </mc:AlternateContent>
    <mc:AlternateContent xmlns:mc="http://schemas.openxmlformats.org/markup-compatibility/2006">
      <mc:Choice Requires="x14">
        <control shapeId="3085" r:id="rId6" name="ExportBtn">
          <controlPr defaultSize="0" autoLine="0" r:id="rId7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6" name="ExportBtn"/>
      </mc:Fallback>
    </mc:AlternateContent>
    <mc:AlternateContent xmlns:mc="http://schemas.openxmlformats.org/markup-compatibility/2006">
      <mc:Choice Requires="x14">
        <control shapeId="3084" r:id="rId8" name="Get_list">
          <controlPr defaultSize="0" autoLine="0" r:id="rId9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8" name="Get_list"/>
      </mc:Fallback>
    </mc:AlternateContent>
    <mc:AlternateContent xmlns:mc="http://schemas.openxmlformats.org/markup-compatibility/2006">
      <mc:Choice Requires="x14">
        <control shapeId="3083" r:id="rId10" name="ImportBtn">
          <controlPr defaultSize="0" autoLine="0" r:id="rId11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10" name="ImportBtn"/>
      </mc:Fallback>
    </mc:AlternateContent>
    <mc:AlternateContent xmlns:mc="http://schemas.openxmlformats.org/markup-compatibility/2006">
      <mc:Choice Requires="x14">
        <control shapeId="3082" r:id="rId12" name="ReadCfg">
          <controlPr defaultSize="0" autoLine="0" r:id="rId13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12" name="ReadCfg"/>
      </mc:Fallback>
    </mc:AlternateContent>
    <mc:AlternateContent xmlns:mc="http://schemas.openxmlformats.org/markup-compatibility/2006">
      <mc:Choice Requires="x14">
        <control shapeId="3081" r:id="rId14" name="Upt_list">
          <controlPr defaultSize="0" autoLine="0" r:id="rId1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14" name="Up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62"/>
      <c r="B2" s="463"/>
      <c r="C2" s="463"/>
      <c r="D2" s="463"/>
      <c r="E2" s="463"/>
      <c r="F2" s="463"/>
      <c r="G2" s="463"/>
      <c r="H2" s="464" t="s">
        <v>53</v>
      </c>
      <c r="I2" s="464"/>
      <c r="J2" s="464"/>
      <c r="K2" s="464"/>
      <c r="L2" s="464"/>
      <c r="M2" s="464"/>
      <c r="N2" s="464"/>
      <c r="O2" s="464"/>
      <c r="P2" s="464"/>
      <c r="Q2" s="464"/>
      <c r="R2" s="464"/>
      <c r="S2" s="464"/>
      <c r="T2" s="465"/>
      <c r="U2" s="466">
        <v>0</v>
      </c>
      <c r="V2" s="467"/>
      <c r="W2" s="467"/>
      <c r="X2" s="467"/>
      <c r="Y2" s="467"/>
      <c r="Z2" s="467"/>
      <c r="AA2" s="467"/>
      <c r="AB2" s="467"/>
      <c r="AC2" s="467"/>
      <c r="AD2" s="467"/>
      <c r="AE2" s="467"/>
      <c r="AF2" s="467"/>
      <c r="AG2" s="467"/>
      <c r="AH2" s="467"/>
      <c r="AI2" s="467"/>
      <c r="AJ2" s="467"/>
      <c r="AK2" s="467"/>
      <c r="AL2" s="467"/>
      <c r="AM2" s="467"/>
      <c r="AN2" s="467"/>
      <c r="AO2" s="455" t="s">
        <v>54</v>
      </c>
      <c r="AP2" s="456"/>
      <c r="AQ2" s="456"/>
      <c r="AR2" s="456"/>
      <c r="AS2" s="456"/>
      <c r="AT2" s="456"/>
      <c r="AU2" s="456"/>
      <c r="AV2" s="456"/>
      <c r="AW2" s="456"/>
      <c r="AX2" s="456"/>
      <c r="AY2" s="456"/>
      <c r="AZ2" s="456"/>
      <c r="BA2" s="457"/>
      <c r="BB2" s="458"/>
      <c r="BC2" s="459"/>
      <c r="BD2" s="459"/>
      <c r="BE2" s="459"/>
      <c r="BF2" s="459"/>
      <c r="BG2" s="459"/>
      <c r="BH2" s="459"/>
      <c r="BI2" s="459"/>
      <c r="BJ2" s="459"/>
      <c r="BK2" s="459"/>
      <c r="BL2" s="460"/>
    </row>
    <row r="3" spans="1:65" ht="15.75" thickBot="1" x14ac:dyDescent="0.3">
      <c r="A3" s="404">
        <v>1</v>
      </c>
      <c r="B3" s="404"/>
      <c r="C3" s="404">
        <v>2</v>
      </c>
      <c r="D3" s="404"/>
      <c r="E3" s="404">
        <v>3</v>
      </c>
      <c r="F3" s="404"/>
      <c r="G3" s="404">
        <v>4</v>
      </c>
      <c r="H3" s="404"/>
      <c r="I3" s="409">
        <v>5</v>
      </c>
      <c r="J3" s="410"/>
      <c r="K3" s="409">
        <v>6</v>
      </c>
      <c r="L3" s="410"/>
      <c r="M3" s="409">
        <v>7</v>
      </c>
      <c r="N3" s="410"/>
      <c r="O3" s="409">
        <v>8</v>
      </c>
      <c r="P3" s="410"/>
      <c r="Q3" s="409">
        <v>9</v>
      </c>
      <c r="R3" s="410"/>
      <c r="S3" s="409">
        <v>10</v>
      </c>
      <c r="T3" s="436"/>
      <c r="U3" s="461">
        <v>1</v>
      </c>
      <c r="V3" s="410"/>
      <c r="W3" s="409">
        <v>2</v>
      </c>
      <c r="X3" s="410"/>
      <c r="Y3" s="409">
        <v>3</v>
      </c>
      <c r="Z3" s="410"/>
      <c r="AA3" s="409">
        <v>4</v>
      </c>
      <c r="AB3" s="410"/>
      <c r="AC3" s="409">
        <v>5</v>
      </c>
      <c r="AD3" s="410"/>
      <c r="AE3" s="409">
        <v>6</v>
      </c>
      <c r="AF3" s="410"/>
      <c r="AG3" s="409">
        <v>7</v>
      </c>
      <c r="AH3" s="410"/>
      <c r="AI3" s="409">
        <v>8</v>
      </c>
      <c r="AJ3" s="410"/>
      <c r="AK3" s="409">
        <v>9</v>
      </c>
      <c r="AL3" s="410"/>
      <c r="AM3" s="409">
        <v>10</v>
      </c>
      <c r="AN3" s="436"/>
      <c r="AO3" s="471" t="s">
        <v>55</v>
      </c>
      <c r="AP3" s="472"/>
      <c r="AQ3" s="472"/>
      <c r="AR3" s="473"/>
      <c r="AS3" s="471" t="s">
        <v>56</v>
      </c>
      <c r="AT3" s="472"/>
      <c r="AU3" s="472"/>
      <c r="AV3" s="472"/>
      <c r="AW3" s="472"/>
      <c r="AX3" s="472"/>
      <c r="AY3" s="461" t="s">
        <v>57</v>
      </c>
      <c r="AZ3" s="474"/>
      <c r="BA3" s="436"/>
      <c r="BB3" s="468" t="s">
        <v>101</v>
      </c>
      <c r="BC3" s="469"/>
      <c r="BD3" s="469"/>
      <c r="BE3" s="469"/>
      <c r="BF3" s="469"/>
      <c r="BG3" s="469"/>
      <c r="BH3" s="469"/>
      <c r="BI3" s="469"/>
      <c r="BJ3" s="469"/>
      <c r="BK3" s="469"/>
      <c r="BL3" s="470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0.33402777777777776</v>
      </c>
      <c r="B5" s="57">
        <v>0.45902777777777776</v>
      </c>
      <c r="C5" s="56">
        <v>0.5</v>
      </c>
      <c r="D5" s="57">
        <v>0.625</v>
      </c>
      <c r="E5" s="56">
        <v>0.63888888888888884</v>
      </c>
      <c r="F5" s="57">
        <v>0.77916666666666667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0.33402777777777781</v>
      </c>
      <c r="V5" s="57">
        <v>0.45902777777777781</v>
      </c>
      <c r="W5" s="56">
        <v>0.5</v>
      </c>
      <c r="X5" s="57">
        <v>0.625</v>
      </c>
      <c r="Y5" s="56">
        <v>0.63888888888888895</v>
      </c>
      <c r="Z5" s="57">
        <v>0.77916666666666667</v>
      </c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0.33402777777777781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0.45902777777777781</v>
      </c>
      <c r="AU5" s="65">
        <f t="shared" ref="AU5:AU49" si="6">IF(U5&gt;0,IF(AS5&gt;0,IF(AND(AN5&gt;0,AN5=AT5),0,IF(AND(AB5&gt;0,AB5=AT5),AM5,IF(AND(Z5&gt;0,Z5=AT5),AA5,IF(AND(X5&gt;0,X5=AT5),Y5,W5)))),U5),0)</f>
        <v>0.5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0.77916666666666667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1</v>
      </c>
      <c r="BB5" s="67">
        <f t="shared" ref="BB5:BB49" si="13">V5 - U5</f>
        <v>0.125</v>
      </c>
      <c r="BC5" s="68">
        <f t="shared" ref="BC5:BC49" si="14">X5 - W5</f>
        <v>0.125</v>
      </c>
      <c r="BD5" s="68">
        <f t="shared" ref="BD5:BD49" si="15">Z5 - Y5</f>
        <v>0.14027777777777772</v>
      </c>
      <c r="BE5" s="68">
        <f t="shared" ref="BE5:BE49" si="16">AB5 - AA5</f>
        <v>0</v>
      </c>
      <c r="BF5" s="68">
        <f t="shared" ref="BF5:BF49" si="17">AD5 - AC5</f>
        <v>0</v>
      </c>
      <c r="BG5" s="68">
        <f t="shared" ref="BG5:BG49" si="18">AF5 - AE5</f>
        <v>0</v>
      </c>
      <c r="BH5" s="68">
        <f t="shared" ref="BH5:BH49" si="19">AH5 - AG5</f>
        <v>0</v>
      </c>
      <c r="BI5" s="68">
        <f t="shared" ref="BI5:BI49" si="20">AJ5 - AI5</f>
        <v>0</v>
      </c>
      <c r="BJ5" s="68">
        <f t="shared" ref="BJ5:BJ49" si="21">AL5 - AK5</f>
        <v>0</v>
      </c>
      <c r="BK5" s="69">
        <f t="shared" ref="BK5:BK49" si="22">AN5 - AM5</f>
        <v>0</v>
      </c>
      <c r="BL5" s="70">
        <f t="shared" ref="BL5:BL49" si="23">SUM(BB5:BK5)</f>
        <v>0.39027777777777772</v>
      </c>
      <c r="BM5" s="71">
        <v>45985</v>
      </c>
    </row>
    <row r="6" spans="1:65" x14ac:dyDescent="0.25">
      <c r="A6" s="72">
        <v>0.33333333333333331</v>
      </c>
      <c r="B6" s="73">
        <v>0.45902777777777781</v>
      </c>
      <c r="C6" s="72">
        <v>0.5</v>
      </c>
      <c r="D6" s="73">
        <v>0.71597222222222223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0.33333333333333331</v>
      </c>
      <c r="V6" s="73">
        <v>0.45902777777777781</v>
      </c>
      <c r="W6" s="72">
        <v>0.5</v>
      </c>
      <c r="X6" s="73">
        <v>0.71597222222222223</v>
      </c>
      <c r="Y6" s="72"/>
      <c r="Z6" s="73"/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0.33333333333333331</v>
      </c>
      <c r="AT6" s="81">
        <f t="shared" si="5"/>
        <v>0.45902777777777781</v>
      </c>
      <c r="AU6" s="81">
        <f t="shared" si="6"/>
        <v>0.5</v>
      </c>
      <c r="AV6" s="81">
        <f t="shared" si="7"/>
        <v>0.71597222222222223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1</v>
      </c>
      <c r="BB6" s="80">
        <f t="shared" si="13"/>
        <v>0.1256944444444445</v>
      </c>
      <c r="BC6" s="83">
        <f t="shared" si="14"/>
        <v>0.21597222222222223</v>
      </c>
      <c r="BD6" s="83">
        <f t="shared" si="15"/>
        <v>0</v>
      </c>
      <c r="BE6" s="83">
        <f t="shared" si="16"/>
        <v>0</v>
      </c>
      <c r="BF6" s="83">
        <f t="shared" si="17"/>
        <v>0</v>
      </c>
      <c r="BG6" s="83">
        <f t="shared" si="18"/>
        <v>0</v>
      </c>
      <c r="BH6" s="83">
        <f t="shared" si="19"/>
        <v>0</v>
      </c>
      <c r="BI6" s="83">
        <f t="shared" si="20"/>
        <v>0</v>
      </c>
      <c r="BJ6" s="83">
        <f t="shared" si="21"/>
        <v>0</v>
      </c>
      <c r="BK6" s="83">
        <f t="shared" si="22"/>
        <v>0</v>
      </c>
      <c r="BL6" s="84">
        <f t="shared" si="23"/>
        <v>0.34166666666666673</v>
      </c>
      <c r="BM6" s="71">
        <v>45986</v>
      </c>
    </row>
    <row r="7" spans="1:65" x14ac:dyDescent="0.25">
      <c r="A7" s="72">
        <v>0.43124999999999997</v>
      </c>
      <c r="B7" s="73">
        <v>0.5180555555555556</v>
      </c>
      <c r="C7" s="72">
        <v>0.55902777777777779</v>
      </c>
      <c r="D7" s="73">
        <v>0.66736111111111107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0.43124999999999997</v>
      </c>
      <c r="V7" s="73">
        <v>0.5180555555555556</v>
      </c>
      <c r="W7" s="72">
        <v>0.55902777777777779</v>
      </c>
      <c r="X7" s="73">
        <v>0.66736111111111107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0.43124999999999997</v>
      </c>
      <c r="AT7" s="81">
        <f t="shared" si="5"/>
        <v>0.5180555555555556</v>
      </c>
      <c r="AU7" s="81">
        <f t="shared" si="6"/>
        <v>0.55902777777777779</v>
      </c>
      <c r="AV7" s="81">
        <f t="shared" si="7"/>
        <v>0.66736111111111107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1</v>
      </c>
      <c r="BB7" s="80">
        <f t="shared" si="13"/>
        <v>8.6805555555555636E-2</v>
      </c>
      <c r="BC7" s="83">
        <f t="shared" si="14"/>
        <v>0.10833333333333328</v>
      </c>
      <c r="BD7" s="83">
        <f t="shared" si="15"/>
        <v>0</v>
      </c>
      <c r="BE7" s="83">
        <f t="shared" si="16"/>
        <v>0</v>
      </c>
      <c r="BF7" s="83">
        <f t="shared" si="17"/>
        <v>0</v>
      </c>
      <c r="BG7" s="83">
        <f t="shared" si="18"/>
        <v>0</v>
      </c>
      <c r="BH7" s="83">
        <f t="shared" si="19"/>
        <v>0</v>
      </c>
      <c r="BI7" s="83">
        <f t="shared" si="20"/>
        <v>0</v>
      </c>
      <c r="BJ7" s="83">
        <f t="shared" si="21"/>
        <v>0</v>
      </c>
      <c r="BK7" s="83">
        <f t="shared" si="22"/>
        <v>0</v>
      </c>
      <c r="BL7" s="84">
        <f t="shared" si="23"/>
        <v>0.19513888888888892</v>
      </c>
      <c r="BM7" s="71">
        <v>45987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 t="shared" si="13"/>
        <v>0</v>
      </c>
      <c r="BC8" s="83">
        <f t="shared" si="14"/>
        <v>0</v>
      </c>
      <c r="BD8" s="83">
        <f t="shared" si="15"/>
        <v>0</v>
      </c>
      <c r="BE8" s="83">
        <f t="shared" si="16"/>
        <v>0</v>
      </c>
      <c r="BF8" s="83">
        <f t="shared" si="17"/>
        <v>0</v>
      </c>
      <c r="BG8" s="83">
        <f t="shared" si="18"/>
        <v>0</v>
      </c>
      <c r="BH8" s="83">
        <f t="shared" si="19"/>
        <v>0</v>
      </c>
      <c r="BI8" s="83">
        <f t="shared" si="20"/>
        <v>0</v>
      </c>
      <c r="BJ8" s="83">
        <f t="shared" si="21"/>
        <v>0</v>
      </c>
      <c r="BK8" s="83">
        <f t="shared" si="22"/>
        <v>0</v>
      </c>
      <c r="BL8" s="84">
        <f t="shared" si="23"/>
        <v>0</v>
      </c>
      <c r="BM8" s="71">
        <v>0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 t="shared" si="13"/>
        <v>0</v>
      </c>
      <c r="BC9" s="83">
        <f t="shared" si="14"/>
        <v>0</v>
      </c>
      <c r="BD9" s="83">
        <f t="shared" si="15"/>
        <v>0</v>
      </c>
      <c r="BE9" s="83">
        <f t="shared" si="16"/>
        <v>0</v>
      </c>
      <c r="BF9" s="83">
        <f t="shared" si="17"/>
        <v>0</v>
      </c>
      <c r="BG9" s="83">
        <f t="shared" si="18"/>
        <v>0</v>
      </c>
      <c r="BH9" s="83">
        <f t="shared" si="19"/>
        <v>0</v>
      </c>
      <c r="BI9" s="83">
        <f t="shared" si="20"/>
        <v>0</v>
      </c>
      <c r="BJ9" s="83">
        <f t="shared" si="21"/>
        <v>0</v>
      </c>
      <c r="BK9" s="83">
        <f t="shared" si="22"/>
        <v>0</v>
      </c>
      <c r="BL9" s="84">
        <f t="shared" si="23"/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 t="shared" si="13"/>
        <v>0</v>
      </c>
      <c r="BC10" s="83">
        <f t="shared" si="14"/>
        <v>0</v>
      </c>
      <c r="BD10" s="83">
        <f t="shared" si="15"/>
        <v>0</v>
      </c>
      <c r="BE10" s="83">
        <f t="shared" si="16"/>
        <v>0</v>
      </c>
      <c r="BF10" s="83">
        <f t="shared" si="17"/>
        <v>0</v>
      </c>
      <c r="BG10" s="83">
        <f t="shared" si="18"/>
        <v>0</v>
      </c>
      <c r="BH10" s="83">
        <f t="shared" si="19"/>
        <v>0</v>
      </c>
      <c r="BI10" s="83">
        <f t="shared" si="20"/>
        <v>0</v>
      </c>
      <c r="BJ10" s="83">
        <f t="shared" si="21"/>
        <v>0</v>
      </c>
      <c r="BK10" s="83">
        <f t="shared" si="22"/>
        <v>0</v>
      </c>
      <c r="BL10" s="84">
        <f t="shared" si="23"/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 t="shared" si="13"/>
        <v>0</v>
      </c>
      <c r="BC11" s="83">
        <f t="shared" si="14"/>
        <v>0</v>
      </c>
      <c r="BD11" s="83">
        <f t="shared" si="15"/>
        <v>0</v>
      </c>
      <c r="BE11" s="83">
        <f t="shared" si="16"/>
        <v>0</v>
      </c>
      <c r="BF11" s="83">
        <f t="shared" si="17"/>
        <v>0</v>
      </c>
      <c r="BG11" s="83">
        <f t="shared" si="18"/>
        <v>0</v>
      </c>
      <c r="BH11" s="83">
        <f t="shared" si="19"/>
        <v>0</v>
      </c>
      <c r="BI11" s="83">
        <f t="shared" si="20"/>
        <v>0</v>
      </c>
      <c r="BJ11" s="83">
        <f t="shared" si="21"/>
        <v>0</v>
      </c>
      <c r="BK11" s="83">
        <f t="shared" si="22"/>
        <v>0</v>
      </c>
      <c r="BL11" s="84">
        <f t="shared" si="23"/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 t="shared" si="13"/>
        <v>0</v>
      </c>
      <c r="BC12" s="83">
        <f t="shared" si="14"/>
        <v>0</v>
      </c>
      <c r="BD12" s="83">
        <f t="shared" si="15"/>
        <v>0</v>
      </c>
      <c r="BE12" s="83">
        <f t="shared" si="16"/>
        <v>0</v>
      </c>
      <c r="BF12" s="83">
        <f t="shared" si="17"/>
        <v>0</v>
      </c>
      <c r="BG12" s="83">
        <f t="shared" si="18"/>
        <v>0</v>
      </c>
      <c r="BH12" s="83">
        <f t="shared" si="19"/>
        <v>0</v>
      </c>
      <c r="BI12" s="83">
        <f t="shared" si="20"/>
        <v>0</v>
      </c>
      <c r="BJ12" s="83">
        <f t="shared" si="21"/>
        <v>0</v>
      </c>
      <c r="BK12" s="83">
        <f t="shared" si="22"/>
        <v>0</v>
      </c>
      <c r="BL12" s="84">
        <f t="shared" si="23"/>
        <v>0</v>
      </c>
      <c r="BM12" s="71">
        <v>0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 t="shared" si="13"/>
        <v>0</v>
      </c>
      <c r="BC13" s="83">
        <f t="shared" si="14"/>
        <v>0</v>
      </c>
      <c r="BD13" s="83">
        <f t="shared" si="15"/>
        <v>0</v>
      </c>
      <c r="BE13" s="83">
        <f t="shared" si="16"/>
        <v>0</v>
      </c>
      <c r="BF13" s="83">
        <f t="shared" si="17"/>
        <v>0</v>
      </c>
      <c r="BG13" s="83">
        <f t="shared" si="18"/>
        <v>0</v>
      </c>
      <c r="BH13" s="83">
        <f t="shared" si="19"/>
        <v>0</v>
      </c>
      <c r="BI13" s="83">
        <f t="shared" si="20"/>
        <v>0</v>
      </c>
      <c r="BJ13" s="83">
        <f t="shared" si="21"/>
        <v>0</v>
      </c>
      <c r="BK13" s="83">
        <f t="shared" si="22"/>
        <v>0</v>
      </c>
      <c r="BL13" s="84">
        <f t="shared" si="23"/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 t="shared" si="13"/>
        <v>0</v>
      </c>
      <c r="BC14" s="83">
        <f t="shared" si="14"/>
        <v>0</v>
      </c>
      <c r="BD14" s="83">
        <f t="shared" si="15"/>
        <v>0</v>
      </c>
      <c r="BE14" s="83">
        <f t="shared" si="16"/>
        <v>0</v>
      </c>
      <c r="BF14" s="83">
        <f t="shared" si="17"/>
        <v>0</v>
      </c>
      <c r="BG14" s="83">
        <f t="shared" si="18"/>
        <v>0</v>
      </c>
      <c r="BH14" s="83">
        <f t="shared" si="19"/>
        <v>0</v>
      </c>
      <c r="BI14" s="83">
        <f t="shared" si="20"/>
        <v>0</v>
      </c>
      <c r="BJ14" s="83">
        <f t="shared" si="21"/>
        <v>0</v>
      </c>
      <c r="BK14" s="83">
        <f t="shared" si="22"/>
        <v>0</v>
      </c>
      <c r="BL14" s="84">
        <f t="shared" si="23"/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 t="shared" si="13"/>
        <v>0</v>
      </c>
      <c r="BC15" s="83">
        <f t="shared" si="14"/>
        <v>0</v>
      </c>
      <c r="BD15" s="83">
        <f t="shared" si="15"/>
        <v>0</v>
      </c>
      <c r="BE15" s="83">
        <f t="shared" si="16"/>
        <v>0</v>
      </c>
      <c r="BF15" s="83">
        <f t="shared" si="17"/>
        <v>0</v>
      </c>
      <c r="BG15" s="83">
        <f t="shared" si="18"/>
        <v>0</v>
      </c>
      <c r="BH15" s="83">
        <f t="shared" si="19"/>
        <v>0</v>
      </c>
      <c r="BI15" s="83">
        <f t="shared" si="20"/>
        <v>0</v>
      </c>
      <c r="BJ15" s="83">
        <f t="shared" si="21"/>
        <v>0</v>
      </c>
      <c r="BK15" s="83">
        <f t="shared" si="22"/>
        <v>0</v>
      </c>
      <c r="BL15" s="84">
        <f t="shared" si="23"/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 t="shared" si="13"/>
        <v>0</v>
      </c>
      <c r="BC16" s="83">
        <f t="shared" si="14"/>
        <v>0</v>
      </c>
      <c r="BD16" s="83">
        <f t="shared" si="15"/>
        <v>0</v>
      </c>
      <c r="BE16" s="83">
        <f t="shared" si="16"/>
        <v>0</v>
      </c>
      <c r="BF16" s="83">
        <f t="shared" si="17"/>
        <v>0</v>
      </c>
      <c r="BG16" s="83">
        <f t="shared" si="18"/>
        <v>0</v>
      </c>
      <c r="BH16" s="83">
        <f t="shared" si="19"/>
        <v>0</v>
      </c>
      <c r="BI16" s="83">
        <f t="shared" si="20"/>
        <v>0</v>
      </c>
      <c r="BJ16" s="83">
        <f t="shared" si="21"/>
        <v>0</v>
      </c>
      <c r="BK16" s="83">
        <f t="shared" si="22"/>
        <v>0</v>
      </c>
      <c r="BL16" s="84">
        <f t="shared" si="23"/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 t="shared" si="13"/>
        <v>0</v>
      </c>
      <c r="BC17" s="83">
        <f t="shared" si="14"/>
        <v>0</v>
      </c>
      <c r="BD17" s="83">
        <f t="shared" si="15"/>
        <v>0</v>
      </c>
      <c r="BE17" s="83">
        <f t="shared" si="16"/>
        <v>0</v>
      </c>
      <c r="BF17" s="83">
        <f t="shared" si="17"/>
        <v>0</v>
      </c>
      <c r="BG17" s="83">
        <f t="shared" si="18"/>
        <v>0</v>
      </c>
      <c r="BH17" s="83">
        <f t="shared" si="19"/>
        <v>0</v>
      </c>
      <c r="BI17" s="83">
        <f t="shared" si="20"/>
        <v>0</v>
      </c>
      <c r="BJ17" s="83">
        <f t="shared" si="21"/>
        <v>0</v>
      </c>
      <c r="BK17" s="83">
        <f t="shared" si="22"/>
        <v>0</v>
      </c>
      <c r="BL17" s="84">
        <f t="shared" si="23"/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 t="shared" si="13"/>
        <v>0</v>
      </c>
      <c r="BC18" s="83">
        <f t="shared" si="14"/>
        <v>0</v>
      </c>
      <c r="BD18" s="83">
        <f t="shared" si="15"/>
        <v>0</v>
      </c>
      <c r="BE18" s="83">
        <f t="shared" si="16"/>
        <v>0</v>
      </c>
      <c r="BF18" s="83">
        <f t="shared" si="17"/>
        <v>0</v>
      </c>
      <c r="BG18" s="83">
        <f t="shared" si="18"/>
        <v>0</v>
      </c>
      <c r="BH18" s="83">
        <f t="shared" si="19"/>
        <v>0</v>
      </c>
      <c r="BI18" s="83">
        <f t="shared" si="20"/>
        <v>0</v>
      </c>
      <c r="BJ18" s="83">
        <f t="shared" si="21"/>
        <v>0</v>
      </c>
      <c r="BK18" s="83">
        <f t="shared" si="22"/>
        <v>0</v>
      </c>
      <c r="BL18" s="84">
        <f t="shared" si="23"/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 t="shared" si="13"/>
        <v>0</v>
      </c>
      <c r="BC19" s="83">
        <f t="shared" si="14"/>
        <v>0</v>
      </c>
      <c r="BD19" s="83">
        <f t="shared" si="15"/>
        <v>0</v>
      </c>
      <c r="BE19" s="83">
        <f t="shared" si="16"/>
        <v>0</v>
      </c>
      <c r="BF19" s="83">
        <f t="shared" si="17"/>
        <v>0</v>
      </c>
      <c r="BG19" s="83">
        <f t="shared" si="18"/>
        <v>0</v>
      </c>
      <c r="BH19" s="83">
        <f t="shared" si="19"/>
        <v>0</v>
      </c>
      <c r="BI19" s="83">
        <f t="shared" si="20"/>
        <v>0</v>
      </c>
      <c r="BJ19" s="83">
        <f t="shared" si="21"/>
        <v>0</v>
      </c>
      <c r="BK19" s="83">
        <f t="shared" si="22"/>
        <v>0</v>
      </c>
      <c r="BL19" s="84">
        <f t="shared" si="23"/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 t="shared" si="13"/>
        <v>0</v>
      </c>
      <c r="BC20" s="83">
        <f t="shared" si="14"/>
        <v>0</v>
      </c>
      <c r="BD20" s="83">
        <f t="shared" si="15"/>
        <v>0</v>
      </c>
      <c r="BE20" s="83">
        <f t="shared" si="16"/>
        <v>0</v>
      </c>
      <c r="BF20" s="83">
        <f t="shared" si="17"/>
        <v>0</v>
      </c>
      <c r="BG20" s="83">
        <f t="shared" si="18"/>
        <v>0</v>
      </c>
      <c r="BH20" s="83">
        <f t="shared" si="19"/>
        <v>0</v>
      </c>
      <c r="BI20" s="83">
        <f t="shared" si="20"/>
        <v>0</v>
      </c>
      <c r="BJ20" s="83">
        <f t="shared" si="21"/>
        <v>0</v>
      </c>
      <c r="BK20" s="83">
        <f t="shared" si="22"/>
        <v>0</v>
      </c>
      <c r="BL20" s="84">
        <f t="shared" si="23"/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 t="shared" si="13"/>
        <v>0</v>
      </c>
      <c r="BC21" s="83">
        <f t="shared" si="14"/>
        <v>0</v>
      </c>
      <c r="BD21" s="83">
        <f t="shared" si="15"/>
        <v>0</v>
      </c>
      <c r="BE21" s="83">
        <f t="shared" si="16"/>
        <v>0</v>
      </c>
      <c r="BF21" s="83">
        <f t="shared" si="17"/>
        <v>0</v>
      </c>
      <c r="BG21" s="83">
        <f t="shared" si="18"/>
        <v>0</v>
      </c>
      <c r="BH21" s="83">
        <f t="shared" si="19"/>
        <v>0</v>
      </c>
      <c r="BI21" s="83">
        <f t="shared" si="20"/>
        <v>0</v>
      </c>
      <c r="BJ21" s="83">
        <f t="shared" si="21"/>
        <v>0</v>
      </c>
      <c r="BK21" s="83">
        <f t="shared" si="22"/>
        <v>0</v>
      </c>
      <c r="BL21" s="84">
        <f t="shared" si="23"/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 t="shared" si="13"/>
        <v>0</v>
      </c>
      <c r="BC22" s="83">
        <f t="shared" si="14"/>
        <v>0</v>
      </c>
      <c r="BD22" s="83">
        <f t="shared" si="15"/>
        <v>0</v>
      </c>
      <c r="BE22" s="83">
        <f t="shared" si="16"/>
        <v>0</v>
      </c>
      <c r="BF22" s="83">
        <f t="shared" si="17"/>
        <v>0</v>
      </c>
      <c r="BG22" s="83">
        <f t="shared" si="18"/>
        <v>0</v>
      </c>
      <c r="BH22" s="83">
        <f t="shared" si="19"/>
        <v>0</v>
      </c>
      <c r="BI22" s="83">
        <f t="shared" si="20"/>
        <v>0</v>
      </c>
      <c r="BJ22" s="83">
        <f t="shared" si="21"/>
        <v>0</v>
      </c>
      <c r="BK22" s="83">
        <f t="shared" si="22"/>
        <v>0</v>
      </c>
      <c r="BL22" s="84">
        <f t="shared" si="23"/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 t="shared" si="13"/>
        <v>0</v>
      </c>
      <c r="BC23" s="83">
        <f t="shared" si="14"/>
        <v>0</v>
      </c>
      <c r="BD23" s="83">
        <f t="shared" si="15"/>
        <v>0</v>
      </c>
      <c r="BE23" s="83">
        <f t="shared" si="16"/>
        <v>0</v>
      </c>
      <c r="BF23" s="83">
        <f t="shared" si="17"/>
        <v>0</v>
      </c>
      <c r="BG23" s="83">
        <f t="shared" si="18"/>
        <v>0</v>
      </c>
      <c r="BH23" s="83">
        <f t="shared" si="19"/>
        <v>0</v>
      </c>
      <c r="BI23" s="83">
        <f t="shared" si="20"/>
        <v>0</v>
      </c>
      <c r="BJ23" s="83">
        <f t="shared" si="21"/>
        <v>0</v>
      </c>
      <c r="BK23" s="83">
        <f t="shared" si="22"/>
        <v>0</v>
      </c>
      <c r="BL23" s="84">
        <f t="shared" si="23"/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 t="shared" si="13"/>
        <v>0</v>
      </c>
      <c r="BC24" s="83">
        <f t="shared" si="14"/>
        <v>0</v>
      </c>
      <c r="BD24" s="83">
        <f t="shared" si="15"/>
        <v>0</v>
      </c>
      <c r="BE24" s="83">
        <f t="shared" si="16"/>
        <v>0</v>
      </c>
      <c r="BF24" s="83">
        <f t="shared" si="17"/>
        <v>0</v>
      </c>
      <c r="BG24" s="83">
        <f t="shared" si="18"/>
        <v>0</v>
      </c>
      <c r="BH24" s="83">
        <f t="shared" si="19"/>
        <v>0</v>
      </c>
      <c r="BI24" s="83">
        <f t="shared" si="20"/>
        <v>0</v>
      </c>
      <c r="BJ24" s="83">
        <f t="shared" si="21"/>
        <v>0</v>
      </c>
      <c r="BK24" s="83">
        <f t="shared" si="22"/>
        <v>0</v>
      </c>
      <c r="BL24" s="84">
        <f t="shared" si="23"/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 t="shared" si="13"/>
        <v>0</v>
      </c>
      <c r="BC25" s="83">
        <f t="shared" si="14"/>
        <v>0</v>
      </c>
      <c r="BD25" s="83">
        <f t="shared" si="15"/>
        <v>0</v>
      </c>
      <c r="BE25" s="83">
        <f t="shared" si="16"/>
        <v>0</v>
      </c>
      <c r="BF25" s="83">
        <f t="shared" si="17"/>
        <v>0</v>
      </c>
      <c r="BG25" s="83">
        <f t="shared" si="18"/>
        <v>0</v>
      </c>
      <c r="BH25" s="83">
        <f t="shared" si="19"/>
        <v>0</v>
      </c>
      <c r="BI25" s="83">
        <f t="shared" si="20"/>
        <v>0</v>
      </c>
      <c r="BJ25" s="83">
        <f t="shared" si="21"/>
        <v>0</v>
      </c>
      <c r="BK25" s="83">
        <f t="shared" si="22"/>
        <v>0</v>
      </c>
      <c r="BL25" s="84">
        <f t="shared" si="23"/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 t="shared" si="13"/>
        <v>0</v>
      </c>
      <c r="BC26" s="83">
        <f t="shared" si="14"/>
        <v>0</v>
      </c>
      <c r="BD26" s="83">
        <f t="shared" si="15"/>
        <v>0</v>
      </c>
      <c r="BE26" s="83">
        <f t="shared" si="16"/>
        <v>0</v>
      </c>
      <c r="BF26" s="83">
        <f t="shared" si="17"/>
        <v>0</v>
      </c>
      <c r="BG26" s="83">
        <f t="shared" si="18"/>
        <v>0</v>
      </c>
      <c r="BH26" s="83">
        <f t="shared" si="19"/>
        <v>0</v>
      </c>
      <c r="BI26" s="83">
        <f t="shared" si="20"/>
        <v>0</v>
      </c>
      <c r="BJ26" s="83">
        <f t="shared" si="21"/>
        <v>0</v>
      </c>
      <c r="BK26" s="83">
        <f t="shared" si="22"/>
        <v>0</v>
      </c>
      <c r="BL26" s="84">
        <f t="shared" si="23"/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 t="shared" si="13"/>
        <v>0</v>
      </c>
      <c r="BC27" s="83">
        <f t="shared" si="14"/>
        <v>0</v>
      </c>
      <c r="BD27" s="83">
        <f t="shared" si="15"/>
        <v>0</v>
      </c>
      <c r="BE27" s="83">
        <f t="shared" si="16"/>
        <v>0</v>
      </c>
      <c r="BF27" s="83">
        <f t="shared" si="17"/>
        <v>0</v>
      </c>
      <c r="BG27" s="83">
        <f t="shared" si="18"/>
        <v>0</v>
      </c>
      <c r="BH27" s="83">
        <f t="shared" si="19"/>
        <v>0</v>
      </c>
      <c r="BI27" s="83">
        <f t="shared" si="20"/>
        <v>0</v>
      </c>
      <c r="BJ27" s="83">
        <f t="shared" si="21"/>
        <v>0</v>
      </c>
      <c r="BK27" s="83">
        <f t="shared" si="22"/>
        <v>0</v>
      </c>
      <c r="BL27" s="84">
        <f t="shared" si="23"/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 t="shared" si="13"/>
        <v>0</v>
      </c>
      <c r="BC28" s="83">
        <f t="shared" si="14"/>
        <v>0</v>
      </c>
      <c r="BD28" s="83">
        <f t="shared" si="15"/>
        <v>0</v>
      </c>
      <c r="BE28" s="83">
        <f t="shared" si="16"/>
        <v>0</v>
      </c>
      <c r="BF28" s="83">
        <f t="shared" si="17"/>
        <v>0</v>
      </c>
      <c r="BG28" s="83">
        <f t="shared" si="18"/>
        <v>0</v>
      </c>
      <c r="BH28" s="83">
        <f t="shared" si="19"/>
        <v>0</v>
      </c>
      <c r="BI28" s="83">
        <f t="shared" si="20"/>
        <v>0</v>
      </c>
      <c r="BJ28" s="83">
        <f t="shared" si="21"/>
        <v>0</v>
      </c>
      <c r="BK28" s="83">
        <f t="shared" si="22"/>
        <v>0</v>
      </c>
      <c r="BL28" s="84">
        <f t="shared" si="23"/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 t="shared" si="13"/>
        <v>0</v>
      </c>
      <c r="BC29" s="83">
        <f t="shared" si="14"/>
        <v>0</v>
      </c>
      <c r="BD29" s="83">
        <f t="shared" si="15"/>
        <v>0</v>
      </c>
      <c r="BE29" s="83">
        <f t="shared" si="16"/>
        <v>0</v>
      </c>
      <c r="BF29" s="83">
        <f t="shared" si="17"/>
        <v>0</v>
      </c>
      <c r="BG29" s="83">
        <f t="shared" si="18"/>
        <v>0</v>
      </c>
      <c r="BH29" s="83">
        <f t="shared" si="19"/>
        <v>0</v>
      </c>
      <c r="BI29" s="83">
        <f t="shared" si="20"/>
        <v>0</v>
      </c>
      <c r="BJ29" s="83">
        <f t="shared" si="21"/>
        <v>0</v>
      </c>
      <c r="BK29" s="83">
        <f t="shared" si="22"/>
        <v>0</v>
      </c>
      <c r="BL29" s="84">
        <f t="shared" si="23"/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 t="shared" si="13"/>
        <v>0</v>
      </c>
      <c r="BC30" s="83">
        <f t="shared" si="14"/>
        <v>0</v>
      </c>
      <c r="BD30" s="83">
        <f t="shared" si="15"/>
        <v>0</v>
      </c>
      <c r="BE30" s="83">
        <f t="shared" si="16"/>
        <v>0</v>
      </c>
      <c r="BF30" s="83">
        <f t="shared" si="17"/>
        <v>0</v>
      </c>
      <c r="BG30" s="83">
        <f t="shared" si="18"/>
        <v>0</v>
      </c>
      <c r="BH30" s="83">
        <f t="shared" si="19"/>
        <v>0</v>
      </c>
      <c r="BI30" s="83">
        <f t="shared" si="20"/>
        <v>0</v>
      </c>
      <c r="BJ30" s="83">
        <f t="shared" si="21"/>
        <v>0</v>
      </c>
      <c r="BK30" s="83">
        <f t="shared" si="22"/>
        <v>0</v>
      </c>
      <c r="BL30" s="84">
        <f t="shared" si="23"/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 t="shared" si="13"/>
        <v>0</v>
      </c>
      <c r="BC31" s="83">
        <f t="shared" si="14"/>
        <v>0</v>
      </c>
      <c r="BD31" s="83">
        <f t="shared" si="15"/>
        <v>0</v>
      </c>
      <c r="BE31" s="83">
        <f t="shared" si="16"/>
        <v>0</v>
      </c>
      <c r="BF31" s="83">
        <f t="shared" si="17"/>
        <v>0</v>
      </c>
      <c r="BG31" s="83">
        <f t="shared" si="18"/>
        <v>0</v>
      </c>
      <c r="BH31" s="83">
        <f t="shared" si="19"/>
        <v>0</v>
      </c>
      <c r="BI31" s="83">
        <f t="shared" si="20"/>
        <v>0</v>
      </c>
      <c r="BJ31" s="83">
        <f t="shared" si="21"/>
        <v>0</v>
      </c>
      <c r="BK31" s="83">
        <f t="shared" si="22"/>
        <v>0</v>
      </c>
      <c r="BL31" s="84">
        <f t="shared" si="23"/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 t="shared" si="13"/>
        <v>0</v>
      </c>
      <c r="BC32" s="83">
        <f t="shared" si="14"/>
        <v>0</v>
      </c>
      <c r="BD32" s="83">
        <f t="shared" si="15"/>
        <v>0</v>
      </c>
      <c r="BE32" s="83">
        <f t="shared" si="16"/>
        <v>0</v>
      </c>
      <c r="BF32" s="83">
        <f t="shared" si="17"/>
        <v>0</v>
      </c>
      <c r="BG32" s="83">
        <f t="shared" si="18"/>
        <v>0</v>
      </c>
      <c r="BH32" s="83">
        <f t="shared" si="19"/>
        <v>0</v>
      </c>
      <c r="BI32" s="83">
        <f t="shared" si="20"/>
        <v>0</v>
      </c>
      <c r="BJ32" s="83">
        <f t="shared" si="21"/>
        <v>0</v>
      </c>
      <c r="BK32" s="83">
        <f t="shared" si="22"/>
        <v>0</v>
      </c>
      <c r="BL32" s="84">
        <f t="shared" si="23"/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 t="shared" si="13"/>
        <v>0</v>
      </c>
      <c r="BC33" s="83">
        <f t="shared" si="14"/>
        <v>0</v>
      </c>
      <c r="BD33" s="83">
        <f t="shared" si="15"/>
        <v>0</v>
      </c>
      <c r="BE33" s="83">
        <f t="shared" si="16"/>
        <v>0</v>
      </c>
      <c r="BF33" s="83">
        <f t="shared" si="17"/>
        <v>0</v>
      </c>
      <c r="BG33" s="83">
        <f t="shared" si="18"/>
        <v>0</v>
      </c>
      <c r="BH33" s="83">
        <f t="shared" si="19"/>
        <v>0</v>
      </c>
      <c r="BI33" s="83">
        <f t="shared" si="20"/>
        <v>0</v>
      </c>
      <c r="BJ33" s="83">
        <f t="shared" si="21"/>
        <v>0</v>
      </c>
      <c r="BK33" s="83">
        <f t="shared" si="22"/>
        <v>0</v>
      </c>
      <c r="BL33" s="84">
        <f t="shared" si="23"/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 t="shared" si="13"/>
        <v>0</v>
      </c>
      <c r="BC34" s="83">
        <f t="shared" si="14"/>
        <v>0</v>
      </c>
      <c r="BD34" s="83">
        <f t="shared" si="15"/>
        <v>0</v>
      </c>
      <c r="BE34" s="83">
        <f t="shared" si="16"/>
        <v>0</v>
      </c>
      <c r="BF34" s="83">
        <f t="shared" si="17"/>
        <v>0</v>
      </c>
      <c r="BG34" s="83">
        <f t="shared" si="18"/>
        <v>0</v>
      </c>
      <c r="BH34" s="83">
        <f t="shared" si="19"/>
        <v>0</v>
      </c>
      <c r="BI34" s="83">
        <f t="shared" si="20"/>
        <v>0</v>
      </c>
      <c r="BJ34" s="83">
        <f t="shared" si="21"/>
        <v>0</v>
      </c>
      <c r="BK34" s="83">
        <f t="shared" si="22"/>
        <v>0</v>
      </c>
      <c r="BL34" s="84">
        <f t="shared" si="23"/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 t="shared" si="13"/>
        <v>0</v>
      </c>
      <c r="BC35" s="83">
        <f t="shared" si="14"/>
        <v>0</v>
      </c>
      <c r="BD35" s="83">
        <f t="shared" si="15"/>
        <v>0</v>
      </c>
      <c r="BE35" s="83">
        <f t="shared" si="16"/>
        <v>0</v>
      </c>
      <c r="BF35" s="83">
        <f t="shared" si="17"/>
        <v>0</v>
      </c>
      <c r="BG35" s="83">
        <f t="shared" si="18"/>
        <v>0</v>
      </c>
      <c r="BH35" s="83">
        <f t="shared" si="19"/>
        <v>0</v>
      </c>
      <c r="BI35" s="83">
        <f t="shared" si="20"/>
        <v>0</v>
      </c>
      <c r="BJ35" s="83">
        <f t="shared" si="21"/>
        <v>0</v>
      </c>
      <c r="BK35" s="83">
        <f t="shared" si="22"/>
        <v>0</v>
      </c>
      <c r="BL35" s="96">
        <f t="shared" si="23"/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 t="shared" si="13"/>
        <v>0</v>
      </c>
      <c r="BC36" s="83">
        <f t="shared" si="14"/>
        <v>0</v>
      </c>
      <c r="BD36" s="83">
        <f t="shared" si="15"/>
        <v>0</v>
      </c>
      <c r="BE36" s="83">
        <f t="shared" si="16"/>
        <v>0</v>
      </c>
      <c r="BF36" s="83">
        <f t="shared" si="17"/>
        <v>0</v>
      </c>
      <c r="BG36" s="83">
        <f t="shared" si="18"/>
        <v>0</v>
      </c>
      <c r="BH36" s="83">
        <f t="shared" si="19"/>
        <v>0</v>
      </c>
      <c r="BI36" s="83">
        <f t="shared" si="20"/>
        <v>0</v>
      </c>
      <c r="BJ36" s="83">
        <f t="shared" si="21"/>
        <v>0</v>
      </c>
      <c r="BK36" s="83">
        <f t="shared" si="22"/>
        <v>0</v>
      </c>
      <c r="BL36" s="96">
        <f t="shared" si="23"/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 t="shared" si="13"/>
        <v>0</v>
      </c>
      <c r="BC37" s="83">
        <f t="shared" si="14"/>
        <v>0</v>
      </c>
      <c r="BD37" s="83">
        <f t="shared" si="15"/>
        <v>0</v>
      </c>
      <c r="BE37" s="83">
        <f t="shared" si="16"/>
        <v>0</v>
      </c>
      <c r="BF37" s="83">
        <f t="shared" si="17"/>
        <v>0</v>
      </c>
      <c r="BG37" s="83">
        <f t="shared" si="18"/>
        <v>0</v>
      </c>
      <c r="BH37" s="83">
        <f t="shared" si="19"/>
        <v>0</v>
      </c>
      <c r="BI37" s="83">
        <f t="shared" si="20"/>
        <v>0</v>
      </c>
      <c r="BJ37" s="83">
        <f t="shared" si="21"/>
        <v>0</v>
      </c>
      <c r="BK37" s="83">
        <f t="shared" si="22"/>
        <v>0</v>
      </c>
      <c r="BL37" s="96">
        <f t="shared" si="23"/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 t="shared" si="13"/>
        <v>0</v>
      </c>
      <c r="BC38" s="83">
        <f t="shared" si="14"/>
        <v>0</v>
      </c>
      <c r="BD38" s="83">
        <f t="shared" si="15"/>
        <v>0</v>
      </c>
      <c r="BE38" s="83">
        <f t="shared" si="16"/>
        <v>0</v>
      </c>
      <c r="BF38" s="83">
        <f t="shared" si="17"/>
        <v>0</v>
      </c>
      <c r="BG38" s="83">
        <f t="shared" si="18"/>
        <v>0</v>
      </c>
      <c r="BH38" s="83">
        <f t="shared" si="19"/>
        <v>0</v>
      </c>
      <c r="BI38" s="83">
        <f t="shared" si="20"/>
        <v>0</v>
      </c>
      <c r="BJ38" s="83">
        <f t="shared" si="21"/>
        <v>0</v>
      </c>
      <c r="BK38" s="83">
        <f t="shared" si="22"/>
        <v>0</v>
      </c>
      <c r="BL38" s="96">
        <f t="shared" si="23"/>
        <v>0</v>
      </c>
      <c r="BM38" s="71">
        <v>0</v>
      </c>
    </row>
    <row r="39" spans="1:65" s="240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24">IF(AND(V39*24&gt;=11,V39*24&lt;=13.5),IF((W39-V39)*24&gt;=1,1,IF(AND(V39*24&gt;=18.5,V39*24&lt;=22),6,0)),0)</f>
        <v>0</v>
      </c>
      <c r="AP39" s="91">
        <f t="shared" ref="AP39:AP45" si="25">IF(AND(X39*24&gt;=11,X39*24&lt;=13.5),IF((Y39-X39)*24&gt;=1,1,IF(AND(X39*24&gt;=18.5,X39*24&lt;=22),6,0)),0)</f>
        <v>0</v>
      </c>
      <c r="AQ39" s="91">
        <f t="shared" ref="AQ39:AQ45" si="26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27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28">IF(U39*24&gt;11,0,U39)</f>
        <v>0</v>
      </c>
      <c r="AT39" s="94">
        <f t="shared" ref="AT39:AT45" si="29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30">IF(U39&gt;0,IF(AS39&gt;0,IF(AND(AN39&gt;0,AN39=AT39),0,IF(AND(AB39&gt;0,AB39=AT39),AM39,IF(AND(Z39&gt;0,Z39=AT39),AA39,IF(AND(X39&gt;0,X39=AT39),Y39,W39)))),U39),0)</f>
        <v>0</v>
      </c>
      <c r="AV39" s="94">
        <f t="shared" ref="AV39:AV45" si="31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32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33">IF(AW39&gt;0,IF(AND(AN39&gt;0, AN39*24&gt;18.5),AN39,IF(AND(AB39&gt;0,AB39*24&gt;18.5),AB39,IF(AND(Z39&gt;0,Z39*24&gt;18.5),Z39,IF(AND(X39&gt;0,X39*24&gt;18.5),X39,V39)))),0)</f>
        <v>0</v>
      </c>
      <c r="AY39" s="90">
        <f t="shared" ref="AY39:AY45" si="34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35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36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 t="shared" si="13"/>
        <v>0</v>
      </c>
      <c r="BC39" s="83">
        <f t="shared" si="14"/>
        <v>0</v>
      </c>
      <c r="BD39" s="83">
        <f t="shared" si="15"/>
        <v>0</v>
      </c>
      <c r="BE39" s="83">
        <f t="shared" si="16"/>
        <v>0</v>
      </c>
      <c r="BF39" s="83">
        <f t="shared" si="17"/>
        <v>0</v>
      </c>
      <c r="BG39" s="83">
        <f t="shared" si="18"/>
        <v>0</v>
      </c>
      <c r="BH39" s="83">
        <f t="shared" si="19"/>
        <v>0</v>
      </c>
      <c r="BI39" s="83">
        <f t="shared" si="20"/>
        <v>0</v>
      </c>
      <c r="BJ39" s="83">
        <f t="shared" si="21"/>
        <v>0</v>
      </c>
      <c r="BK39" s="83">
        <f t="shared" si="22"/>
        <v>0</v>
      </c>
      <c r="BL39" s="96">
        <f t="shared" si="23"/>
        <v>0</v>
      </c>
      <c r="BM39" s="71">
        <v>0</v>
      </c>
    </row>
    <row r="40" spans="1:65" s="240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24"/>
        <v>0</v>
      </c>
      <c r="AP40" s="91">
        <f t="shared" si="25"/>
        <v>0</v>
      </c>
      <c r="AQ40" s="91">
        <f t="shared" si="26"/>
        <v>0</v>
      </c>
      <c r="AR40" s="92">
        <f t="shared" si="27"/>
        <v>0</v>
      </c>
      <c r="AS40" s="93">
        <f t="shared" si="28"/>
        <v>0</v>
      </c>
      <c r="AT40" s="94">
        <f t="shared" si="29"/>
        <v>0</v>
      </c>
      <c r="AU40" s="94">
        <f t="shared" si="30"/>
        <v>0</v>
      </c>
      <c r="AV40" s="94">
        <f t="shared" si="31"/>
        <v>0</v>
      </c>
      <c r="AW40" s="94">
        <f t="shared" si="32"/>
        <v>0</v>
      </c>
      <c r="AX40" s="94">
        <f t="shared" si="33"/>
        <v>0</v>
      </c>
      <c r="AY40" s="90">
        <f t="shared" si="34"/>
        <v>0</v>
      </c>
      <c r="AZ40" s="95">
        <f t="shared" si="35"/>
        <v>0</v>
      </c>
      <c r="BA40" s="92">
        <f t="shared" si="36"/>
        <v>0</v>
      </c>
      <c r="BB40" s="80">
        <f t="shared" si="13"/>
        <v>0</v>
      </c>
      <c r="BC40" s="83">
        <f t="shared" si="14"/>
        <v>0</v>
      </c>
      <c r="BD40" s="83">
        <f t="shared" si="15"/>
        <v>0</v>
      </c>
      <c r="BE40" s="83">
        <f t="shared" si="16"/>
        <v>0</v>
      </c>
      <c r="BF40" s="83">
        <f t="shared" si="17"/>
        <v>0</v>
      </c>
      <c r="BG40" s="83">
        <f t="shared" si="18"/>
        <v>0</v>
      </c>
      <c r="BH40" s="83">
        <f t="shared" si="19"/>
        <v>0</v>
      </c>
      <c r="BI40" s="83">
        <f t="shared" si="20"/>
        <v>0</v>
      </c>
      <c r="BJ40" s="83">
        <f t="shared" si="21"/>
        <v>0</v>
      </c>
      <c r="BK40" s="83">
        <f t="shared" si="22"/>
        <v>0</v>
      </c>
      <c r="BL40" s="96">
        <f t="shared" si="23"/>
        <v>0</v>
      </c>
      <c r="BM40" s="71">
        <v>0</v>
      </c>
    </row>
    <row r="41" spans="1:65" s="240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24"/>
        <v>0</v>
      </c>
      <c r="AP41" s="91">
        <f t="shared" si="25"/>
        <v>0</v>
      </c>
      <c r="AQ41" s="91">
        <f t="shared" si="26"/>
        <v>0</v>
      </c>
      <c r="AR41" s="92">
        <f t="shared" si="27"/>
        <v>0</v>
      </c>
      <c r="AS41" s="93">
        <f t="shared" si="28"/>
        <v>0</v>
      </c>
      <c r="AT41" s="94">
        <f t="shared" si="29"/>
        <v>0</v>
      </c>
      <c r="AU41" s="94">
        <f t="shared" si="30"/>
        <v>0</v>
      </c>
      <c r="AV41" s="94">
        <f t="shared" si="31"/>
        <v>0</v>
      </c>
      <c r="AW41" s="94">
        <f t="shared" si="32"/>
        <v>0</v>
      </c>
      <c r="AX41" s="94">
        <f t="shared" si="33"/>
        <v>0</v>
      </c>
      <c r="AY41" s="90">
        <f t="shared" si="34"/>
        <v>0</v>
      </c>
      <c r="AZ41" s="95">
        <f t="shared" si="35"/>
        <v>0</v>
      </c>
      <c r="BA41" s="92">
        <f t="shared" si="36"/>
        <v>0</v>
      </c>
      <c r="BB41" s="80">
        <f t="shared" si="13"/>
        <v>0</v>
      </c>
      <c r="BC41" s="83">
        <f t="shared" si="14"/>
        <v>0</v>
      </c>
      <c r="BD41" s="83">
        <f t="shared" si="15"/>
        <v>0</v>
      </c>
      <c r="BE41" s="83">
        <f t="shared" si="16"/>
        <v>0</v>
      </c>
      <c r="BF41" s="83">
        <f t="shared" si="17"/>
        <v>0</v>
      </c>
      <c r="BG41" s="83">
        <f t="shared" si="18"/>
        <v>0</v>
      </c>
      <c r="BH41" s="83">
        <f t="shared" si="19"/>
        <v>0</v>
      </c>
      <c r="BI41" s="83">
        <f t="shared" si="20"/>
        <v>0</v>
      </c>
      <c r="BJ41" s="83">
        <f t="shared" si="21"/>
        <v>0</v>
      </c>
      <c r="BK41" s="83">
        <f t="shared" si="22"/>
        <v>0</v>
      </c>
      <c r="BL41" s="96">
        <f t="shared" si="23"/>
        <v>0</v>
      </c>
      <c r="BM41" s="71">
        <v>0</v>
      </c>
    </row>
    <row r="42" spans="1:65" s="240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24"/>
        <v>0</v>
      </c>
      <c r="AP42" s="91">
        <f t="shared" si="25"/>
        <v>0</v>
      </c>
      <c r="AQ42" s="91">
        <f t="shared" si="26"/>
        <v>0</v>
      </c>
      <c r="AR42" s="92">
        <f t="shared" si="27"/>
        <v>0</v>
      </c>
      <c r="AS42" s="93">
        <f t="shared" si="28"/>
        <v>0</v>
      </c>
      <c r="AT42" s="94">
        <f t="shared" si="29"/>
        <v>0</v>
      </c>
      <c r="AU42" s="94">
        <f t="shared" si="30"/>
        <v>0</v>
      </c>
      <c r="AV42" s="94">
        <f t="shared" si="31"/>
        <v>0</v>
      </c>
      <c r="AW42" s="94">
        <f t="shared" si="32"/>
        <v>0</v>
      </c>
      <c r="AX42" s="94">
        <f t="shared" si="33"/>
        <v>0</v>
      </c>
      <c r="AY42" s="90">
        <f t="shared" si="34"/>
        <v>0</v>
      </c>
      <c r="AZ42" s="95">
        <f t="shared" si="35"/>
        <v>0</v>
      </c>
      <c r="BA42" s="92">
        <f t="shared" si="36"/>
        <v>0</v>
      </c>
      <c r="BB42" s="80">
        <f t="shared" si="13"/>
        <v>0</v>
      </c>
      <c r="BC42" s="83">
        <f t="shared" si="14"/>
        <v>0</v>
      </c>
      <c r="BD42" s="83">
        <f t="shared" si="15"/>
        <v>0</v>
      </c>
      <c r="BE42" s="83">
        <f t="shared" si="16"/>
        <v>0</v>
      </c>
      <c r="BF42" s="83">
        <f t="shared" si="17"/>
        <v>0</v>
      </c>
      <c r="BG42" s="83">
        <f t="shared" si="18"/>
        <v>0</v>
      </c>
      <c r="BH42" s="83">
        <f t="shared" si="19"/>
        <v>0</v>
      </c>
      <c r="BI42" s="83">
        <f t="shared" si="20"/>
        <v>0</v>
      </c>
      <c r="BJ42" s="83">
        <f t="shared" si="21"/>
        <v>0</v>
      </c>
      <c r="BK42" s="83">
        <f t="shared" si="22"/>
        <v>0</v>
      </c>
      <c r="BL42" s="96">
        <f t="shared" si="23"/>
        <v>0</v>
      </c>
      <c r="BM42" s="71">
        <v>0</v>
      </c>
    </row>
    <row r="43" spans="1:65" s="240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24"/>
        <v>0</v>
      </c>
      <c r="AP43" s="91">
        <f t="shared" si="25"/>
        <v>0</v>
      </c>
      <c r="AQ43" s="91">
        <f t="shared" si="26"/>
        <v>0</v>
      </c>
      <c r="AR43" s="92">
        <f t="shared" si="27"/>
        <v>0</v>
      </c>
      <c r="AS43" s="93">
        <f t="shared" si="28"/>
        <v>0</v>
      </c>
      <c r="AT43" s="94">
        <f t="shared" si="29"/>
        <v>0</v>
      </c>
      <c r="AU43" s="94">
        <f t="shared" si="30"/>
        <v>0</v>
      </c>
      <c r="AV43" s="94">
        <f t="shared" si="31"/>
        <v>0</v>
      </c>
      <c r="AW43" s="94">
        <f t="shared" si="32"/>
        <v>0</v>
      </c>
      <c r="AX43" s="94">
        <f t="shared" si="33"/>
        <v>0</v>
      </c>
      <c r="AY43" s="90">
        <f t="shared" si="34"/>
        <v>0</v>
      </c>
      <c r="AZ43" s="95">
        <f t="shared" si="35"/>
        <v>0</v>
      </c>
      <c r="BA43" s="92">
        <f t="shared" si="36"/>
        <v>0</v>
      </c>
      <c r="BB43" s="80">
        <f t="shared" si="13"/>
        <v>0</v>
      </c>
      <c r="BC43" s="83">
        <f t="shared" si="14"/>
        <v>0</v>
      </c>
      <c r="BD43" s="83">
        <f t="shared" si="15"/>
        <v>0</v>
      </c>
      <c r="BE43" s="83">
        <f t="shared" si="16"/>
        <v>0</v>
      </c>
      <c r="BF43" s="83">
        <f t="shared" si="17"/>
        <v>0</v>
      </c>
      <c r="BG43" s="83">
        <f t="shared" si="18"/>
        <v>0</v>
      </c>
      <c r="BH43" s="83">
        <f t="shared" si="19"/>
        <v>0</v>
      </c>
      <c r="BI43" s="83">
        <f t="shared" si="20"/>
        <v>0</v>
      </c>
      <c r="BJ43" s="83">
        <f t="shared" si="21"/>
        <v>0</v>
      </c>
      <c r="BK43" s="83">
        <f t="shared" si="22"/>
        <v>0</v>
      </c>
      <c r="BL43" s="96">
        <f t="shared" si="23"/>
        <v>0</v>
      </c>
      <c r="BM43" s="71">
        <v>0</v>
      </c>
    </row>
    <row r="44" spans="1:65" s="240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24"/>
        <v>0</v>
      </c>
      <c r="AP44" s="91">
        <f t="shared" si="25"/>
        <v>0</v>
      </c>
      <c r="AQ44" s="91">
        <f t="shared" si="26"/>
        <v>0</v>
      </c>
      <c r="AR44" s="92">
        <f t="shared" si="27"/>
        <v>0</v>
      </c>
      <c r="AS44" s="93">
        <f t="shared" si="28"/>
        <v>0</v>
      </c>
      <c r="AT44" s="94">
        <f t="shared" si="29"/>
        <v>0</v>
      </c>
      <c r="AU44" s="94">
        <f t="shared" si="30"/>
        <v>0</v>
      </c>
      <c r="AV44" s="94">
        <f t="shared" si="31"/>
        <v>0</v>
      </c>
      <c r="AW44" s="94">
        <f t="shared" si="32"/>
        <v>0</v>
      </c>
      <c r="AX44" s="94">
        <f t="shared" si="33"/>
        <v>0</v>
      </c>
      <c r="AY44" s="90">
        <f t="shared" si="34"/>
        <v>0</v>
      </c>
      <c r="AZ44" s="95">
        <f t="shared" si="35"/>
        <v>0</v>
      </c>
      <c r="BA44" s="92">
        <f t="shared" si="36"/>
        <v>0</v>
      </c>
      <c r="BB44" s="80">
        <f t="shared" si="13"/>
        <v>0</v>
      </c>
      <c r="BC44" s="83">
        <f t="shared" si="14"/>
        <v>0</v>
      </c>
      <c r="BD44" s="83">
        <f t="shared" si="15"/>
        <v>0</v>
      </c>
      <c r="BE44" s="83">
        <f t="shared" si="16"/>
        <v>0</v>
      </c>
      <c r="BF44" s="83">
        <f t="shared" si="17"/>
        <v>0</v>
      </c>
      <c r="BG44" s="83">
        <f t="shared" si="18"/>
        <v>0</v>
      </c>
      <c r="BH44" s="83">
        <f t="shared" si="19"/>
        <v>0</v>
      </c>
      <c r="BI44" s="83">
        <f t="shared" si="20"/>
        <v>0</v>
      </c>
      <c r="BJ44" s="83">
        <f t="shared" si="21"/>
        <v>0</v>
      </c>
      <c r="BK44" s="83">
        <f t="shared" si="22"/>
        <v>0</v>
      </c>
      <c r="BL44" s="96">
        <f t="shared" si="23"/>
        <v>0</v>
      </c>
      <c r="BM44" s="71">
        <v>0</v>
      </c>
    </row>
    <row r="45" spans="1:65" s="240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24"/>
        <v>0</v>
      </c>
      <c r="AP45" s="91">
        <f t="shared" si="25"/>
        <v>0</v>
      </c>
      <c r="AQ45" s="91">
        <f t="shared" si="26"/>
        <v>0</v>
      </c>
      <c r="AR45" s="92">
        <f t="shared" si="27"/>
        <v>0</v>
      </c>
      <c r="AS45" s="93">
        <f t="shared" si="28"/>
        <v>0</v>
      </c>
      <c r="AT45" s="94">
        <f t="shared" si="29"/>
        <v>0</v>
      </c>
      <c r="AU45" s="94">
        <f t="shared" si="30"/>
        <v>0</v>
      </c>
      <c r="AV45" s="94">
        <f t="shared" si="31"/>
        <v>0</v>
      </c>
      <c r="AW45" s="94">
        <f t="shared" si="32"/>
        <v>0</v>
      </c>
      <c r="AX45" s="94">
        <f t="shared" si="33"/>
        <v>0</v>
      </c>
      <c r="AY45" s="90">
        <f t="shared" si="34"/>
        <v>0</v>
      </c>
      <c r="AZ45" s="95">
        <f t="shared" si="35"/>
        <v>0</v>
      </c>
      <c r="BA45" s="92">
        <f t="shared" si="36"/>
        <v>0</v>
      </c>
      <c r="BB45" s="80">
        <f t="shared" si="13"/>
        <v>0</v>
      </c>
      <c r="BC45" s="83">
        <f t="shared" si="14"/>
        <v>0</v>
      </c>
      <c r="BD45" s="83">
        <f t="shared" si="15"/>
        <v>0</v>
      </c>
      <c r="BE45" s="83">
        <f t="shared" si="16"/>
        <v>0</v>
      </c>
      <c r="BF45" s="83">
        <f t="shared" si="17"/>
        <v>0</v>
      </c>
      <c r="BG45" s="83">
        <f t="shared" si="18"/>
        <v>0</v>
      </c>
      <c r="BH45" s="83">
        <f t="shared" si="19"/>
        <v>0</v>
      </c>
      <c r="BI45" s="83">
        <f t="shared" si="20"/>
        <v>0</v>
      </c>
      <c r="BJ45" s="83">
        <f t="shared" si="21"/>
        <v>0</v>
      </c>
      <c r="BK45" s="83">
        <f t="shared" si="22"/>
        <v>0</v>
      </c>
      <c r="BL45" s="96">
        <f t="shared" si="23"/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 t="shared" si="13"/>
        <v>0</v>
      </c>
      <c r="BC46" s="108">
        <f t="shared" si="14"/>
        <v>0</v>
      </c>
      <c r="BD46" s="108">
        <f t="shared" si="15"/>
        <v>0</v>
      </c>
      <c r="BE46" s="108">
        <f t="shared" si="16"/>
        <v>0</v>
      </c>
      <c r="BF46" s="108">
        <f t="shared" si="17"/>
        <v>0</v>
      </c>
      <c r="BG46" s="108">
        <f t="shared" si="18"/>
        <v>0</v>
      </c>
      <c r="BH46" s="108">
        <f t="shared" si="19"/>
        <v>0</v>
      </c>
      <c r="BI46" s="108">
        <f t="shared" si="20"/>
        <v>0</v>
      </c>
      <c r="BJ46" s="108">
        <f t="shared" si="21"/>
        <v>0</v>
      </c>
      <c r="BK46" s="109">
        <f t="shared" si="22"/>
        <v>0</v>
      </c>
      <c r="BL46" s="110">
        <f t="shared" si="23"/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 t="shared" si="13"/>
        <v>0</v>
      </c>
      <c r="BC47" s="114">
        <f t="shared" si="14"/>
        <v>0</v>
      </c>
      <c r="BD47" s="114">
        <f t="shared" si="15"/>
        <v>0</v>
      </c>
      <c r="BE47" s="114">
        <f t="shared" si="16"/>
        <v>0</v>
      </c>
      <c r="BF47" s="114">
        <f t="shared" si="17"/>
        <v>0</v>
      </c>
      <c r="BG47" s="114">
        <f t="shared" si="18"/>
        <v>0</v>
      </c>
      <c r="BH47" s="114">
        <f t="shared" si="19"/>
        <v>0</v>
      </c>
      <c r="BI47" s="114">
        <f t="shared" si="20"/>
        <v>0</v>
      </c>
      <c r="BJ47" s="114">
        <f t="shared" si="21"/>
        <v>0</v>
      </c>
      <c r="BK47" s="114">
        <f t="shared" si="22"/>
        <v>0</v>
      </c>
      <c r="BL47" s="70">
        <f t="shared" si="23"/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 t="shared" si="13"/>
        <v>0</v>
      </c>
      <c r="BC48" s="83">
        <f t="shared" si="14"/>
        <v>0</v>
      </c>
      <c r="BD48" s="83">
        <f t="shared" si="15"/>
        <v>0</v>
      </c>
      <c r="BE48" s="83">
        <f t="shared" si="16"/>
        <v>0</v>
      </c>
      <c r="BF48" s="83">
        <f t="shared" si="17"/>
        <v>0</v>
      </c>
      <c r="BG48" s="83">
        <f t="shared" si="18"/>
        <v>0</v>
      </c>
      <c r="BH48" s="83">
        <f t="shared" si="19"/>
        <v>0</v>
      </c>
      <c r="BI48" s="83">
        <f t="shared" si="20"/>
        <v>0</v>
      </c>
      <c r="BJ48" s="83">
        <f t="shared" si="21"/>
        <v>0</v>
      </c>
      <c r="BK48" s="83">
        <f t="shared" si="22"/>
        <v>0</v>
      </c>
      <c r="BL48" s="84">
        <f t="shared" si="23"/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 t="shared" si="13"/>
        <v>0</v>
      </c>
      <c r="BC49" s="83">
        <f t="shared" si="14"/>
        <v>0</v>
      </c>
      <c r="BD49" s="83">
        <f t="shared" si="15"/>
        <v>0</v>
      </c>
      <c r="BE49" s="83">
        <f t="shared" si="16"/>
        <v>0</v>
      </c>
      <c r="BF49" s="83">
        <f t="shared" si="17"/>
        <v>0</v>
      </c>
      <c r="BG49" s="83">
        <f t="shared" si="18"/>
        <v>0</v>
      </c>
      <c r="BH49" s="83">
        <f t="shared" si="19"/>
        <v>0</v>
      </c>
      <c r="BI49" s="83">
        <f t="shared" si="20"/>
        <v>0</v>
      </c>
      <c r="BJ49" s="83">
        <f t="shared" si="21"/>
        <v>0</v>
      </c>
      <c r="BK49" s="83">
        <f t="shared" si="22"/>
        <v>0</v>
      </c>
      <c r="BL49" s="84">
        <f t="shared" si="23"/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71</v>
      </c>
      <c r="AU50" s="116" t="s">
        <v>72</v>
      </c>
      <c r="AV50" s="116" t="s">
        <v>73</v>
      </c>
      <c r="AW50" s="116" t="s">
        <v>74</v>
      </c>
      <c r="AX50" s="116"/>
      <c r="AY50" s="117">
        <f>SUM(AY5:AY49)</f>
        <v>0</v>
      </c>
      <c r="AZ50" s="118">
        <f>SUM(AZ5:AZ49)</f>
        <v>0</v>
      </c>
      <c r="BA50" s="119">
        <f>SUM(BA5:BA49)</f>
        <v>3</v>
      </c>
      <c r="BB50" s="120" t="str">
        <f t="shared" ref="BB50:BL50" si="37">TRUNC(SUM(BB5:BB49)*24,0) &amp; ":" &amp; RIGHT("00"&amp;ROUND(((SUM(BB5:BB49)*24)-TRUNC(SUM(BB5:BB49)*24,0))*60,2),2)</f>
        <v>8:06</v>
      </c>
      <c r="BC50" s="121" t="str">
        <f t="shared" si="37"/>
        <v>10:47</v>
      </c>
      <c r="BD50" s="121" t="str">
        <f t="shared" si="37"/>
        <v>3:22</v>
      </c>
      <c r="BE50" s="121" t="str">
        <f t="shared" si="37"/>
        <v>0:00</v>
      </c>
      <c r="BF50" s="121" t="str">
        <f t="shared" si="37"/>
        <v>0:00</v>
      </c>
      <c r="BG50" s="121" t="str">
        <f t="shared" si="37"/>
        <v>0:00</v>
      </c>
      <c r="BH50" s="121" t="str">
        <f t="shared" si="37"/>
        <v>0:00</v>
      </c>
      <c r="BI50" s="121" t="str">
        <f t="shared" si="37"/>
        <v>0:00</v>
      </c>
      <c r="BJ50" s="121" t="str">
        <f t="shared" si="37"/>
        <v>0:00</v>
      </c>
      <c r="BK50" s="122" t="str">
        <f t="shared" si="37"/>
        <v>0:00</v>
      </c>
      <c r="BL50" s="123" t="str">
        <f t="shared" si="37"/>
        <v>22:15</v>
      </c>
      <c r="BM50" s="124"/>
    </row>
    <row r="52" spans="1:65" x14ac:dyDescent="0.25">
      <c r="C52" s="439"/>
      <c r="D52" s="439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52:D52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68"/>
  <sheetViews>
    <sheetView workbookViewId="0">
      <selection activeCell="B13" sqref="B13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111</v>
      </c>
      <c r="B1" t="s">
        <v>12</v>
      </c>
      <c r="C1" t="s">
        <v>125</v>
      </c>
      <c r="G1" s="190" t="s">
        <v>111</v>
      </c>
      <c r="H1" s="190" t="s">
        <v>12</v>
      </c>
    </row>
    <row r="2" spans="1:8" s="189" customFormat="1" x14ac:dyDescent="0.25">
      <c r="A2" s="189" t="s">
        <v>113</v>
      </c>
      <c r="B2" s="189" t="s">
        <v>112</v>
      </c>
      <c r="C2" s="189">
        <v>0.3</v>
      </c>
      <c r="G2" s="189" t="s">
        <v>154</v>
      </c>
      <c r="H2" s="189" t="s">
        <v>155</v>
      </c>
    </row>
    <row r="3" spans="1:8" s="189" customFormat="1" x14ac:dyDescent="0.25">
      <c r="A3" s="189" t="s">
        <v>114</v>
      </c>
      <c r="B3" s="189" t="s">
        <v>134</v>
      </c>
      <c r="C3" s="189">
        <v>0.2</v>
      </c>
      <c r="G3" s="189" t="s">
        <v>156</v>
      </c>
      <c r="H3" s="189" t="s">
        <v>122</v>
      </c>
    </row>
    <row r="4" spans="1:8" s="189" customFormat="1" x14ac:dyDescent="0.25">
      <c r="A4" s="189" t="s">
        <v>115</v>
      </c>
      <c r="B4" s="189" t="s">
        <v>116</v>
      </c>
      <c r="C4" s="189">
        <v>0.5</v>
      </c>
      <c r="G4" s="189" t="s">
        <v>158</v>
      </c>
      <c r="H4" s="189" t="s">
        <v>159</v>
      </c>
    </row>
    <row r="5" spans="1:8" s="189" customFormat="1" x14ac:dyDescent="0.25">
      <c r="A5" s="189" t="s">
        <v>117</v>
      </c>
      <c r="B5" s="189" t="s">
        <v>126</v>
      </c>
      <c r="C5" s="189">
        <v>0.6</v>
      </c>
      <c r="G5" s="189" t="s">
        <v>158</v>
      </c>
      <c r="H5" s="189" t="s">
        <v>166</v>
      </c>
    </row>
    <row r="6" spans="1:8" s="189" customFormat="1" x14ac:dyDescent="0.25">
      <c r="A6" s="189" t="s">
        <v>118</v>
      </c>
      <c r="B6" s="189" t="s">
        <v>127</v>
      </c>
      <c r="C6" s="189">
        <v>0.35</v>
      </c>
      <c r="G6" s="189" t="s">
        <v>169</v>
      </c>
      <c r="H6" s="189" t="s">
        <v>170</v>
      </c>
    </row>
    <row r="7" spans="1:8" s="189" customFormat="1" x14ac:dyDescent="0.25">
      <c r="A7" s="189" t="s">
        <v>119</v>
      </c>
      <c r="B7" s="189" t="s">
        <v>120</v>
      </c>
      <c r="C7" s="189">
        <v>0.25</v>
      </c>
      <c r="G7" s="189" t="s">
        <v>172</v>
      </c>
      <c r="H7" s="189" t="s">
        <v>173</v>
      </c>
    </row>
    <row r="8" spans="1:8" s="189" customFormat="1" x14ac:dyDescent="0.25">
      <c r="A8" s="189" t="s">
        <v>121</v>
      </c>
      <c r="B8" s="189" t="s">
        <v>122</v>
      </c>
      <c r="C8" s="189">
        <v>0.5</v>
      </c>
      <c r="G8" s="189" t="s">
        <v>174</v>
      </c>
      <c r="H8" s="189" t="s">
        <v>175</v>
      </c>
    </row>
    <row r="9" spans="1:8" s="189" customFormat="1" x14ac:dyDescent="0.25">
      <c r="A9" s="189" t="s">
        <v>128</v>
      </c>
      <c r="B9" s="189" t="s">
        <v>129</v>
      </c>
      <c r="C9" s="189">
        <v>6.5</v>
      </c>
      <c r="G9" s="189" t="s">
        <v>158</v>
      </c>
      <c r="H9" s="189" t="s">
        <v>176</v>
      </c>
    </row>
    <row r="10" spans="1:8" s="189" customFormat="1" x14ac:dyDescent="0.25">
      <c r="A10" s="189" t="s">
        <v>130</v>
      </c>
      <c r="B10" s="189" t="s">
        <v>131</v>
      </c>
      <c r="C10" s="189">
        <v>1.5</v>
      </c>
      <c r="G10" s="189" t="s">
        <v>177</v>
      </c>
      <c r="H10" s="189" t="s">
        <v>178</v>
      </c>
    </row>
    <row r="11" spans="1:8" s="189" customFormat="1" x14ac:dyDescent="0.25">
      <c r="A11" s="189" t="s">
        <v>133</v>
      </c>
      <c r="B11" s="189" t="s">
        <v>132</v>
      </c>
      <c r="C11" s="189">
        <v>2.5</v>
      </c>
      <c r="G11" s="189" t="s">
        <v>179</v>
      </c>
      <c r="H11" s="189" t="s">
        <v>180</v>
      </c>
    </row>
    <row r="12" spans="1:8" s="189" customFormat="1" x14ac:dyDescent="0.25">
      <c r="A12" s="189" t="s">
        <v>135</v>
      </c>
      <c r="B12" s="189" t="s">
        <v>136</v>
      </c>
      <c r="C12" s="189">
        <v>32.5</v>
      </c>
      <c r="G12" s="189" t="s">
        <v>169</v>
      </c>
      <c r="H12" s="189" t="s">
        <v>181</v>
      </c>
    </row>
    <row r="13" spans="1:8" s="189" customFormat="1" x14ac:dyDescent="0.25">
      <c r="A13" s="189" t="s">
        <v>137</v>
      </c>
      <c r="B13" s="189" t="s">
        <v>138</v>
      </c>
      <c r="C13" s="189">
        <v>0.25</v>
      </c>
      <c r="G13" s="189" t="s">
        <v>128</v>
      </c>
      <c r="H13" s="189" t="s">
        <v>182</v>
      </c>
    </row>
    <row r="14" spans="1:8" s="189" customFormat="1" x14ac:dyDescent="0.25">
      <c r="A14" s="189" t="s">
        <v>139</v>
      </c>
      <c r="B14" s="189" t="s">
        <v>140</v>
      </c>
      <c r="C14" s="189">
        <v>1.1000000000000001</v>
      </c>
      <c r="G14" s="189" t="s">
        <v>169</v>
      </c>
      <c r="H14" s="189" t="s">
        <v>183</v>
      </c>
    </row>
    <row r="15" spans="1:8" x14ac:dyDescent="0.25">
      <c r="G15" t="s">
        <v>184</v>
      </c>
      <c r="H15" t="s">
        <v>185</v>
      </c>
    </row>
    <row r="16" spans="1:8" x14ac:dyDescent="0.25">
      <c r="G16" t="s">
        <v>186</v>
      </c>
      <c r="H16" t="s">
        <v>187</v>
      </c>
    </row>
    <row r="17" spans="7:8" x14ac:dyDescent="0.25">
      <c r="G17" t="s">
        <v>188</v>
      </c>
      <c r="H17" t="s">
        <v>189</v>
      </c>
    </row>
    <row r="18" spans="7:8" x14ac:dyDescent="0.25">
      <c r="G18" t="s">
        <v>190</v>
      </c>
      <c r="H18" t="s">
        <v>191</v>
      </c>
    </row>
    <row r="19" spans="7:8" x14ac:dyDescent="0.25">
      <c r="G19" t="s">
        <v>188</v>
      </c>
      <c r="H19" t="s">
        <v>192</v>
      </c>
    </row>
    <row r="20" spans="7:8" x14ac:dyDescent="0.25">
      <c r="G20" t="s">
        <v>169</v>
      </c>
      <c r="H20" t="s">
        <v>193</v>
      </c>
    </row>
    <row r="21" spans="7:8" x14ac:dyDescent="0.25">
      <c r="G21" t="s">
        <v>194</v>
      </c>
      <c r="H21" t="s">
        <v>195</v>
      </c>
    </row>
    <row r="22" spans="7:8" x14ac:dyDescent="0.25">
      <c r="G22" t="s">
        <v>196</v>
      </c>
      <c r="H22" t="s">
        <v>197</v>
      </c>
    </row>
    <row r="23" spans="7:8" x14ac:dyDescent="0.25">
      <c r="G23" t="s">
        <v>198</v>
      </c>
      <c r="H23" t="s">
        <v>199</v>
      </c>
    </row>
    <row r="24" spans="7:8" x14ac:dyDescent="0.25">
      <c r="G24" t="s">
        <v>200</v>
      </c>
      <c r="H24" t="s">
        <v>201</v>
      </c>
    </row>
    <row r="25" spans="7:8" x14ac:dyDescent="0.25">
      <c r="G25" t="s">
        <v>202</v>
      </c>
      <c r="H25" t="s">
        <v>203</v>
      </c>
    </row>
    <row r="26" spans="7:8" x14ac:dyDescent="0.25">
      <c r="G26" t="s">
        <v>202</v>
      </c>
      <c r="H26" t="s">
        <v>204</v>
      </c>
    </row>
    <row r="27" spans="7:8" x14ac:dyDescent="0.25">
      <c r="G27" t="s">
        <v>205</v>
      </c>
      <c r="H27" t="s">
        <v>206</v>
      </c>
    </row>
    <row r="28" spans="7:8" x14ac:dyDescent="0.25">
      <c r="G28" t="s">
        <v>207</v>
      </c>
      <c r="H28" t="s">
        <v>208</v>
      </c>
    </row>
    <row r="29" spans="7:8" x14ac:dyDescent="0.25">
      <c r="G29" t="s">
        <v>169</v>
      </c>
      <c r="H29" t="s">
        <v>209</v>
      </c>
    </row>
    <row r="30" spans="7:8" x14ac:dyDescent="0.25">
      <c r="G30" t="s">
        <v>128</v>
      </c>
      <c r="H30" t="s">
        <v>210</v>
      </c>
    </row>
    <row r="31" spans="7:8" x14ac:dyDescent="0.25">
      <c r="G31" t="s">
        <v>156</v>
      </c>
      <c r="H31" t="s">
        <v>211</v>
      </c>
    </row>
    <row r="32" spans="7:8" x14ac:dyDescent="0.25">
      <c r="G32" t="s">
        <v>184</v>
      </c>
      <c r="H32" t="s">
        <v>212</v>
      </c>
    </row>
    <row r="33" spans="7:8" x14ac:dyDescent="0.25">
      <c r="G33" t="s">
        <v>190</v>
      </c>
      <c r="H33" t="s">
        <v>213</v>
      </c>
    </row>
    <row r="34" spans="7:8" x14ac:dyDescent="0.25">
      <c r="G34" t="s">
        <v>202</v>
      </c>
      <c r="H34" t="s">
        <v>214</v>
      </c>
    </row>
    <row r="35" spans="7:8" x14ac:dyDescent="0.25">
      <c r="G35" t="s">
        <v>205</v>
      </c>
      <c r="H35" t="s">
        <v>215</v>
      </c>
    </row>
    <row r="36" spans="7:8" x14ac:dyDescent="0.25">
      <c r="G36" t="s">
        <v>216</v>
      </c>
      <c r="H36" t="s">
        <v>217</v>
      </c>
    </row>
    <row r="37" spans="7:8" x14ac:dyDescent="0.25">
      <c r="G37" t="s">
        <v>200</v>
      </c>
      <c r="H37" t="s">
        <v>218</v>
      </c>
    </row>
    <row r="38" spans="7:8" x14ac:dyDescent="0.25">
      <c r="G38" t="s">
        <v>188</v>
      </c>
      <c r="H38" t="s">
        <v>219</v>
      </c>
    </row>
    <row r="39" spans="7:8" x14ac:dyDescent="0.25">
      <c r="G39" t="s">
        <v>220</v>
      </c>
      <c r="H39" t="s">
        <v>221</v>
      </c>
    </row>
    <row r="40" spans="7:8" x14ac:dyDescent="0.25">
      <c r="G40" t="s">
        <v>205</v>
      </c>
      <c r="H40" t="s">
        <v>222</v>
      </c>
    </row>
    <row r="41" spans="7:8" x14ac:dyDescent="0.25">
      <c r="G41" t="s">
        <v>223</v>
      </c>
      <c r="H41" t="s">
        <v>224</v>
      </c>
    </row>
    <row r="42" spans="7:8" x14ac:dyDescent="0.25">
      <c r="G42" t="s">
        <v>172</v>
      </c>
      <c r="H42" t="s">
        <v>225</v>
      </c>
    </row>
    <row r="43" spans="7:8" x14ac:dyDescent="0.25">
      <c r="G43" t="s">
        <v>226</v>
      </c>
      <c r="H43" t="s">
        <v>227</v>
      </c>
    </row>
    <row r="44" spans="7:8" x14ac:dyDescent="0.25">
      <c r="G44" t="s">
        <v>158</v>
      </c>
      <c r="H44" t="s">
        <v>228</v>
      </c>
    </row>
    <row r="45" spans="7:8" x14ac:dyDescent="0.25">
      <c r="G45" t="s">
        <v>229</v>
      </c>
      <c r="H45" t="s">
        <v>230</v>
      </c>
    </row>
    <row r="46" spans="7:8" x14ac:dyDescent="0.25">
      <c r="G46" t="s">
        <v>231</v>
      </c>
      <c r="H46" t="s">
        <v>232</v>
      </c>
    </row>
    <row r="47" spans="7:8" x14ac:dyDescent="0.25">
      <c r="G47" t="s">
        <v>233</v>
      </c>
      <c r="H47" t="s">
        <v>234</v>
      </c>
    </row>
    <row r="48" spans="7:8" x14ac:dyDescent="0.25">
      <c r="G48" t="s">
        <v>202</v>
      </c>
      <c r="H48" t="s">
        <v>236</v>
      </c>
    </row>
    <row r="49" spans="7:8" x14ac:dyDescent="0.25">
      <c r="G49" t="s">
        <v>200</v>
      </c>
      <c r="H49" t="s">
        <v>237</v>
      </c>
    </row>
    <row r="50" spans="7:8" x14ac:dyDescent="0.25">
      <c r="G50" t="s">
        <v>238</v>
      </c>
      <c r="H50" t="s">
        <v>239</v>
      </c>
    </row>
    <row r="51" spans="7:8" x14ac:dyDescent="0.25">
      <c r="G51" t="s">
        <v>188</v>
      </c>
      <c r="H51" t="s">
        <v>240</v>
      </c>
    </row>
    <row r="52" spans="7:8" x14ac:dyDescent="0.25">
      <c r="G52" t="s">
        <v>188</v>
      </c>
      <c r="H52" t="s">
        <v>241</v>
      </c>
    </row>
    <row r="53" spans="7:8" x14ac:dyDescent="0.25">
      <c r="G53" t="s">
        <v>205</v>
      </c>
      <c r="H53" t="s">
        <v>242</v>
      </c>
    </row>
    <row r="54" spans="7:8" x14ac:dyDescent="0.25">
      <c r="G54" t="s">
        <v>190</v>
      </c>
      <c r="H54" t="s">
        <v>243</v>
      </c>
    </row>
    <row r="55" spans="7:8" x14ac:dyDescent="0.25">
      <c r="G55" t="s">
        <v>128</v>
      </c>
      <c r="H55" t="s">
        <v>244</v>
      </c>
    </row>
    <row r="56" spans="7:8" x14ac:dyDescent="0.25">
      <c r="G56" t="s">
        <v>245</v>
      </c>
      <c r="H56" t="s">
        <v>246</v>
      </c>
    </row>
    <row r="57" spans="7:8" x14ac:dyDescent="0.25">
      <c r="G57" t="s">
        <v>169</v>
      </c>
      <c r="H57" t="s">
        <v>247</v>
      </c>
    </row>
    <row r="58" spans="7:8" x14ac:dyDescent="0.25">
      <c r="G58" t="s">
        <v>248</v>
      </c>
      <c r="H58" t="s">
        <v>249</v>
      </c>
    </row>
    <row r="59" spans="7:8" x14ac:dyDescent="0.25">
      <c r="G59" t="s">
        <v>233</v>
      </c>
      <c r="H59" t="s">
        <v>250</v>
      </c>
    </row>
    <row r="60" spans="7:8" x14ac:dyDescent="0.25">
      <c r="G60" t="s">
        <v>233</v>
      </c>
      <c r="H60" t="s">
        <v>251</v>
      </c>
    </row>
    <row r="61" spans="7:8" x14ac:dyDescent="0.25">
      <c r="G61" t="s">
        <v>174</v>
      </c>
      <c r="H61" t="s">
        <v>252</v>
      </c>
    </row>
    <row r="62" spans="7:8" x14ac:dyDescent="0.25">
      <c r="G62" t="s">
        <v>198</v>
      </c>
      <c r="H62" t="s">
        <v>253</v>
      </c>
    </row>
    <row r="63" spans="7:8" x14ac:dyDescent="0.25">
      <c r="G63" t="s">
        <v>233</v>
      </c>
      <c r="H63" t="s">
        <v>254</v>
      </c>
    </row>
    <row r="64" spans="7:8" x14ac:dyDescent="0.25">
      <c r="G64" t="s">
        <v>233</v>
      </c>
      <c r="H64" t="s">
        <v>255</v>
      </c>
    </row>
    <row r="65" spans="7:8" x14ac:dyDescent="0.25">
      <c r="G65" t="s">
        <v>128</v>
      </c>
      <c r="H65" t="s">
        <v>256</v>
      </c>
    </row>
    <row r="66" spans="7:8" x14ac:dyDescent="0.25">
      <c r="G66" t="s">
        <v>169</v>
      </c>
      <c r="H66" t="s">
        <v>259</v>
      </c>
    </row>
    <row r="67" spans="7:8" x14ac:dyDescent="0.25">
      <c r="G67" t="s">
        <v>260</v>
      </c>
      <c r="H67" t="s">
        <v>261</v>
      </c>
    </row>
    <row r="68" spans="7:8" x14ac:dyDescent="0.25">
      <c r="G68" t="s">
        <v>262</v>
      </c>
      <c r="H68" t="s">
        <v>263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B1:S42"/>
  <sheetViews>
    <sheetView workbookViewId="0">
      <selection activeCell="P16" sqref="P16:P18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4" width="7.42578125" style="314" customWidth="1"/>
    <col min="5" max="8" width="7.140625" style="24" customWidth="1"/>
    <col min="9" max="9" width="4.7109375" style="24" customWidth="1"/>
    <col min="10" max="12" width="7.140625" style="24" customWidth="1"/>
    <col min="13" max="13" width="4.7109375" style="24" customWidth="1"/>
    <col min="14" max="14" width="7.140625" style="24" customWidth="1"/>
    <col min="15" max="15" width="7.5703125" style="24" customWidth="1"/>
    <col min="16" max="16" width="11.140625" style="314" customWidth="1"/>
    <col min="17" max="17" width="11.140625" style="24" customWidth="1"/>
    <col min="18" max="18" width="6.28515625" style="24" customWidth="1"/>
    <col min="19" max="16384" width="11.42578125" style="24"/>
  </cols>
  <sheetData>
    <row r="1" spans="2:19" x14ac:dyDescent="0.25">
      <c r="B1" s="479" t="s">
        <v>87</v>
      </c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</row>
    <row r="2" spans="2:19" x14ac:dyDescent="0.25">
      <c r="B2" s="405" t="s">
        <v>164</v>
      </c>
      <c r="C2" s="405"/>
      <c r="D2" s="405"/>
      <c r="E2" s="405"/>
      <c r="F2" s="405"/>
      <c r="G2" s="405"/>
      <c r="H2" s="405"/>
      <c r="I2" s="405"/>
      <c r="J2" s="405"/>
      <c r="K2" s="405"/>
      <c r="L2" s="405"/>
      <c r="M2" s="405"/>
      <c r="N2" s="405"/>
      <c r="O2" s="405"/>
      <c r="P2" s="405"/>
      <c r="Q2" s="405"/>
    </row>
    <row r="3" spans="2:19" x14ac:dyDescent="0.25">
      <c r="B3" s="24" t="s">
        <v>88</v>
      </c>
      <c r="C3" s="131" t="s">
        <v>163</v>
      </c>
      <c r="D3" s="131"/>
    </row>
    <row r="4" spans="2:19" x14ac:dyDescent="0.25">
      <c r="B4" s="24" t="s">
        <v>89</v>
      </c>
      <c r="E4" s="24">
        <f>Inter!I24</f>
        <v>0</v>
      </c>
      <c r="K4" s="24" t="s">
        <v>267</v>
      </c>
    </row>
    <row r="5" spans="2:19" ht="15.75" thickBot="1" x14ac:dyDescent="0.3"/>
    <row r="6" spans="2:19" ht="15.75" customHeight="1" thickBot="1" x14ac:dyDescent="0.3">
      <c r="C6" s="480" t="s">
        <v>90</v>
      </c>
      <c r="D6" s="494" t="s">
        <v>258</v>
      </c>
      <c r="E6" s="483" t="s">
        <v>91</v>
      </c>
      <c r="F6" s="483" t="s">
        <v>4</v>
      </c>
      <c r="G6" s="486"/>
      <c r="H6" s="486"/>
      <c r="I6" s="488" t="s">
        <v>92</v>
      </c>
      <c r="J6" s="490" t="s">
        <v>4</v>
      </c>
      <c r="K6" s="486"/>
      <c r="L6" s="486"/>
      <c r="M6" s="488" t="s">
        <v>92</v>
      </c>
      <c r="N6" s="492" t="s">
        <v>93</v>
      </c>
      <c r="O6" s="477" t="s">
        <v>160</v>
      </c>
      <c r="P6" s="497" t="s">
        <v>161</v>
      </c>
      <c r="Q6" s="135"/>
    </row>
    <row r="7" spans="2:19" ht="15.75" thickBot="1" x14ac:dyDescent="0.3">
      <c r="C7" s="481"/>
      <c r="D7" s="495"/>
      <c r="E7" s="484"/>
      <c r="F7" s="487"/>
      <c r="G7" s="487"/>
      <c r="H7" s="487"/>
      <c r="I7" s="489"/>
      <c r="J7" s="491"/>
      <c r="K7" s="487"/>
      <c r="L7" s="487"/>
      <c r="M7" s="489"/>
      <c r="N7" s="493"/>
      <c r="O7" s="477"/>
      <c r="P7" s="498"/>
      <c r="Q7" s="135"/>
    </row>
    <row r="8" spans="2:19" ht="15.75" thickBot="1" x14ac:dyDescent="0.3">
      <c r="C8" s="481"/>
      <c r="D8" s="495"/>
      <c r="E8" s="484"/>
      <c r="F8" s="487"/>
      <c r="G8" s="487"/>
      <c r="H8" s="487"/>
      <c r="I8" s="489"/>
      <c r="J8" s="491"/>
      <c r="K8" s="487"/>
      <c r="L8" s="487"/>
      <c r="M8" s="489"/>
      <c r="N8" s="493"/>
      <c r="O8" s="477"/>
      <c r="P8" s="499"/>
      <c r="Q8" s="135"/>
    </row>
    <row r="9" spans="2:19" ht="15.75" thickBot="1" x14ac:dyDescent="0.3">
      <c r="C9" s="482"/>
      <c r="D9" s="496"/>
      <c r="E9" s="485"/>
      <c r="F9" s="136" t="s">
        <v>58</v>
      </c>
      <c r="G9" s="136" t="s">
        <v>59</v>
      </c>
      <c r="H9" s="136" t="s">
        <v>94</v>
      </c>
      <c r="I9" s="489"/>
      <c r="J9" s="137" t="s">
        <v>58</v>
      </c>
      <c r="K9" s="136" t="s">
        <v>59</v>
      </c>
      <c r="L9" s="136" t="s">
        <v>94</v>
      </c>
      <c r="M9" s="489"/>
      <c r="N9" s="493"/>
      <c r="O9" s="477"/>
      <c r="P9" s="326" t="s">
        <v>162</v>
      </c>
      <c r="Q9" s="135"/>
    </row>
    <row r="10" spans="2:19" ht="15.75" thickBot="1" x14ac:dyDescent="0.3">
      <c r="B10" s="500" t="s">
        <v>80</v>
      </c>
      <c r="C10" s="501" t="s">
        <v>266</v>
      </c>
      <c r="D10" s="512"/>
      <c r="E10" s="504">
        <v>0.25</v>
      </c>
      <c r="F10" s="138">
        <v>0.35069444444444442</v>
      </c>
      <c r="G10" s="138">
        <v>0.36458333333333331</v>
      </c>
      <c r="H10" s="139"/>
      <c r="I10" s="140" t="s">
        <v>168</v>
      </c>
      <c r="J10" s="141"/>
      <c r="K10" s="142"/>
      <c r="L10" s="143"/>
      <c r="M10" s="144"/>
      <c r="N10" s="507">
        <v>0.68819444444444444</v>
      </c>
      <c r="O10" s="476">
        <v>0.43819444444444444</v>
      </c>
      <c r="P10" s="477"/>
      <c r="Q10" s="135"/>
      <c r="R10" s="145"/>
      <c r="S10" s="145"/>
    </row>
    <row r="11" spans="2:19" ht="15.75" thickBot="1" x14ac:dyDescent="0.3">
      <c r="B11" s="500"/>
      <c r="C11" s="502"/>
      <c r="D11" s="513"/>
      <c r="E11" s="505"/>
      <c r="F11" s="146">
        <v>0.57777777777777783</v>
      </c>
      <c r="G11" s="146">
        <v>0.61944444444444446</v>
      </c>
      <c r="H11" s="46"/>
      <c r="I11" s="47" t="s">
        <v>167</v>
      </c>
      <c r="J11" s="147"/>
      <c r="K11" s="148"/>
      <c r="L11" s="149"/>
      <c r="M11" s="150"/>
      <c r="N11" s="508"/>
      <c r="O11" s="476"/>
      <c r="P11" s="477"/>
      <c r="Q11" s="135"/>
      <c r="R11" s="134"/>
      <c r="S11" s="134"/>
    </row>
    <row r="12" spans="2:19" ht="15.75" thickBot="1" x14ac:dyDescent="0.3">
      <c r="B12" s="500"/>
      <c r="C12" s="503"/>
      <c r="D12" s="514"/>
      <c r="E12" s="506"/>
      <c r="F12" s="151"/>
      <c r="G12" s="151"/>
      <c r="H12" s="152"/>
      <c r="I12" s="153"/>
      <c r="J12" s="154"/>
      <c r="K12" s="155"/>
      <c r="L12" s="156"/>
      <c r="M12" s="157"/>
      <c r="N12" s="509"/>
      <c r="O12" s="476"/>
      <c r="P12" s="477"/>
      <c r="Q12" s="135"/>
      <c r="R12" s="134"/>
      <c r="S12" s="134"/>
    </row>
    <row r="13" spans="2:19" ht="15.75" thickBot="1" x14ac:dyDescent="0.3">
      <c r="B13" s="500" t="s">
        <v>81</v>
      </c>
      <c r="C13" s="510"/>
      <c r="D13" s="512"/>
      <c r="E13" s="504">
        <v>0.37847222222222227</v>
      </c>
      <c r="F13" s="138">
        <v>0.45833333333333331</v>
      </c>
      <c r="G13" s="138">
        <v>0.5</v>
      </c>
      <c r="H13" s="139"/>
      <c r="I13" s="140" t="s">
        <v>167</v>
      </c>
      <c r="J13" s="141"/>
      <c r="K13" s="142"/>
      <c r="L13" s="143"/>
      <c r="M13" s="144"/>
      <c r="N13" s="511">
        <v>0.72430555555555554</v>
      </c>
      <c r="O13" s="476">
        <v>0.34583333333333327</v>
      </c>
      <c r="P13" s="477"/>
      <c r="Q13" s="158"/>
      <c r="R13" s="134"/>
      <c r="S13" s="134"/>
    </row>
    <row r="14" spans="2:19" ht="15.75" thickBot="1" x14ac:dyDescent="0.3">
      <c r="B14" s="500"/>
      <c r="C14" s="502"/>
      <c r="D14" s="513"/>
      <c r="E14" s="505"/>
      <c r="F14" s="146"/>
      <c r="G14" s="146"/>
      <c r="H14" s="46"/>
      <c r="I14" s="47"/>
      <c r="J14" s="147"/>
      <c r="K14" s="148"/>
      <c r="L14" s="149"/>
      <c r="M14" s="150"/>
      <c r="N14" s="508"/>
      <c r="O14" s="476"/>
      <c r="P14" s="477"/>
      <c r="Q14" s="158"/>
      <c r="R14" s="134"/>
      <c r="S14" s="134"/>
    </row>
    <row r="15" spans="2:19" ht="15.75" thickBot="1" x14ac:dyDescent="0.3">
      <c r="B15" s="500"/>
      <c r="C15" s="503"/>
      <c r="D15" s="514"/>
      <c r="E15" s="506"/>
      <c r="F15" s="151"/>
      <c r="G15" s="151"/>
      <c r="H15" s="152"/>
      <c r="I15" s="153"/>
      <c r="J15" s="154"/>
      <c r="K15" s="155"/>
      <c r="L15" s="156"/>
      <c r="M15" s="157"/>
      <c r="N15" s="509"/>
      <c r="O15" s="476"/>
      <c r="P15" s="477"/>
      <c r="Q15" s="158"/>
      <c r="R15" s="134"/>
      <c r="S15" s="134"/>
    </row>
    <row r="16" spans="2:19" ht="15.75" thickBot="1" x14ac:dyDescent="0.3">
      <c r="B16" s="500" t="s">
        <v>82</v>
      </c>
      <c r="C16" s="510"/>
      <c r="D16" s="512"/>
      <c r="E16" s="504">
        <v>0.25</v>
      </c>
      <c r="F16" s="138">
        <v>0.37847222222222227</v>
      </c>
      <c r="G16" s="138">
        <v>0.3923611111111111</v>
      </c>
      <c r="H16" s="139"/>
      <c r="I16" s="140" t="s">
        <v>168</v>
      </c>
      <c r="J16" s="141"/>
      <c r="K16" s="142"/>
      <c r="L16" s="143"/>
      <c r="M16" s="144"/>
      <c r="N16" s="511">
        <v>0.60625000000000007</v>
      </c>
      <c r="O16" s="478">
        <v>0.35625000000000007</v>
      </c>
      <c r="P16" s="475"/>
      <c r="Q16" s="158"/>
      <c r="R16" s="134"/>
      <c r="S16" s="134"/>
    </row>
    <row r="17" spans="2:19" ht="15.75" thickBot="1" x14ac:dyDescent="0.3">
      <c r="B17" s="500"/>
      <c r="C17" s="502"/>
      <c r="D17" s="513"/>
      <c r="E17" s="505"/>
      <c r="F17" s="146">
        <v>0.45833333333333331</v>
      </c>
      <c r="G17" s="146">
        <v>0.5</v>
      </c>
      <c r="H17" s="46"/>
      <c r="I17" s="47" t="s">
        <v>167</v>
      </c>
      <c r="J17" s="147"/>
      <c r="K17" s="148"/>
      <c r="L17" s="149"/>
      <c r="M17" s="150"/>
      <c r="N17" s="508"/>
      <c r="O17" s="478"/>
      <c r="P17" s="475"/>
      <c r="Q17" s="158"/>
      <c r="R17" s="134"/>
      <c r="S17" s="134"/>
    </row>
    <row r="18" spans="2:19" ht="15.75" thickBot="1" x14ac:dyDescent="0.3">
      <c r="B18" s="500"/>
      <c r="C18" s="503"/>
      <c r="D18" s="514"/>
      <c r="E18" s="506"/>
      <c r="F18" s="151"/>
      <c r="G18" s="151"/>
      <c r="H18" s="152"/>
      <c r="I18" s="153"/>
      <c r="J18" s="154"/>
      <c r="K18" s="155"/>
      <c r="L18" s="156"/>
      <c r="M18" s="157"/>
      <c r="N18" s="509"/>
      <c r="O18" s="478"/>
      <c r="P18" s="475"/>
      <c r="Q18" s="158"/>
      <c r="R18" s="134"/>
      <c r="S18" s="134"/>
    </row>
    <row r="19" spans="2:19" ht="15.75" thickBot="1" x14ac:dyDescent="0.3">
      <c r="B19" s="500" t="s">
        <v>83</v>
      </c>
      <c r="C19" s="510"/>
      <c r="D19" s="512"/>
      <c r="E19" s="504">
        <v>0.3611111111111111</v>
      </c>
      <c r="F19" s="138">
        <v>0.53541666666666665</v>
      </c>
      <c r="G19" s="138">
        <v>0.57708333333333328</v>
      </c>
      <c r="H19" s="139"/>
      <c r="I19" s="140" t="s">
        <v>167</v>
      </c>
      <c r="J19" s="141"/>
      <c r="K19" s="142"/>
      <c r="L19" s="143"/>
      <c r="M19" s="144"/>
      <c r="N19" s="511">
        <v>0.71736111111111101</v>
      </c>
      <c r="O19" s="478">
        <v>0.3562499999999999</v>
      </c>
      <c r="P19" s="475"/>
      <c r="Q19" s="158"/>
      <c r="R19" s="134"/>
      <c r="S19" s="134"/>
    </row>
    <row r="20" spans="2:19" ht="15.75" thickBot="1" x14ac:dyDescent="0.3">
      <c r="B20" s="500"/>
      <c r="C20" s="502"/>
      <c r="D20" s="513"/>
      <c r="E20" s="505"/>
      <c r="F20" s="146"/>
      <c r="G20" s="146"/>
      <c r="H20" s="46"/>
      <c r="I20" s="47"/>
      <c r="J20" s="147"/>
      <c r="K20" s="148"/>
      <c r="L20" s="149"/>
      <c r="M20" s="150"/>
      <c r="N20" s="508"/>
      <c r="O20" s="478"/>
      <c r="P20" s="475"/>
      <c r="Q20" s="158"/>
      <c r="R20" s="134"/>
      <c r="S20" s="134"/>
    </row>
    <row r="21" spans="2:19" ht="15.75" thickBot="1" x14ac:dyDescent="0.3">
      <c r="B21" s="500"/>
      <c r="C21" s="503"/>
      <c r="D21" s="514"/>
      <c r="E21" s="506"/>
      <c r="F21" s="151"/>
      <c r="G21" s="151"/>
      <c r="H21" s="152"/>
      <c r="I21" s="153"/>
      <c r="J21" s="154"/>
      <c r="K21" s="155"/>
      <c r="L21" s="156"/>
      <c r="M21" s="157"/>
      <c r="N21" s="509"/>
      <c r="O21" s="478"/>
      <c r="P21" s="475"/>
      <c r="Q21" s="158"/>
      <c r="R21" s="134"/>
      <c r="S21" s="134"/>
    </row>
    <row r="22" spans="2:19" ht="15.75" thickBot="1" x14ac:dyDescent="0.3">
      <c r="B22" s="500" t="s">
        <v>84</v>
      </c>
      <c r="C22" s="510"/>
      <c r="D22" s="512"/>
      <c r="E22" s="504">
        <v>0.35069444444444442</v>
      </c>
      <c r="F22" s="138">
        <v>0.45833333333333331</v>
      </c>
      <c r="G22" s="138">
        <v>0.5</v>
      </c>
      <c r="H22" s="139"/>
      <c r="I22" s="140" t="s">
        <v>167</v>
      </c>
      <c r="J22" s="141"/>
      <c r="K22" s="142"/>
      <c r="L22" s="143"/>
      <c r="M22" s="144"/>
      <c r="N22" s="511">
        <v>0.71527777777777779</v>
      </c>
      <c r="O22" s="476">
        <v>0.36458333333333337</v>
      </c>
      <c r="P22" s="477"/>
      <c r="Q22" s="158"/>
      <c r="R22" s="134"/>
      <c r="S22" s="134"/>
    </row>
    <row r="23" spans="2:19" ht="15.75" thickBot="1" x14ac:dyDescent="0.3">
      <c r="B23" s="500"/>
      <c r="C23" s="502"/>
      <c r="D23" s="513"/>
      <c r="E23" s="505"/>
      <c r="F23" s="146"/>
      <c r="G23" s="146"/>
      <c r="H23" s="46"/>
      <c r="I23" s="47"/>
      <c r="J23" s="147"/>
      <c r="K23" s="148"/>
      <c r="L23" s="149"/>
      <c r="M23" s="150"/>
      <c r="N23" s="508"/>
      <c r="O23" s="476"/>
      <c r="P23" s="477"/>
      <c r="Q23" s="158"/>
      <c r="R23" s="134"/>
      <c r="S23" s="134"/>
    </row>
    <row r="24" spans="2:19" ht="15.75" thickBot="1" x14ac:dyDescent="0.3">
      <c r="B24" s="500"/>
      <c r="C24" s="503"/>
      <c r="D24" s="514"/>
      <c r="E24" s="506"/>
      <c r="F24" s="151"/>
      <c r="G24" s="151"/>
      <c r="H24" s="152"/>
      <c r="I24" s="153"/>
      <c r="J24" s="154"/>
      <c r="K24" s="155"/>
      <c r="L24" s="156"/>
      <c r="M24" s="157"/>
      <c r="N24" s="509"/>
      <c r="O24" s="476"/>
      <c r="P24" s="477"/>
      <c r="Q24" s="158"/>
      <c r="R24" s="134"/>
      <c r="S24" s="134"/>
    </row>
    <row r="25" spans="2:19" ht="15.75" thickBot="1" x14ac:dyDescent="0.3">
      <c r="B25" s="500" t="s">
        <v>85</v>
      </c>
      <c r="C25" s="510" t="s">
        <v>265</v>
      </c>
      <c r="D25" s="512"/>
      <c r="E25" s="504"/>
      <c r="F25" s="138"/>
      <c r="G25" s="138"/>
      <c r="H25" s="139"/>
      <c r="I25" s="140"/>
      <c r="J25" s="141"/>
      <c r="K25" s="142"/>
      <c r="L25" s="143"/>
      <c r="M25" s="144"/>
      <c r="N25" s="511"/>
      <c r="O25" s="478"/>
      <c r="P25" s="475"/>
      <c r="Q25" s="158"/>
      <c r="R25" s="134"/>
      <c r="S25" s="134"/>
    </row>
    <row r="26" spans="2:19" ht="15.75" thickBot="1" x14ac:dyDescent="0.3">
      <c r="B26" s="500"/>
      <c r="C26" s="502"/>
      <c r="D26" s="513"/>
      <c r="E26" s="505"/>
      <c r="F26" s="146"/>
      <c r="G26" s="146"/>
      <c r="H26" s="46"/>
      <c r="I26" s="47"/>
      <c r="J26" s="147"/>
      <c r="K26" s="148"/>
      <c r="L26" s="149"/>
      <c r="M26" s="150"/>
      <c r="N26" s="508"/>
      <c r="O26" s="478"/>
      <c r="P26" s="475"/>
      <c r="Q26" s="158"/>
      <c r="R26" s="134"/>
      <c r="S26" s="134"/>
    </row>
    <row r="27" spans="2:19" ht="15.75" thickBot="1" x14ac:dyDescent="0.3">
      <c r="B27" s="500"/>
      <c r="C27" s="503"/>
      <c r="D27" s="514"/>
      <c r="E27" s="506"/>
      <c r="F27" s="151"/>
      <c r="G27" s="151"/>
      <c r="H27" s="152"/>
      <c r="I27" s="153"/>
      <c r="J27" s="154"/>
      <c r="K27" s="155"/>
      <c r="L27" s="156"/>
      <c r="M27" s="157"/>
      <c r="N27" s="509"/>
      <c r="O27" s="478"/>
      <c r="P27" s="475"/>
      <c r="Q27" s="158"/>
      <c r="R27" s="134"/>
      <c r="S27" s="134"/>
    </row>
    <row r="28" spans="2:19" ht="15.75" thickBot="1" x14ac:dyDescent="0.3">
      <c r="B28" s="500" t="s">
        <v>86</v>
      </c>
      <c r="C28" s="510" t="s">
        <v>265</v>
      </c>
      <c r="D28" s="512"/>
      <c r="E28" s="504"/>
      <c r="F28" s="138"/>
      <c r="G28" s="138"/>
      <c r="H28" s="139"/>
      <c r="I28" s="140"/>
      <c r="J28" s="141"/>
      <c r="K28" s="142"/>
      <c r="L28" s="143"/>
      <c r="M28" s="144"/>
      <c r="N28" s="511"/>
      <c r="O28" s="478"/>
      <c r="P28" s="475"/>
      <c r="Q28" s="158"/>
      <c r="R28" s="134"/>
      <c r="S28" s="134"/>
    </row>
    <row r="29" spans="2:19" ht="15.75" thickBot="1" x14ac:dyDescent="0.3">
      <c r="B29" s="500"/>
      <c r="C29" s="502"/>
      <c r="D29" s="513"/>
      <c r="E29" s="505"/>
      <c r="F29" s="146"/>
      <c r="G29" s="146"/>
      <c r="H29" s="46"/>
      <c r="I29" s="47"/>
      <c r="J29" s="147"/>
      <c r="K29" s="148"/>
      <c r="L29" s="149"/>
      <c r="M29" s="150"/>
      <c r="N29" s="508"/>
      <c r="O29" s="478"/>
      <c r="P29" s="475"/>
      <c r="Q29" s="158"/>
      <c r="R29" s="134"/>
      <c r="S29" s="134"/>
    </row>
    <row r="30" spans="2:19" ht="15.75" thickBot="1" x14ac:dyDescent="0.3">
      <c r="B30" s="500"/>
      <c r="C30" s="503"/>
      <c r="D30" s="514"/>
      <c r="E30" s="506"/>
      <c r="F30" s="151"/>
      <c r="G30" s="151"/>
      <c r="H30" s="152"/>
      <c r="I30" s="153"/>
      <c r="J30" s="154"/>
      <c r="K30" s="155"/>
      <c r="L30" s="156"/>
      <c r="M30" s="157"/>
      <c r="N30" s="509"/>
      <c r="O30" s="478"/>
      <c r="P30" s="475"/>
      <c r="Q30" s="158"/>
      <c r="R30" s="134"/>
      <c r="S30" s="134"/>
    </row>
    <row r="31" spans="2:19" ht="15.75" thickBot="1" x14ac:dyDescent="0.3">
      <c r="N31" s="345" t="s">
        <v>264</v>
      </c>
      <c r="O31" s="346" t="s">
        <v>268</v>
      </c>
    </row>
    <row r="32" spans="2:19" x14ac:dyDescent="0.25">
      <c r="B32" s="159" t="s">
        <v>95</v>
      </c>
    </row>
    <row r="33" spans="2:17" x14ac:dyDescent="0.25">
      <c r="B33" s="159" t="s">
        <v>96</v>
      </c>
    </row>
    <row r="35" spans="2:17" x14ac:dyDescent="0.25">
      <c r="Q35" s="30"/>
    </row>
    <row r="36" spans="2:17" x14ac:dyDescent="0.25">
      <c r="B36" s="515" t="s">
        <v>97</v>
      </c>
      <c r="C36" s="516"/>
      <c r="D36" s="516"/>
      <c r="E36" s="516"/>
      <c r="F36" s="516"/>
      <c r="G36" s="516"/>
      <c r="H36" s="516"/>
      <c r="I36" s="516"/>
      <c r="J36" s="516"/>
      <c r="K36" s="517"/>
      <c r="L36" s="518" t="s">
        <v>98</v>
      </c>
      <c r="M36" s="519"/>
      <c r="N36" s="519"/>
      <c r="O36" s="519"/>
      <c r="P36" s="520"/>
      <c r="Q36" s="219"/>
    </row>
    <row r="37" spans="2:17" x14ac:dyDescent="0.25">
      <c r="B37" s="521"/>
      <c r="C37" s="522"/>
      <c r="D37" s="523"/>
      <c r="E37" s="522"/>
      <c r="F37" s="522"/>
      <c r="G37" s="522"/>
      <c r="H37" s="522"/>
      <c r="I37" s="522"/>
      <c r="J37" s="522"/>
      <c r="K37" s="524"/>
      <c r="L37" s="531" t="s">
        <v>99</v>
      </c>
      <c r="M37" s="398"/>
      <c r="N37" s="399"/>
      <c r="O37" s="531" t="s">
        <v>100</v>
      </c>
      <c r="P37" s="535"/>
      <c r="Q37" s="327"/>
    </row>
    <row r="38" spans="2:17" x14ac:dyDescent="0.25">
      <c r="B38" s="525"/>
      <c r="C38" s="526"/>
      <c r="D38" s="526"/>
      <c r="E38" s="526"/>
      <c r="F38" s="526"/>
      <c r="G38" s="526"/>
      <c r="H38" s="526"/>
      <c r="I38" s="526"/>
      <c r="J38" s="526"/>
      <c r="K38" s="527"/>
      <c r="L38" s="532"/>
      <c r="M38" s="523"/>
      <c r="N38" s="533"/>
      <c r="O38" s="536"/>
      <c r="P38" s="537"/>
      <c r="Q38" s="219"/>
    </row>
    <row r="39" spans="2:17" x14ac:dyDescent="0.25">
      <c r="B39" s="525"/>
      <c r="C39" s="526"/>
      <c r="D39" s="526"/>
      <c r="E39" s="526"/>
      <c r="F39" s="526"/>
      <c r="G39" s="526"/>
      <c r="H39" s="526"/>
      <c r="I39" s="526"/>
      <c r="J39" s="526"/>
      <c r="K39" s="527"/>
      <c r="L39" s="525"/>
      <c r="M39" s="534"/>
      <c r="N39" s="527"/>
      <c r="O39" s="538"/>
      <c r="P39" s="539"/>
      <c r="Q39" s="219"/>
    </row>
    <row r="40" spans="2:17" x14ac:dyDescent="0.25">
      <c r="B40" s="525"/>
      <c r="C40" s="526"/>
      <c r="D40" s="526"/>
      <c r="E40" s="526"/>
      <c r="F40" s="526"/>
      <c r="G40" s="526"/>
      <c r="H40" s="526"/>
      <c r="I40" s="526"/>
      <c r="J40" s="526"/>
      <c r="K40" s="527"/>
      <c r="L40" s="525"/>
      <c r="M40" s="534"/>
      <c r="N40" s="527"/>
      <c r="O40" s="538"/>
      <c r="P40" s="539"/>
      <c r="Q40" s="219"/>
    </row>
    <row r="41" spans="2:17" x14ac:dyDescent="0.25">
      <c r="B41" s="528"/>
      <c r="C41" s="529"/>
      <c r="D41" s="529"/>
      <c r="E41" s="529"/>
      <c r="F41" s="529"/>
      <c r="G41" s="529"/>
      <c r="H41" s="529"/>
      <c r="I41" s="529"/>
      <c r="J41" s="529"/>
      <c r="K41" s="530"/>
      <c r="L41" s="528"/>
      <c r="M41" s="529"/>
      <c r="N41" s="530"/>
      <c r="O41" s="540"/>
      <c r="P41" s="541"/>
      <c r="Q41" s="219"/>
    </row>
    <row r="42" spans="2:17" x14ac:dyDescent="0.25">
      <c r="Q42" s="30"/>
    </row>
  </sheetData>
  <mergeCells count="68">
    <mergeCell ref="B37:K41"/>
    <mergeCell ref="L37:N37"/>
    <mergeCell ref="L38:N41"/>
    <mergeCell ref="O37:P37"/>
    <mergeCell ref="O38:P41"/>
    <mergeCell ref="B28:B30"/>
    <mergeCell ref="C28:C30"/>
    <mergeCell ref="E28:E30"/>
    <mergeCell ref="N28:N30"/>
    <mergeCell ref="B36:K36"/>
    <mergeCell ref="D28:D30"/>
    <mergeCell ref="L36:P36"/>
    <mergeCell ref="O28:O30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10:B12"/>
    <mergeCell ref="C10:C12"/>
    <mergeCell ref="E10:E12"/>
    <mergeCell ref="N10:N12"/>
    <mergeCell ref="B13:B15"/>
    <mergeCell ref="C13:C15"/>
    <mergeCell ref="E13:E15"/>
    <mergeCell ref="N13:N15"/>
    <mergeCell ref="D10:D12"/>
    <mergeCell ref="D13:D15"/>
    <mergeCell ref="B1:Q1"/>
    <mergeCell ref="B2:Q2"/>
    <mergeCell ref="C6:C9"/>
    <mergeCell ref="E6:E9"/>
    <mergeCell ref="F6:H8"/>
    <mergeCell ref="I6:I9"/>
    <mergeCell ref="J6:L8"/>
    <mergeCell ref="M6:M9"/>
    <mergeCell ref="N6:N9"/>
    <mergeCell ref="D6:D9"/>
    <mergeCell ref="O6:O9"/>
    <mergeCell ref="P6:P8"/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</mergeCells>
  <pageMargins left="0.7" right="0.7" top="0.75" bottom="0.75" header="0.3" footer="0.3"/>
  <pageSetup paperSize="9" scale="68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17"/>
  <sheetViews>
    <sheetView workbookViewId="0">
      <selection activeCell="R1" sqref="R1"/>
    </sheetView>
  </sheetViews>
  <sheetFormatPr baseColWidth="10" defaultRowHeight="21.95" customHeight="1" x14ac:dyDescent="0.2"/>
  <cols>
    <col min="1" max="1" width="4.85546875" style="191" customWidth="1"/>
    <col min="2" max="2" width="3" style="191" customWidth="1"/>
    <col min="3" max="12" width="9.28515625" style="191" customWidth="1"/>
    <col min="13" max="16384" width="11.42578125" style="191"/>
  </cols>
  <sheetData>
    <row r="1" spans="1:14" ht="21.95" customHeight="1" x14ac:dyDescent="0.25">
      <c r="A1" s="542" t="s">
        <v>144</v>
      </c>
      <c r="B1" s="542"/>
      <c r="C1" s="542"/>
      <c r="D1" s="542"/>
      <c r="E1" s="542"/>
      <c r="F1" s="542"/>
      <c r="G1" s="542"/>
      <c r="H1" s="542"/>
      <c r="I1" s="542"/>
      <c r="J1" s="542"/>
      <c r="K1" s="542"/>
      <c r="L1" s="542"/>
    </row>
    <row r="2" spans="1:14" ht="21.95" customHeight="1" x14ac:dyDescent="0.2">
      <c r="A2" s="192"/>
      <c r="B2" s="192"/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3"/>
      <c r="N2" s="194"/>
    </row>
    <row r="3" spans="1:14" ht="21.95" customHeight="1" x14ac:dyDescent="0.25">
      <c r="A3" s="195"/>
      <c r="C3" s="543">
        <f>Inter!I24</f>
        <v>0</v>
      </c>
      <c r="D3" s="543"/>
      <c r="E3" s="543"/>
      <c r="F3" s="543"/>
      <c r="G3" s="196"/>
      <c r="H3" s="197"/>
      <c r="I3" s="198"/>
      <c r="K3" s="199"/>
      <c r="L3" s="197" t="s">
        <v>235</v>
      </c>
      <c r="M3" s="193"/>
    </row>
    <row r="4" spans="1:14" ht="21.95" customHeight="1" x14ac:dyDescent="0.25">
      <c r="A4" s="195"/>
      <c r="B4" s="200"/>
      <c r="C4" s="201"/>
      <c r="D4" s="192"/>
      <c r="J4" s="197"/>
      <c r="K4" s="196"/>
      <c r="L4" s="201"/>
      <c r="M4" s="193"/>
    </row>
    <row r="5" spans="1:14" ht="21.95" customHeight="1" x14ac:dyDescent="0.2">
      <c r="A5" s="202" t="e">
        <f>DATEVALUE("1/"&amp;#REF!&amp;"/"&amp;#REF!)</f>
        <v>#REF!</v>
      </c>
      <c r="C5" s="544">
        <v>1</v>
      </c>
      <c r="D5" s="544"/>
      <c r="E5" s="544">
        <v>2</v>
      </c>
      <c r="F5" s="544"/>
      <c r="G5" s="544">
        <v>3</v>
      </c>
      <c r="H5" s="544"/>
      <c r="I5" s="544">
        <v>4</v>
      </c>
      <c r="J5" s="544"/>
      <c r="K5" s="544">
        <v>5</v>
      </c>
      <c r="L5" s="544"/>
      <c r="M5" s="193"/>
    </row>
    <row r="6" spans="1:14" ht="21.95" customHeight="1" x14ac:dyDescent="0.2">
      <c r="A6" s="202"/>
      <c r="C6" s="203" t="s">
        <v>58</v>
      </c>
      <c r="D6" s="204" t="s">
        <v>59</v>
      </c>
      <c r="E6" s="203" t="s">
        <v>58</v>
      </c>
      <c r="F6" s="204" t="s">
        <v>59</v>
      </c>
      <c r="G6" s="203" t="s">
        <v>58</v>
      </c>
      <c r="H6" s="204" t="s">
        <v>59</v>
      </c>
      <c r="I6" s="203" t="s">
        <v>58</v>
      </c>
      <c r="J6" s="204" t="s">
        <v>59</v>
      </c>
      <c r="K6" s="203" t="s">
        <v>58</v>
      </c>
      <c r="L6" s="204" t="s">
        <v>59</v>
      </c>
      <c r="M6" s="193"/>
    </row>
    <row r="7" spans="1:14" ht="21.95" customHeight="1" x14ac:dyDescent="0.2">
      <c r="A7" s="205" t="s">
        <v>147</v>
      </c>
      <c r="B7" s="206">
        <v>6</v>
      </c>
      <c r="C7" s="308"/>
      <c r="D7" s="309"/>
      <c r="E7" s="308"/>
      <c r="F7" s="309"/>
      <c r="G7" s="308"/>
      <c r="H7" s="309"/>
      <c r="I7" s="308"/>
      <c r="J7" s="309"/>
      <c r="K7" s="308"/>
      <c r="L7" s="309"/>
      <c r="M7" s="193"/>
    </row>
    <row r="8" spans="1:14" ht="21.95" customHeight="1" x14ac:dyDescent="0.2">
      <c r="A8" s="207" t="s">
        <v>148</v>
      </c>
      <c r="B8" s="208">
        <v>7</v>
      </c>
      <c r="C8" s="310"/>
      <c r="D8" s="311"/>
      <c r="E8" s="310"/>
      <c r="F8" s="311"/>
      <c r="G8" s="310"/>
      <c r="H8" s="311"/>
      <c r="I8" s="310"/>
      <c r="J8" s="311"/>
      <c r="K8" s="310"/>
      <c r="L8" s="311"/>
      <c r="M8" s="193"/>
    </row>
    <row r="9" spans="1:14" ht="21.95" customHeight="1" x14ac:dyDescent="0.2">
      <c r="A9" s="207" t="s">
        <v>149</v>
      </c>
      <c r="B9" s="208">
        <v>8</v>
      </c>
      <c r="C9" s="310"/>
      <c r="D9" s="311"/>
      <c r="E9" s="310"/>
      <c r="F9" s="311"/>
      <c r="G9" s="310"/>
      <c r="H9" s="311"/>
      <c r="I9" s="310"/>
      <c r="J9" s="311"/>
      <c r="K9" s="310"/>
      <c r="L9" s="311"/>
      <c r="M9" s="193"/>
    </row>
    <row r="10" spans="1:14" ht="21.95" customHeight="1" x14ac:dyDescent="0.2">
      <c r="A10" s="207" t="s">
        <v>150</v>
      </c>
      <c r="B10" s="208">
        <v>9</v>
      </c>
      <c r="C10" s="310"/>
      <c r="D10" s="311"/>
      <c r="E10" s="310"/>
      <c r="F10" s="311"/>
      <c r="G10" s="310"/>
      <c r="H10" s="311"/>
      <c r="I10" s="310"/>
      <c r="J10" s="311"/>
      <c r="K10" s="310"/>
      <c r="L10" s="311"/>
      <c r="M10" s="193"/>
    </row>
    <row r="11" spans="1:14" ht="21.95" customHeight="1" x14ac:dyDescent="0.2">
      <c r="A11" s="207" t="s">
        <v>151</v>
      </c>
      <c r="B11" s="208">
        <v>10</v>
      </c>
      <c r="C11" s="310"/>
      <c r="D11" s="311"/>
      <c r="E11" s="310"/>
      <c r="F11" s="311"/>
      <c r="G11" s="310"/>
      <c r="H11" s="311"/>
      <c r="I11" s="310"/>
      <c r="J11" s="311"/>
      <c r="K11" s="310"/>
      <c r="L11" s="311"/>
      <c r="M11" s="193"/>
    </row>
    <row r="12" spans="1:14" ht="21.95" customHeight="1" x14ac:dyDescent="0.2">
      <c r="A12" s="207" t="s">
        <v>152</v>
      </c>
      <c r="B12" s="208">
        <v>11</v>
      </c>
      <c r="C12" s="310"/>
      <c r="D12" s="311"/>
      <c r="E12" s="310"/>
      <c r="F12" s="311"/>
      <c r="G12" s="310"/>
      <c r="H12" s="311"/>
      <c r="I12" s="310"/>
      <c r="J12" s="311"/>
      <c r="K12" s="310"/>
      <c r="L12" s="311"/>
      <c r="M12" s="193"/>
    </row>
    <row r="13" spans="1:14" ht="21.95" customHeight="1" x14ac:dyDescent="0.2">
      <c r="A13" s="209" t="s">
        <v>153</v>
      </c>
      <c r="B13" s="210">
        <v>12</v>
      </c>
      <c r="C13" s="312"/>
      <c r="D13" s="313"/>
      <c r="E13" s="312"/>
      <c r="F13" s="313"/>
      <c r="G13" s="312"/>
      <c r="H13" s="313"/>
      <c r="I13" s="312"/>
      <c r="J13" s="313"/>
      <c r="K13" s="312"/>
      <c r="L13" s="313"/>
      <c r="M13" s="193"/>
    </row>
    <row r="14" spans="1:14" ht="21.95" customHeight="1" x14ac:dyDescent="0.2">
      <c r="A14" s="211"/>
      <c r="B14" s="212"/>
      <c r="C14" s="213"/>
      <c r="D14" s="213"/>
      <c r="M14" s="193"/>
    </row>
    <row r="15" spans="1:14" ht="21.95" customHeight="1" x14ac:dyDescent="0.2">
      <c r="B15" s="214"/>
      <c r="G15" s="215" t="s">
        <v>145</v>
      </c>
      <c r="H15" s="215"/>
      <c r="I15" s="215"/>
      <c r="J15" s="215" t="s">
        <v>146</v>
      </c>
      <c r="K15" s="215"/>
      <c r="M15" s="193"/>
    </row>
    <row r="16" spans="1:14" ht="68.099999999999994" customHeight="1" x14ac:dyDescent="0.2">
      <c r="B16" s="214"/>
      <c r="G16" s="215"/>
      <c r="H16" s="215"/>
      <c r="I16" s="215"/>
      <c r="J16" s="215"/>
      <c r="K16" s="215"/>
    </row>
    <row r="17" spans="8:8" ht="21.95" customHeight="1" x14ac:dyDescent="0.2">
      <c r="H17" s="192"/>
    </row>
  </sheetData>
  <sheetProtection selectLockedCells="1"/>
  <mergeCells count="7">
    <mergeCell ref="A1:L1"/>
    <mergeCell ref="C3:F3"/>
    <mergeCell ref="C5:D5"/>
    <mergeCell ref="E5:F5"/>
    <mergeCell ref="G5:H5"/>
    <mergeCell ref="I5:J5"/>
    <mergeCell ref="K5:L5"/>
  </mergeCells>
  <dataValidations count="1">
    <dataValidation type="list" allowBlank="1" showInputMessage="1" showErrorMessage="1" sqref="J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2025-11-27T04:49:18Z</cp:lastPrinted>
  <dcterms:created xsi:type="dcterms:W3CDTF">2024-10-06T20:00:42Z</dcterms:created>
  <dcterms:modified xsi:type="dcterms:W3CDTF">2025-11-27T19:04:59Z</dcterms:modified>
</cp:coreProperties>
</file>