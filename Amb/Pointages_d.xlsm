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 activeTab="2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L44" i="93"/>
  <c r="BK44" i="93"/>
  <c r="BJ44" i="93"/>
  <c r="BI44" i="93"/>
  <c r="BH44" i="93"/>
  <c r="BG44" i="93"/>
  <c r="BF44" i="93"/>
  <c r="BE44" i="93"/>
  <c r="BD44" i="93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L28" i="93"/>
  <c r="BK28" i="93"/>
  <c r="BJ28" i="93"/>
  <c r="BI28" i="93"/>
  <c r="BH28" i="93"/>
  <c r="BG28" i="93"/>
  <c r="BF28" i="93"/>
  <c r="BE28" i="93"/>
  <c r="BD28" i="93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L20" i="93"/>
  <c r="BK20" i="93"/>
  <c r="BJ20" i="93"/>
  <c r="BI20" i="93"/>
  <c r="BH20" i="93"/>
  <c r="BG20" i="93"/>
  <c r="BF20" i="93"/>
  <c r="BE20" i="93"/>
  <c r="BD20" i="93"/>
  <c r="BC20" i="93"/>
  <c r="BB20" i="93"/>
  <c r="BK19" i="93"/>
  <c r="BJ19" i="93"/>
  <c r="BI19" i="93"/>
  <c r="BH19" i="93"/>
  <c r="BG19" i="93"/>
  <c r="BF19" i="93"/>
  <c r="BE19" i="93"/>
  <c r="BD19" i="93"/>
  <c r="BL19" i="93" s="1"/>
  <c r="BC19" i="93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27/10/2025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28/10/2025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29/10/2025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30/10/2025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31/10/2025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01/11/2025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02/11/2025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03/11/2025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04/11/2025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05/11/2025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06/11/2025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07/11/2025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08/11/2025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09/11/2025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10/11/2025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11/11/2025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12/11/2025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13/11/2025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14/11/2025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15/11/2025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16/11/2025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17/11/2025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18/11/2025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19/11/2025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20/11/2025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21/11/2025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22/11/2025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23/11/2025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<sst xmlns="http://schemas.openxmlformats.org/spreadsheetml/2006/main" count="495" uniqueCount="312">
  <si>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</si>
  <si>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</si>
  <si>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</si>
  <si>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</si>
  <si>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</si>
  <si>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</si>
  <si>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</si>
  <si>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</si>
  <si>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</si>
  <si>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</si>
  <si>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</si>
  <si>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</si>
  <si>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</si>
  <si>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</si>
  <si>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</si>
  <si>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</si>
  <si>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</si>
  <si>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</si>
  <si>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</si>
  <si>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</si>
  <si>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</si>
  <si>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</si>
  <si>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</si>
  <si>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</si>
  <si>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</si>
  <si>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</si>
  <si>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</si>
  <si>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</si>
  <si>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</si>
  <si>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</si>
  <si>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</si>
  <si>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</si>
  <si>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</si>
  <si>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</si>
  <si>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</si>
  <si>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</si>
  <si>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</si>
  <si>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</si>
  <si>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</si>
  <si>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</si>
  <si>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</si>
  <si>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</si>
  <si>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</si>
  <si>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</si>
  <si>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</si>
  <si>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</si>
  <si>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</si>
  <si>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</si>
  <si>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</si>
  <si>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</si>
  <si>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</si>
  <si>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</si>
  <si>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</si>
  <si>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</si>
  <si>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</si>
  <si>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</si>
  <si>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</si>
  <si>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</si>
  <si>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</si>
  <si>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</si>
  <si>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</si>
  <si>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</si>
  <si>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</si>
  <si>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</si>
  <si>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</si>
  <si>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</si>
  <si>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</si>
  <si>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</si>
  <si>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</si>
  <si>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</si>
  <si>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</si>
  <si>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</si>
  <si>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</si>
  <si>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</si>
  <si>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</si>
  <si>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</si>
  <si>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</si>
  <si>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</si>
  <si>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</si>
  <si>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</si>
  <si>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</si>
  <si>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</si>
  <si>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</si>
  <si>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</si>
  <si>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</si>
  <si>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</si>
  <si>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</si>
  <si>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</si>
  <si>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</si>
  <si>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</si>
  <si>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</si>
  <si>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</si>
  <si>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</si>
  <si>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</si>
  <si>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</si>
  <si>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</si>
  <si>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</si>
  <si>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</si>
  <si>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</si>
  <si>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</si>
  <si>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</si>
  <si>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</si>
  <si>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</si>
  <si>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</si>
  <si>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</si>
  <si>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</si>
  <si>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</si>
  <si>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</si>
  <si>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</si>
  <si>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</si>
  <si>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</si>
  <si>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</si>
  <si>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</si>
  <si>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</si>
  <si>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</si>
  <si>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</si>
  <si>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</si>
  <si>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</si>
  <si>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</si>
  <si>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</si>
  <si>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</si>
  <si>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</si>
  <si>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</si>
  <si>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</si>
  <si>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</si>
  <si>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</si>
  <si>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</si>
  <si>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</si>
  <si>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</si>
  <si>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</si>
  <si>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</si>
  <si>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</si>
  <si>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</si>
  <si>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</si>
  <si>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</si>
  <si>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</si>
  <si>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</si>
  <si>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</si>
  <si>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</si>
  <si>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</si>
  <si>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</si>
  <si>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</si>
  <si>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</si>
  <si>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</si>
  <si>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</si>
  <si>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</si>
  <si>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</si>
  <si>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</si>
  <si>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</si>
  <si>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</si>
  <si>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</si>
  <si>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</si>
  <si>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</si>
  <si>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</si>
  <si>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</si>
  <si>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</si>
  <si>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</si>
  <si>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</si>
  <si>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</si>
  <si>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</si>
  <si>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</si>
  <si>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</si>
  <si>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</si>
  <si>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</si>
  <si>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</si>
  <si>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</si>
  <si>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</si>
  <si>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</si>
  <si>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</si>
  <si>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</si>
  <si>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</si>
  <si>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</si>
  <si>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</si>
  <si>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</si>
  <si>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</si>
  <si>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</si>
  <si>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</si>
  <si>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</si>
  <si>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</si>
  <si>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</si>
  <si>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</si>
  <si>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</si>
  <si>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</si>
  <si>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</si>
  <si>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</si>
  <si>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</si>
  <si>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</si>
  <si>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</si>
  <si>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</si>
  <si>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</si>
  <si>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</si>
  <si>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</si>
  <si>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</si>
  <si>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</si>
  <si>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</si>
  <si>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</si>
  <si>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</si>
  <si>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</si>
  <si>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</si>
  <si>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</si>
  <si>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</si>
  <si>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</si>
  <si>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</si>
  <si>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</si>
  <si>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</si>
  <si>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</si>
  <si>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</si>
  <si>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</si>
  <si>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</si>
  <si>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</si>
  <si>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</si>
  <si>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</si>
  <si>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</si>
  <si>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</si>
  <si>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</si>
  <si>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</si>
  <si>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</si>
  <si>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</si>
  <si>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</si>
  <si>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</si>
  <si>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</si>
  <si>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</si>
  <si>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</si>
  <si>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</si>
  <si>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</si>
  <si>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</si>
  <si>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</si>
  <si>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</si>
  <si>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</si>
  <si>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</si>
  <si>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</si>
  <si>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</si>
  <si>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</si>
  <si>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</si>
  <si>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</si>
  <si>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</si>
  <si>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</si>
  <si>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</si>
  <si>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</si>
  <si>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</si>
  <si>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</si>
  <si>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</si>
  <si>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</si>
  <si>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</si>
  <si>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</si>
  <si>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</si>
  <si>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</si>
  <si>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</si>
  <si>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</si>
  <si>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</si>
  <si>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</si>
  <si>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</si>
  <si>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</si>
  <si>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</si>
  <si>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</si>
  <si>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</si>
  <si>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</si>
  <si>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</si>
  <si>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</si>
  <si>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</si>
  <si>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</si>
  <si>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</si>
  <si>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</si>
  <si>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</si>
  <si>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</si>
  <si>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</si>
  <si>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</si>
  <si>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</si>
  <si>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</si>
  <si>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</si>
  <si>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</si>
  <si>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</si>
  <si>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</si>
  <si>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$O$14</t>
  </si>
  <si>
    <t>TC</t>
  </si>
  <si>
    <t>Semaine n° 46 du 10/11/2025 au 16/11/2025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</si>
  <si>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</si>
  <si>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</si>
  <si>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</si>
  <si>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</si>
  <si>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</si>
  <si>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</si>
  <si>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</si>
  <si>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</si>
  <si>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</si>
  <si>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</si>
  <si>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</si>
  <si>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</si>
  <si>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</si>
  <si>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</si>
  <si>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</si>
  <si>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</si>
  <si>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</si>
  <si>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</si>
  <si>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</si>
  <si>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</si>
  <si>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</si>
  <si>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</si>
  <si>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</si>
  <si>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</si>
  <si>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</si>
  <si>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</si>
  <si>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</si>
  <si>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</si>
  <si>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</si>
  <si>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</si>
  <si>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Novembre</t>
  </si>
  <si>
    <t>n° 46 du 10/11/2025 au 16/11/2025</t>
  </si>
  <si>
    <t>Abs. JF</t>
  </si>
  <si>
    <t>FEUILLE DE ROUTE HEBDOMADAIRE - TRANSPORT SANITAIRE</t>
  </si>
  <si>
    <t>MURITH Florence;OFFRET Bertrand;PASCAUD Thierry;TALON Aurélie;WALTENER Patrick</t>
  </si>
  <si>
    <t>Preview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</si>
</sst>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13" fillId="13" borderId="140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0" borderId="17" xfId="0" applyFont="1" applyBorder="1" applyAlignment="1">
      <alignment horizontal="center" vertical="center" wrapText="1"/>
    </xf>
    <xf numFmtId="0" fontId="13" fillId="12" borderId="144" xfId="0" applyFont="1" applyFill="1" applyBorder="1" applyAlignment="1">
      <alignment horizontal="right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3" fillId="0" borderId="17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167" fontId="5" fillId="0" borderId="0" xfId="0" applyNumberFormat="1" applyFont="1" applyFill="1" applyBorder="1" applyAlignment="1">
      <alignment horizontal="center"/>
    </xf>
    <xf numFmtId="20" fontId="0" fillId="0" borderId="0" xfId="0" applyNumberFormat="1" applyFont="1" applyFill="1" applyBorder="1" applyAlignment="1">
      <alignment horizontal="center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0" fontId="34" fillId="0" borderId="14" xfId="0" applyFont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167" fontId="36" fillId="0" borderId="28" xfId="0" applyNumberFormat="1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102" xfId="0" applyFont="1" applyBorder="1" applyAlignment="1">
      <alignment horizontal="center" vertical="center"/>
    </xf>
    <xf numFmtId="167" fontId="36" fillId="0" borderId="30" xfId="0" applyNumberFormat="1" applyFont="1" applyBorder="1" applyAlignment="1">
      <alignment horizontal="center" vertical="center"/>
    </xf>
    <xf numFmtId="167" fontId="36" fillId="0" borderId="36" xfId="0" applyNumberFormat="1" applyFont="1" applyBorder="1" applyAlignment="1">
      <alignment horizontal="center" vertical="center"/>
    </xf>
    <xf numFmtId="0" fontId="36" fillId="0" borderId="36" xfId="0" applyFont="1" applyBorder="1" applyAlignment="1">
      <alignment horizontal="center" vertical="center"/>
    </xf>
    <xf numFmtId="0" fontId="36" fillId="0" borderId="37" xfId="0" applyFont="1" applyBorder="1" applyAlignment="1">
      <alignment horizontal="center" vertical="center"/>
    </xf>
    <xf numFmtId="167" fontId="36" fillId="0" borderId="92" xfId="0" applyNumberFormat="1" applyFont="1" applyBorder="1" applyAlignment="1">
      <alignment horizontal="center" vertical="center"/>
    </xf>
    <xf numFmtId="167" fontId="36" fillId="0" borderId="104" xfId="0" applyNumberFormat="1" applyFont="1" applyBorder="1" applyAlignment="1">
      <alignment horizontal="center" vertical="center"/>
    </xf>
    <xf numFmtId="0" fontId="36" fillId="0" borderId="104" xfId="0" applyFont="1" applyBorder="1" applyAlignment="1">
      <alignment horizontal="center" vertical="center"/>
    </xf>
    <xf numFmtId="0" fontId="36" fillId="0" borderId="105" xfId="0" applyFont="1" applyBorder="1" applyAlignment="1">
      <alignment horizontal="center" vertical="center"/>
    </xf>
    <xf numFmtId="167" fontId="36" fillId="0" borderId="25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applyFont="1"/>
    <xf numFmtId="0" fontId="31" fillId="0" borderId="0" xfId="0" applyFont="1"/>
    <xf numFmtId="0" fontId="35" fillId="0" borderId="0" xfId="0" applyFont="1"/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8-ECD7-4930-9533-8D4AF3CBC01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9-ECD7-4930-9533-8D4AF3CBC01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ECD7-4930-9533-8D4AF3CBC01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B-ECD7-4930-9533-8D4AF3CBC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W43" sqref="W43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47" customWidth="1"/>
    <col min="27" max="28" width="6.140625" style="164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28" t="s">
        <v>75</v>
      </c>
      <c r="F1" s="329"/>
      <c r="G1" s="330"/>
      <c r="M1" s="125"/>
      <c r="N1" s="342" t="s">
        <v>306</v>
      </c>
      <c r="O1" s="342"/>
      <c r="P1" s="342"/>
      <c r="Q1" s="125"/>
      <c r="S1" s="342">
        <v>2025</v>
      </c>
      <c r="T1" s="342"/>
      <c r="X1" s="24" t="s">
        <v>74</v>
      </c>
      <c r="AA1" s="356"/>
      <c r="AB1" s="356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488"/>
      <c r="E4" s="488"/>
      <c r="F4" s="488"/>
      <c r="G4" s="488"/>
      <c r="H4" s="278"/>
      <c r="I4" s="488"/>
      <c r="J4" s="488"/>
      <c r="K4" s="488"/>
      <c r="L4" s="488"/>
      <c r="M4" s="278"/>
      <c r="N4" s="488"/>
      <c r="O4" s="488"/>
      <c r="P4" s="488"/>
      <c r="Q4" s="488"/>
      <c r="R4" s="278"/>
      <c r="S4" s="488"/>
      <c r="T4" s="488"/>
      <c r="U4" s="488"/>
      <c r="V4" s="488"/>
      <c r="W4" s="278"/>
      <c r="X4" s="488"/>
      <c r="Y4" s="488"/>
      <c r="Z4" s="488"/>
      <c r="AA4" s="488"/>
      <c r="AB4" s="278"/>
      <c r="AC4" s="488"/>
      <c r="AD4" s="488"/>
      <c r="AE4" s="488"/>
      <c r="AF4" s="488"/>
      <c r="AG4" s="278"/>
      <c r="AH4" s="488"/>
      <c r="AI4" s="488"/>
      <c r="AJ4" s="488"/>
      <c r="AK4" s="488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491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279"/>
      <c r="E6" s="490"/>
      <c r="F6" s="266"/>
      <c r="G6" s="266"/>
      <c r="H6" s="278"/>
      <c r="I6" s="279"/>
      <c r="J6" s="490"/>
      <c r="K6" s="266"/>
      <c r="L6" s="266"/>
      <c r="M6" s="128"/>
      <c r="N6" s="279"/>
      <c r="O6" s="490"/>
      <c r="P6" s="266"/>
      <c r="Q6" s="266"/>
      <c r="R6" s="128"/>
      <c r="S6" s="279"/>
      <c r="T6" s="490"/>
      <c r="U6" s="266"/>
      <c r="V6" s="266"/>
      <c r="W6" s="278"/>
      <c r="X6" s="279"/>
      <c r="Y6" s="490"/>
      <c r="Z6" s="266"/>
      <c r="AA6" s="266"/>
      <c r="AB6" s="278"/>
      <c r="AC6" s="279"/>
      <c r="AD6" s="490"/>
      <c r="AE6" s="266"/>
      <c r="AF6" s="266"/>
      <c r="AG6" s="128"/>
      <c r="AH6" s="279"/>
      <c r="AI6" s="490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488"/>
      <c r="E8" s="488"/>
      <c r="F8" s="488"/>
      <c r="G8" s="488"/>
      <c r="H8" s="278"/>
      <c r="I8" s="488"/>
      <c r="J8" s="488"/>
      <c r="K8" s="488"/>
      <c r="L8" s="488"/>
      <c r="M8" s="128"/>
      <c r="N8" s="489"/>
      <c r="O8" s="489"/>
      <c r="P8" s="489"/>
      <c r="Q8" s="489"/>
      <c r="R8" s="128"/>
      <c r="S8" s="488"/>
      <c r="T8" s="488"/>
      <c r="U8" s="488"/>
      <c r="V8" s="488"/>
      <c r="W8" s="278"/>
      <c r="X8" s="488"/>
      <c r="Y8" s="488"/>
      <c r="Z8" s="488"/>
      <c r="AA8" s="488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79"/>
      <c r="F10" s="266"/>
      <c r="G10" s="266"/>
      <c r="H10" s="278"/>
      <c r="I10" s="279"/>
      <c r="J10" s="279"/>
      <c r="K10" s="266"/>
      <c r="L10" s="266"/>
      <c r="M10" s="128"/>
      <c r="N10" s="279"/>
      <c r="O10" s="279"/>
      <c r="P10" s="266"/>
      <c r="Q10" s="266"/>
      <c r="R10" s="128"/>
      <c r="S10" s="279"/>
      <c r="T10" s="279"/>
      <c r="U10" s="266"/>
      <c r="V10" s="266"/>
      <c r="W10" s="278"/>
      <c r="X10" s="279"/>
      <c r="Y10" s="279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B23" s="30" t="b">
        <v>1</v>
      </c>
      <c r="C23" s="235" t="s">
        <v>310</v>
      </c>
      <c r="D23" s="195"/>
      <c r="E23" s="195"/>
      <c r="F23" s="195"/>
      <c r="G23" s="195"/>
    </row>
    <row r="24" spans="1:41" ht="19.5" thickBot="1" x14ac:dyDescent="0.35">
      <c r="C24" s="126"/>
      <c r="I24" s="345"/>
      <c r="J24" s="346"/>
      <c r="K24" s="346"/>
      <c r="L24" s="346"/>
      <c r="M24" s="346"/>
      <c r="N24" s="347"/>
      <c r="Q24" s="281"/>
      <c r="R24" s="348" t="s">
        <v>76</v>
      </c>
      <c r="S24" s="349"/>
      <c r="T24" s="349"/>
      <c r="U24" s="349"/>
      <c r="V24" s="350"/>
    </row>
    <row r="25" spans="1:41" ht="15.75" thickBot="1" x14ac:dyDescent="0.3">
      <c r="A25" s="230"/>
      <c r="B25" s="351" t="s">
        <v>77</v>
      </c>
      <c r="C25" s="352"/>
      <c r="D25" s="352"/>
      <c r="E25" s="352"/>
      <c r="F25" s="352"/>
      <c r="G25" s="352"/>
      <c r="H25" s="352"/>
      <c r="I25" s="353"/>
      <c r="J25" s="353"/>
      <c r="K25" s="353"/>
      <c r="L25" s="353"/>
      <c r="M25" s="353"/>
      <c r="N25" s="353"/>
      <c r="O25" s="352"/>
      <c r="P25" s="352"/>
      <c r="Q25" s="353"/>
      <c r="R25" s="352"/>
      <c r="S25" s="352"/>
      <c r="T25" s="352"/>
      <c r="U25" s="352"/>
      <c r="V25" s="352"/>
      <c r="W25" s="354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55">
        <v>1</v>
      </c>
      <c r="E26" s="355"/>
      <c r="F26" s="355">
        <v>2</v>
      </c>
      <c r="G26" s="355"/>
      <c r="H26" s="355">
        <v>3</v>
      </c>
      <c r="I26" s="355"/>
      <c r="J26" s="355">
        <v>4</v>
      </c>
      <c r="K26" s="355"/>
      <c r="L26" s="355">
        <v>5</v>
      </c>
      <c r="M26" s="360"/>
      <c r="N26" s="360">
        <v>6</v>
      </c>
      <c r="O26" s="361"/>
      <c r="P26" s="360">
        <v>7</v>
      </c>
      <c r="Q26" s="361"/>
      <c r="R26" s="360">
        <v>8</v>
      </c>
      <c r="S26" s="361"/>
      <c r="T26" s="360">
        <v>9</v>
      </c>
      <c r="U26" s="361"/>
      <c r="V26" s="360">
        <v>10</v>
      </c>
      <c r="W26" s="385"/>
      <c r="X26" s="357" t="s">
        <v>105</v>
      </c>
      <c r="Y26" s="358"/>
      <c r="Z26" s="359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274</v>
      </c>
      <c r="AC27" s="331" t="s">
        <v>100</v>
      </c>
      <c r="AD27" s="332"/>
      <c r="AE27" s="331" t="s">
        <v>101</v>
      </c>
      <c r="AF27" s="332"/>
      <c r="AG27" s="333" t="s">
        <v>102</v>
      </c>
      <c r="AH27" s="333"/>
      <c r="AI27" s="333" t="s">
        <v>103</v>
      </c>
      <c r="AJ27" s="333"/>
    </row>
    <row r="28" spans="1:41" x14ac:dyDescent="0.25">
      <c r="A28" s="230"/>
      <c r="B28" s="495" t="s">
        <v>79</v>
      </c>
      <c r="C28" s="496">
        <v>45957</v>
      </c>
      <c r="D28" s="497"/>
      <c r="E28" s="497"/>
      <c r="F28" s="497"/>
      <c r="G28" s="497"/>
      <c r="H28" s="497"/>
      <c r="I28" s="497"/>
      <c r="J28" s="497"/>
      <c r="K28" s="497"/>
      <c r="L28" s="497"/>
      <c r="M28" s="497"/>
      <c r="N28" s="497"/>
      <c r="O28" s="497"/>
      <c r="P28" s="497"/>
      <c r="Q28" s="497"/>
      <c r="R28" s="497"/>
      <c r="S28" s="497"/>
      <c r="T28" s="497"/>
      <c r="U28" s="497"/>
      <c r="V28" s="497"/>
      <c r="W28" s="499"/>
      <c r="X28" s="500"/>
      <c r="Y28" s="498"/>
      <c r="Z28" s="501"/>
      <c r="AA28" s="502"/>
      <c r="AB28" s="503"/>
      <c r="AC28" s="504"/>
      <c r="AD28" s="504"/>
      <c r="AE28" s="505" t="str">
        <f>TRUNC(SUM(AC28:AC34)*24,0) &amp; "h" &amp; RIGHT("00"&amp;ROUND(((SUM(AC28:AC34)*24)-TRUNC(SUM(AC28:AC34)*24,0))*60,2),2)</f>
        <v>0h00</v>
      </c>
      <c r="AF28" s="505"/>
      <c r="AG28" s="506"/>
      <c r="AH28" s="506"/>
      <c r="AI28" s="505" t="str">
        <f>TRUNC(SUM(AG28:AG34)*24,0) &amp; "h" &amp; RIGHT("00"&amp;ROUND(((SUM(AG28:AG34)*24)-TRUNC(SUM(AG28:AG34)*24,0))*60,2),2)</f>
        <v>0h00</v>
      </c>
      <c r="AJ28" s="505"/>
    </row>
    <row r="29" spans="1:41" ht="14.1" customHeight="1" x14ac:dyDescent="0.25">
      <c r="A29" s="230"/>
      <c r="B29" s="216" t="s">
        <v>80</v>
      </c>
      <c r="C29" s="213">
        <v>45958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43"/>
      <c r="AD29" s="343"/>
      <c r="AE29" s="336"/>
      <c r="AF29" s="336"/>
      <c r="AG29" s="364"/>
      <c r="AH29" s="364"/>
      <c r="AI29" s="336"/>
      <c r="AJ29" s="336"/>
    </row>
    <row r="30" spans="1:41" ht="14.1" customHeight="1" x14ac:dyDescent="0.25">
      <c r="A30" s="230"/>
      <c r="B30" s="216" t="s">
        <v>81</v>
      </c>
      <c r="C30" s="213">
        <v>45959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6"/>
      <c r="AB30" s="257"/>
      <c r="AC30" s="344"/>
      <c r="AD30" s="344"/>
      <c r="AE30" s="337"/>
      <c r="AF30" s="337"/>
      <c r="AG30" s="340"/>
      <c r="AH30" s="340"/>
      <c r="AI30" s="337"/>
      <c r="AJ30" s="337"/>
    </row>
    <row r="31" spans="1:41" ht="14.1" customHeight="1" x14ac:dyDescent="0.25">
      <c r="A31" s="230"/>
      <c r="B31" s="216" t="s">
        <v>82</v>
      </c>
      <c r="C31" s="213">
        <v>45960</v>
      </c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37"/>
      <c r="X31" s="246"/>
      <c r="Y31" s="204"/>
      <c r="Z31" s="247"/>
      <c r="AA31" s="254"/>
      <c r="AB31" s="255"/>
      <c r="AC31" s="343"/>
      <c r="AD31" s="343"/>
      <c r="AE31" s="336"/>
      <c r="AF31" s="336"/>
      <c r="AG31" s="364"/>
      <c r="AH31" s="364"/>
      <c r="AI31" s="336"/>
      <c r="AJ31" s="336"/>
    </row>
    <row r="32" spans="1:41" ht="14.1" customHeight="1" x14ac:dyDescent="0.25">
      <c r="A32" s="230"/>
      <c r="B32" s="216" t="s">
        <v>83</v>
      </c>
      <c r="C32" s="213">
        <v>45961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44"/>
      <c r="AD32" s="344"/>
      <c r="AE32" s="337"/>
      <c r="AF32" s="337"/>
      <c r="AG32" s="340"/>
      <c r="AH32" s="340"/>
      <c r="AI32" s="337"/>
      <c r="AJ32" s="337"/>
    </row>
    <row r="33" spans="1:42" ht="14.1" customHeight="1" x14ac:dyDescent="0.25">
      <c r="A33" s="230"/>
      <c r="B33" s="216" t="s">
        <v>84</v>
      </c>
      <c r="C33" s="213">
        <v>45962</v>
      </c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286"/>
      <c r="O33" s="286"/>
      <c r="P33" s="286"/>
      <c r="Q33" s="286"/>
      <c r="R33" s="286"/>
      <c r="S33" s="286"/>
      <c r="T33" s="286"/>
      <c r="U33" s="286"/>
      <c r="V33" s="286"/>
      <c r="W33" s="307"/>
      <c r="X33" s="287"/>
      <c r="Y33" s="288"/>
      <c r="Z33" s="494"/>
      <c r="AA33" s="289"/>
      <c r="AB33" s="290"/>
      <c r="AC33" s="380"/>
      <c r="AD33" s="380"/>
      <c r="AE33" s="336"/>
      <c r="AF33" s="336"/>
      <c r="AG33" s="376"/>
      <c r="AH33" s="364"/>
      <c r="AI33" s="336"/>
      <c r="AJ33" s="336"/>
    </row>
    <row r="34" spans="1:42" ht="14.1" customHeight="1" x14ac:dyDescent="0.25">
      <c r="A34" s="230"/>
      <c r="B34" s="219" t="s">
        <v>85</v>
      </c>
      <c r="C34" s="220">
        <v>45963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27"/>
      <c r="Z34" s="492"/>
      <c r="AA34" s="258"/>
      <c r="AB34" s="259"/>
      <c r="AC34" s="362"/>
      <c r="AD34" s="362"/>
      <c r="AE34" s="338"/>
      <c r="AF34" s="338"/>
      <c r="AG34" s="370"/>
      <c r="AH34" s="370"/>
      <c r="AI34" s="338"/>
      <c r="AJ34" s="338"/>
    </row>
    <row r="35" spans="1:42" ht="14.1" customHeight="1" x14ac:dyDescent="0.25">
      <c r="A35" s="230"/>
      <c r="B35" s="299" t="s">
        <v>79</v>
      </c>
      <c r="C35" s="300">
        <v>45964</v>
      </c>
      <c r="D35" s="301"/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2"/>
      <c r="X35" s="303"/>
      <c r="Y35" s="304"/>
      <c r="Z35" s="493"/>
      <c r="AA35" s="305"/>
      <c r="AB35" s="306"/>
      <c r="AC35" s="387"/>
      <c r="AD35" s="387"/>
      <c r="AE35" s="373" t="str">
        <f>TRUNC(SUM(AC35:AC41)*24,0) &amp; "h" &amp; RIGHT("00"&amp;ROUND(((SUM(AC35:AC41)*24)-TRUNC(SUM(AC35:AC41)*24,0))*60,2),2)</f>
        <v>0h00</v>
      </c>
      <c r="AF35" s="373"/>
      <c r="AG35" s="371"/>
      <c r="AH35" s="371"/>
      <c r="AI35" s="373" t="str">
        <f>TRUNC(SUM(AG35:AG41)*24,0) &amp; "h" &amp; RIGHT("00"&amp;ROUND(((SUM(AG35:AG41)*24)-TRUNC(SUM(AG35:AG41)*24,0))*60,2),2)</f>
        <v>0h00</v>
      </c>
      <c r="AJ35" s="373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45965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44"/>
      <c r="AD36" s="344"/>
      <c r="AE36" s="337"/>
      <c r="AF36" s="337"/>
      <c r="AG36" s="340"/>
      <c r="AH36" s="340"/>
      <c r="AI36" s="337"/>
      <c r="AJ36" s="337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45966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43"/>
      <c r="AD37" s="343"/>
      <c r="AE37" s="336"/>
      <c r="AF37" s="336"/>
      <c r="AG37" s="364"/>
      <c r="AH37" s="364"/>
      <c r="AI37" s="336"/>
      <c r="AJ37" s="336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45967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44"/>
      <c r="AD38" s="344"/>
      <c r="AE38" s="337"/>
      <c r="AF38" s="337"/>
      <c r="AG38" s="340"/>
      <c r="AH38" s="340"/>
      <c r="AI38" s="337"/>
      <c r="AJ38" s="337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45968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43"/>
      <c r="AD39" s="343"/>
      <c r="AE39" s="336"/>
      <c r="AF39" s="336"/>
      <c r="AG39" s="364"/>
      <c r="AH39" s="364"/>
      <c r="AI39" s="336"/>
      <c r="AJ39" s="336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45969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44"/>
      <c r="AD40" s="344"/>
      <c r="AE40" s="337"/>
      <c r="AF40" s="337"/>
      <c r="AG40" s="340"/>
      <c r="AH40" s="340"/>
      <c r="AI40" s="337"/>
      <c r="AJ40" s="337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45970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308"/>
      <c r="Z41" s="324"/>
      <c r="AA41" s="260"/>
      <c r="AB41" s="261"/>
      <c r="AC41" s="341"/>
      <c r="AD41" s="341"/>
      <c r="AE41" s="372"/>
      <c r="AF41" s="372"/>
      <c r="AG41" s="365"/>
      <c r="AH41" s="365"/>
      <c r="AI41" s="372"/>
      <c r="AJ41" s="372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45971</v>
      </c>
      <c r="D42" s="309"/>
      <c r="E42" s="309"/>
      <c r="F42" s="309"/>
      <c r="G42" s="309"/>
      <c r="H42" s="309"/>
      <c r="I42" s="309"/>
      <c r="J42" s="309"/>
      <c r="K42" s="309"/>
      <c r="L42" s="309"/>
      <c r="M42" s="309"/>
      <c r="N42" s="309"/>
      <c r="O42" s="309"/>
      <c r="P42" s="309"/>
      <c r="Q42" s="309"/>
      <c r="R42" s="309"/>
      <c r="S42" s="309"/>
      <c r="T42" s="309"/>
      <c r="U42" s="309"/>
      <c r="V42" s="309"/>
      <c r="W42" s="310"/>
      <c r="X42" s="311"/>
      <c r="Y42" s="312"/>
      <c r="Z42" s="325"/>
      <c r="AA42" s="313"/>
      <c r="AB42" s="314"/>
      <c r="AC42" s="374"/>
      <c r="AD42" s="374"/>
      <c r="AE42" s="335" t="str">
        <f>TRUNC(SUM(AC42:AC48)*24,0) &amp; "h" &amp; RIGHT("00"&amp;ROUND(((SUM(AC42:AC48)*24)-TRUNC(SUM(AC42:AC48)*24,0))*60,2),2)</f>
        <v>0h00</v>
      </c>
      <c r="AF42" s="335"/>
      <c r="AG42" s="366"/>
      <c r="AH42" s="366"/>
      <c r="AI42" s="335" t="str">
        <f>TRUNC(SUM(AG42:AG48)*24,0) &amp; "h" &amp; RIGHT("00"&amp;ROUND(((SUM(AG42:AG48)*24)-TRUNC(SUM(AG42:AG48)*24,0))*60,2),2)</f>
        <v>0h00</v>
      </c>
      <c r="AJ42" s="335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45972</v>
      </c>
      <c r="D43" s="286"/>
      <c r="E43" s="286"/>
      <c r="F43" s="286"/>
      <c r="G43" s="286"/>
      <c r="H43" s="286"/>
      <c r="I43" s="286"/>
      <c r="J43" s="286"/>
      <c r="K43" s="286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307"/>
      <c r="X43" s="287"/>
      <c r="Y43" s="288"/>
      <c r="Z43" s="494"/>
      <c r="AA43" s="289"/>
      <c r="AB43" s="290"/>
      <c r="AC43" s="380"/>
      <c r="AD43" s="380"/>
      <c r="AE43" s="336"/>
      <c r="AF43" s="336"/>
      <c r="AG43" s="376"/>
      <c r="AH43" s="364"/>
      <c r="AI43" s="336"/>
      <c r="AJ43" s="336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45973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44"/>
      <c r="AD44" s="344"/>
      <c r="AE44" s="337"/>
      <c r="AF44" s="337"/>
      <c r="AG44" s="340"/>
      <c r="AH44" s="340"/>
      <c r="AI44" s="337"/>
      <c r="AJ44" s="337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45974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43"/>
      <c r="AD45" s="343"/>
      <c r="AE45" s="336"/>
      <c r="AF45" s="336"/>
      <c r="AG45" s="364"/>
      <c r="AH45" s="364"/>
      <c r="AI45" s="336"/>
      <c r="AJ45" s="336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45975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44"/>
      <c r="AD46" s="344"/>
      <c r="AE46" s="337"/>
      <c r="AF46" s="337"/>
      <c r="AG46" s="340"/>
      <c r="AH46" s="340"/>
      <c r="AI46" s="337"/>
      <c r="AJ46" s="337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45976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43"/>
      <c r="AD47" s="343"/>
      <c r="AE47" s="336"/>
      <c r="AF47" s="336"/>
      <c r="AG47" s="364"/>
      <c r="AH47" s="364"/>
      <c r="AI47" s="336"/>
      <c r="AJ47" s="336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45977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27"/>
      <c r="Z48" s="492"/>
      <c r="AA48" s="258"/>
      <c r="AB48" s="259"/>
      <c r="AC48" s="362"/>
      <c r="AD48" s="362"/>
      <c r="AE48" s="338"/>
      <c r="AF48" s="338"/>
      <c r="AG48" s="370"/>
      <c r="AH48" s="370"/>
      <c r="AI48" s="338"/>
      <c r="AJ48" s="338"/>
    </row>
    <row r="49" spans="1:36" ht="14.1" customHeight="1" x14ac:dyDescent="0.25">
      <c r="A49" s="230"/>
      <c r="B49" s="299" t="s">
        <v>79</v>
      </c>
      <c r="C49" s="300">
        <v>45978</v>
      </c>
      <c r="D49" s="301"/>
      <c r="E49" s="301"/>
      <c r="F49" s="301"/>
      <c r="G49" s="301"/>
      <c r="H49" s="301"/>
      <c r="I49" s="301"/>
      <c r="J49" s="301"/>
      <c r="K49" s="301"/>
      <c r="L49" s="301"/>
      <c r="M49" s="301"/>
      <c r="N49" s="301"/>
      <c r="O49" s="301"/>
      <c r="P49" s="301"/>
      <c r="Q49" s="301"/>
      <c r="R49" s="301"/>
      <c r="S49" s="301"/>
      <c r="T49" s="301"/>
      <c r="U49" s="301"/>
      <c r="V49" s="301"/>
      <c r="W49" s="302"/>
      <c r="X49" s="303"/>
      <c r="Y49" s="304"/>
      <c r="Z49" s="493"/>
      <c r="AA49" s="305"/>
      <c r="AB49" s="306"/>
      <c r="AC49" s="387"/>
      <c r="AD49" s="387"/>
      <c r="AE49" s="373" t="str">
        <f>TRUNC(SUM(AC49:AC55)*24,0) &amp; "h" &amp; RIGHT("00"&amp;ROUND(((SUM(AC49:AC55)*24)-TRUNC(SUM(AC49:AC55)*24,0))*60,2),2)</f>
        <v>0h00</v>
      </c>
      <c r="AF49" s="373"/>
      <c r="AG49" s="371"/>
      <c r="AH49" s="371"/>
      <c r="AI49" s="373" t="str">
        <f>TRUNC(SUM(AG49:AG55)*24,0) &amp; "h" &amp; RIGHT("00"&amp;ROUND(((SUM(AG49:AG55)*24)-TRUNC(SUM(AG49:AG55)*24,0))*60,2),2)</f>
        <v>0h00</v>
      </c>
      <c r="AJ49" s="373"/>
    </row>
    <row r="50" spans="1:36" ht="14.1" customHeight="1" x14ac:dyDescent="0.25">
      <c r="A50" s="230"/>
      <c r="B50" s="216" t="s">
        <v>80</v>
      </c>
      <c r="C50" s="213">
        <v>45979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44"/>
      <c r="AD50" s="344"/>
      <c r="AE50" s="337"/>
      <c r="AF50" s="337"/>
      <c r="AG50" s="340"/>
      <c r="AH50" s="340"/>
      <c r="AI50" s="337"/>
      <c r="AJ50" s="337"/>
    </row>
    <row r="51" spans="1:36" ht="14.1" customHeight="1" x14ac:dyDescent="0.25">
      <c r="A51" s="230"/>
      <c r="B51" s="216" t="s">
        <v>81</v>
      </c>
      <c r="C51" s="213">
        <v>45980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43"/>
      <c r="AD51" s="343"/>
      <c r="AE51" s="336"/>
      <c r="AF51" s="336"/>
      <c r="AG51" s="364"/>
      <c r="AH51" s="364"/>
      <c r="AI51" s="336"/>
      <c r="AJ51" s="336"/>
    </row>
    <row r="52" spans="1:36" ht="14.1" customHeight="1" x14ac:dyDescent="0.25">
      <c r="A52" s="230"/>
      <c r="B52" s="216" t="s">
        <v>82</v>
      </c>
      <c r="C52" s="213">
        <v>45981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44"/>
      <c r="AD52" s="344"/>
      <c r="AE52" s="337"/>
      <c r="AF52" s="337"/>
      <c r="AG52" s="340"/>
      <c r="AH52" s="340"/>
      <c r="AI52" s="337"/>
      <c r="AJ52" s="337"/>
    </row>
    <row r="53" spans="1:36" ht="14.1" customHeight="1" x14ac:dyDescent="0.25">
      <c r="A53" s="230"/>
      <c r="B53" s="216" t="s">
        <v>83</v>
      </c>
      <c r="C53" s="213">
        <v>45982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43"/>
      <c r="AD53" s="343"/>
      <c r="AE53" s="336"/>
      <c r="AF53" s="336"/>
      <c r="AG53" s="364"/>
      <c r="AH53" s="364"/>
      <c r="AI53" s="336"/>
      <c r="AJ53" s="336"/>
    </row>
    <row r="54" spans="1:36" ht="14.1" customHeight="1" x14ac:dyDescent="0.25">
      <c r="A54" s="230"/>
      <c r="B54" s="216" t="s">
        <v>84</v>
      </c>
      <c r="C54" s="213">
        <v>45983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44"/>
      <c r="AD54" s="344"/>
      <c r="AE54" s="337"/>
      <c r="AF54" s="337"/>
      <c r="AG54" s="340"/>
      <c r="AH54" s="340"/>
      <c r="AI54" s="337"/>
      <c r="AJ54" s="337"/>
    </row>
    <row r="55" spans="1:36" ht="14.1" customHeight="1" x14ac:dyDescent="0.25">
      <c r="A55" s="230"/>
      <c r="B55" s="217" t="s">
        <v>85</v>
      </c>
      <c r="C55" s="218">
        <v>45984</v>
      </c>
      <c r="D55" s="280"/>
      <c r="E55" s="28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308"/>
      <c r="Z55" s="324"/>
      <c r="AA55" s="260"/>
      <c r="AB55" s="261"/>
      <c r="AC55" s="341"/>
      <c r="AD55" s="341"/>
      <c r="AE55" s="372"/>
      <c r="AF55" s="372"/>
      <c r="AG55" s="365"/>
      <c r="AH55" s="365"/>
      <c r="AI55" s="372"/>
      <c r="AJ55" s="372"/>
    </row>
    <row r="56" spans="1:36" ht="14.1" customHeight="1" x14ac:dyDescent="0.25">
      <c r="A56" s="230"/>
      <c r="B56" s="507"/>
      <c r="C56" s="508"/>
      <c r="D56" s="509"/>
      <c r="E56" s="509"/>
      <c r="F56" s="509"/>
      <c r="G56" s="509"/>
      <c r="H56" s="509"/>
      <c r="I56" s="509"/>
      <c r="J56" s="509"/>
      <c r="K56" s="509"/>
      <c r="L56" s="509"/>
      <c r="M56" s="509"/>
      <c r="N56" s="509"/>
      <c r="O56" s="509"/>
      <c r="P56" s="509"/>
      <c r="Q56" s="509"/>
      <c r="R56" s="509"/>
      <c r="S56" s="509"/>
      <c r="T56" s="509"/>
      <c r="U56" s="509"/>
      <c r="V56" s="509"/>
      <c r="W56" s="510"/>
      <c r="X56" s="507"/>
      <c r="Y56" s="511"/>
      <c r="Z56" s="512"/>
      <c r="AA56" s="513"/>
      <c r="AB56" s="514"/>
      <c r="AC56" s="515"/>
      <c r="AD56" s="515"/>
      <c r="AE56" s="516" t="str">
        <f>TRUNC(SUM(AC56:AC62)*24,0) &amp; "h" &amp; RIGHT("00"&amp;ROUND(((SUM(AC56:AC62)*24)-TRUNC(SUM(AC56:AC62)*24,0))*60,2),2)</f>
        <v>0h00</v>
      </c>
      <c r="AF56" s="516"/>
      <c r="AG56" s="517"/>
      <c r="AH56" s="517"/>
      <c r="AI56" s="516" t="str">
        <f>TRUNC(SUM(AG56:AG62)*24,0) &amp; "h" &amp; RIGHT("00"&amp;ROUND(((SUM(AG56:AG62)*24)-TRUNC(SUM(AG56:AG62)*24,0))*60,2),2)</f>
        <v>0h00</v>
      </c>
      <c r="AJ56" s="516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2"/>
      <c r="AA57" s="262"/>
      <c r="AB57" s="263"/>
      <c r="AC57" s="381"/>
      <c r="AD57" s="381"/>
      <c r="AE57" s="368"/>
      <c r="AF57" s="368"/>
      <c r="AG57" s="384"/>
      <c r="AH57" s="384"/>
      <c r="AI57" s="368"/>
      <c r="AJ57" s="368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2"/>
      <c r="AA58" s="262"/>
      <c r="AB58" s="263"/>
      <c r="AC58" s="381"/>
      <c r="AD58" s="381"/>
      <c r="AE58" s="368"/>
      <c r="AF58" s="368"/>
      <c r="AG58" s="384"/>
      <c r="AH58" s="384"/>
      <c r="AI58" s="368"/>
      <c r="AJ58" s="368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2"/>
      <c r="AA59" s="262"/>
      <c r="AB59" s="263"/>
      <c r="AC59" s="381"/>
      <c r="AD59" s="381"/>
      <c r="AE59" s="368"/>
      <c r="AF59" s="368"/>
      <c r="AG59" s="384"/>
      <c r="AH59" s="384"/>
      <c r="AI59" s="368"/>
      <c r="AJ59" s="368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2"/>
      <c r="AA60" s="262"/>
      <c r="AB60" s="263"/>
      <c r="AC60" s="381"/>
      <c r="AD60" s="381"/>
      <c r="AE60" s="368"/>
      <c r="AF60" s="368"/>
      <c r="AG60" s="384"/>
      <c r="AH60" s="384"/>
      <c r="AI60" s="368"/>
      <c r="AJ60" s="368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2"/>
      <c r="AA61" s="262"/>
      <c r="AB61" s="263"/>
      <c r="AC61" s="381"/>
      <c r="AD61" s="381"/>
      <c r="AE61" s="368"/>
      <c r="AF61" s="368"/>
      <c r="AG61" s="384"/>
      <c r="AH61" s="384"/>
      <c r="AI61" s="368"/>
      <c r="AJ61" s="368"/>
    </row>
    <row r="62" spans="1:36" ht="14.1" customHeight="1" x14ac:dyDescent="0.25">
      <c r="A62" s="230"/>
      <c r="B62" s="518"/>
      <c r="C62" s="519"/>
      <c r="D62" s="520"/>
      <c r="E62" s="520"/>
      <c r="F62" s="520"/>
      <c r="G62" s="520"/>
      <c r="H62" s="520"/>
      <c r="I62" s="520"/>
      <c r="J62" s="520"/>
      <c r="K62" s="520"/>
      <c r="L62" s="520"/>
      <c r="M62" s="520"/>
      <c r="N62" s="520"/>
      <c r="O62" s="520"/>
      <c r="P62" s="520"/>
      <c r="Q62" s="520"/>
      <c r="R62" s="520"/>
      <c r="S62" s="520"/>
      <c r="T62" s="520"/>
      <c r="U62" s="520"/>
      <c r="V62" s="520"/>
      <c r="W62" s="521"/>
      <c r="X62" s="518"/>
      <c r="Y62" s="522"/>
      <c r="Z62" s="523"/>
      <c r="AA62" s="524"/>
      <c r="AB62" s="525"/>
      <c r="AC62" s="526"/>
      <c r="AD62" s="526"/>
      <c r="AE62" s="527"/>
      <c r="AF62" s="527"/>
      <c r="AG62" s="528"/>
      <c r="AH62" s="528"/>
      <c r="AI62" s="527"/>
      <c r="AJ62" s="527"/>
    </row>
    <row r="63" spans="1:36" ht="14.1" customHeight="1" x14ac:dyDescent="0.25">
      <c r="A63" s="230"/>
      <c r="B63" s="294"/>
      <c r="C63" s="292"/>
      <c r="D63" s="293"/>
      <c r="E63" s="293"/>
      <c r="F63" s="293"/>
      <c r="G63" s="293"/>
      <c r="H63" s="293"/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293"/>
      <c r="W63" s="295"/>
      <c r="X63" s="294"/>
      <c r="Y63" s="291"/>
      <c r="Z63" s="296"/>
      <c r="AA63" s="297"/>
      <c r="AB63" s="298"/>
      <c r="AC63" s="363"/>
      <c r="AD63" s="363"/>
      <c r="AE63" s="367" t="str">
        <f>TRUNC(SUM(AC63:AC69)*24,0) &amp; "h" &amp; RIGHT("00"&amp;ROUND(((SUM(AC63:AC69)*24)-TRUNC(SUM(AC63:AC69)*24,0))*60,2),2)</f>
        <v>0h00</v>
      </c>
      <c r="AF63" s="367"/>
      <c r="AG63" s="375"/>
      <c r="AH63" s="375"/>
      <c r="AI63" s="367" t="str">
        <f>TRUNC(SUM(AG63:AG69)*24,0) &amp; "h" &amp; RIGHT("00"&amp;ROUND(((SUM(AG63:AG69)*24)-TRUNC(SUM(AG63:AG69)*24,0))*60,2),2)</f>
        <v>0h00</v>
      </c>
      <c r="AJ63" s="367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381"/>
      <c r="AD64" s="381"/>
      <c r="AE64" s="368"/>
      <c r="AF64" s="368"/>
      <c r="AG64" s="384"/>
      <c r="AH64" s="384"/>
      <c r="AI64" s="368"/>
      <c r="AJ64" s="368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381"/>
      <c r="AD65" s="381"/>
      <c r="AE65" s="368"/>
      <c r="AF65" s="368"/>
      <c r="AG65" s="384"/>
      <c r="AH65" s="384"/>
      <c r="AI65" s="368"/>
      <c r="AJ65" s="368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381"/>
      <c r="AD66" s="381"/>
      <c r="AE66" s="368"/>
      <c r="AF66" s="368"/>
      <c r="AG66" s="384"/>
      <c r="AH66" s="384"/>
      <c r="AI66" s="368"/>
      <c r="AJ66" s="368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381"/>
      <c r="AD67" s="381"/>
      <c r="AE67" s="368"/>
      <c r="AF67" s="368"/>
      <c r="AG67" s="384"/>
      <c r="AH67" s="384"/>
      <c r="AI67" s="368"/>
      <c r="AJ67" s="368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381"/>
      <c r="AD68" s="381"/>
      <c r="AE68" s="368"/>
      <c r="AF68" s="368"/>
      <c r="AG68" s="384"/>
      <c r="AH68" s="384"/>
      <c r="AI68" s="368"/>
      <c r="AJ68" s="368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388"/>
      <c r="AD69" s="388"/>
      <c r="AE69" s="369"/>
      <c r="AF69" s="369"/>
      <c r="AG69" s="386"/>
      <c r="AH69" s="386"/>
      <c r="AI69" s="369"/>
      <c r="AJ69" s="369"/>
    </row>
    <row r="70" spans="1:36" ht="24" customHeight="1" thickBot="1" x14ac:dyDescent="0.3">
      <c r="B70" s="377" t="s">
        <v>152</v>
      </c>
      <c r="C70" s="377"/>
      <c r="D70" s="378"/>
      <c r="E70" s="378"/>
      <c r="F70" s="379" t="s">
        <v>307</v>
      </c>
      <c r="G70" s="379"/>
      <c r="H70" s="379"/>
      <c r="I70" s="379"/>
      <c r="J70" s="379"/>
      <c r="K70" s="379"/>
      <c r="L70" s="379"/>
      <c r="M70" s="379"/>
      <c r="N70" s="379"/>
      <c r="O70" s="379"/>
      <c r="P70" s="231"/>
      <c r="Q70" s="232"/>
      <c r="R70" s="232"/>
      <c r="S70" s="232"/>
      <c r="T70" s="232"/>
      <c r="U70" s="232"/>
      <c r="V70" s="382" t="s">
        <v>121</v>
      </c>
      <c r="W70" s="382"/>
      <c r="X70" s="382"/>
      <c r="Y70" s="382"/>
      <c r="Z70" s="382"/>
      <c r="AA70" s="233"/>
      <c r="AB70" s="233">
        <f>MAX(AB29:AB69)</f>
        <v>0</v>
      </c>
      <c r="AC70" s="383"/>
      <c r="AD70" s="383"/>
      <c r="AE70" s="334" t="str">
        <f>TRUNC(SUM(AC28:AC69)*24,0) &amp; "h" &amp; RIGHT("00"&amp;ROUND(((SUM(AC28:AC69)*24)-TRUNC(SUM(AC28:AC69)*24,0))*60,2),2)</f>
        <v>0h00</v>
      </c>
      <c r="AF70" s="334"/>
      <c r="AG70" s="339"/>
      <c r="AH70" s="339"/>
      <c r="AI70" s="339" t="str">
        <f>TRUNC(SUM(AG29:AG69)*24,0) &amp; "h" &amp; RIGHT("00"&amp;ROUND(((SUM(AG29:AG69)*24)-TRUNC(SUM(AG29:AG69)*24,0))*60,2),2)</f>
        <v>0h00</v>
      </c>
      <c r="AJ70" s="339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Q39" sqref="Q3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273</v>
      </c>
      <c r="AB1" t="s">
        <v>15</v>
      </c>
    </row>
    <row r="2" spans="4:28" ht="17.25" x14ac:dyDescent="0.3">
      <c r="D2" t="s">
        <v>13</v>
      </c>
      <c r="E2" s="397"/>
      <c r="F2" s="397"/>
      <c r="G2" s="397"/>
      <c r="H2" s="397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9"/>
      <c r="F4" s="389"/>
      <c r="G4" s="389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3" t="s">
        <v>12</v>
      </c>
      <c r="I9" s="394"/>
      <c r="O9" s="483"/>
      <c r="P9" s="484"/>
      <c r="Q9" s="485"/>
      <c r="R9" s="486"/>
      <c r="S9" s="487"/>
    </row>
    <row r="10" spans="4:28" ht="15.75" thickBot="1" x14ac:dyDescent="0.3">
      <c r="D10" s="23"/>
      <c r="E10" s="274"/>
      <c r="F10" s="275"/>
      <c r="G10" s="276"/>
      <c r="H10" s="395"/>
      <c r="I10" s="396"/>
      <c r="O10" s="315"/>
      <c r="P10" s="316"/>
      <c r="Q10" s="317"/>
      <c r="R10" s="318"/>
      <c r="S10" s="319"/>
    </row>
    <row r="11" spans="4:28" x14ac:dyDescent="0.25">
      <c r="O11" s="315"/>
      <c r="P11" s="316"/>
      <c r="Q11" s="317"/>
      <c r="R11" s="318"/>
      <c r="S11" s="319"/>
    </row>
    <row r="12" spans="4:28" x14ac:dyDescent="0.25">
      <c r="O12" s="315"/>
      <c r="P12" s="316"/>
      <c r="Q12" s="317"/>
      <c r="R12" s="318"/>
      <c r="S12" s="319"/>
    </row>
    <row r="13" spans="4:28" x14ac:dyDescent="0.25">
      <c r="O13" s="315"/>
      <c r="P13" s="316"/>
      <c r="Q13" s="317"/>
      <c r="R13" s="318"/>
      <c r="S13" s="319"/>
    </row>
    <row r="14" spans="4:28" x14ac:dyDescent="0.25">
      <c r="O14" s="315"/>
      <c r="P14" s="316"/>
      <c r="Q14" s="317"/>
      <c r="R14" s="318"/>
      <c r="S14" s="319"/>
    </row>
    <row r="15" spans="4:28" x14ac:dyDescent="0.25">
      <c r="O15" s="315"/>
      <c r="P15" s="316"/>
      <c r="Q15" s="317"/>
      <c r="R15" s="318"/>
      <c r="S15" s="319"/>
    </row>
    <row r="16" spans="4:28" ht="15.75" thickBot="1" x14ac:dyDescent="0.3">
      <c r="O16" s="315"/>
      <c r="P16" s="316"/>
      <c r="Q16" s="317"/>
      <c r="R16" s="318"/>
      <c r="S16" s="319"/>
    </row>
    <row r="17" spans="4:19" ht="15.75" thickBot="1" x14ac:dyDescent="0.3">
      <c r="D17" s="390" t="s">
        <v>17</v>
      </c>
      <c r="E17" s="391"/>
      <c r="F17" s="391"/>
      <c r="G17" s="392"/>
      <c r="O17" s="315"/>
      <c r="P17" s="316"/>
      <c r="Q17" s="317"/>
      <c r="R17" s="318"/>
      <c r="S17" s="319"/>
    </row>
    <row r="18" spans="4:19" x14ac:dyDescent="0.25">
      <c r="D18" s="5"/>
      <c r="G18" s="6"/>
      <c r="O18" s="315"/>
      <c r="P18" s="316"/>
      <c r="Q18" s="317"/>
      <c r="R18" s="318"/>
      <c r="S18" s="319"/>
    </row>
    <row r="19" spans="4:19" x14ac:dyDescent="0.25">
      <c r="D19" s="5" t="s">
        <v>18</v>
      </c>
      <c r="E19" s="1"/>
      <c r="G19" s="6"/>
      <c r="O19" s="315"/>
      <c r="P19" s="316"/>
      <c r="Q19" s="317"/>
      <c r="R19" s="318"/>
      <c r="S19" s="319"/>
    </row>
    <row r="20" spans="4:19" ht="15.75" thickBot="1" x14ac:dyDescent="0.3">
      <c r="D20" s="16" t="s">
        <v>19</v>
      </c>
      <c r="E20" s="17"/>
      <c r="F20" s="7"/>
      <c r="G20" s="8"/>
      <c r="O20" s="315"/>
      <c r="P20" s="316"/>
      <c r="Q20" s="317"/>
      <c r="R20" s="318"/>
      <c r="S20" s="319"/>
    </row>
    <row r="21" spans="4:19" x14ac:dyDescent="0.25">
      <c r="O21" s="315"/>
      <c r="P21" s="316"/>
      <c r="Q21" s="317"/>
      <c r="R21" s="318"/>
      <c r="S21" s="319"/>
    </row>
    <row r="22" spans="4:19" x14ac:dyDescent="0.25">
      <c r="E22" s="40"/>
      <c r="O22" s="315"/>
      <c r="P22" s="316"/>
      <c r="Q22" s="317"/>
      <c r="R22" s="318"/>
      <c r="S22" s="319"/>
    </row>
    <row r="23" spans="4:19" x14ac:dyDescent="0.25">
      <c r="O23" s="315"/>
      <c r="P23" s="316"/>
      <c r="Q23" s="317"/>
      <c r="R23" s="318"/>
      <c r="S23" s="319"/>
    </row>
    <row r="24" spans="4:19" x14ac:dyDescent="0.25">
      <c r="O24" s="315"/>
      <c r="P24" s="316"/>
      <c r="Q24" s="317"/>
      <c r="R24" s="318"/>
      <c r="S24" s="319"/>
    </row>
    <row r="25" spans="4:19" x14ac:dyDescent="0.25">
      <c r="O25" s="315"/>
      <c r="P25" s="316"/>
      <c r="Q25" s="317"/>
      <c r="R25" s="318"/>
      <c r="S25" s="319"/>
    </row>
    <row r="26" spans="4:19" x14ac:dyDescent="0.25">
      <c r="O26" s="315"/>
      <c r="P26" s="316"/>
      <c r="Q26" s="317"/>
      <c r="R26" s="318"/>
      <c r="S26" s="319"/>
    </row>
    <row r="27" spans="4:19" x14ac:dyDescent="0.25">
      <c r="O27" s="315"/>
      <c r="P27" s="316"/>
      <c r="Q27" s="317"/>
      <c r="R27" s="318"/>
      <c r="S27" s="319"/>
    </row>
    <row r="28" spans="4:19" x14ac:dyDescent="0.25">
      <c r="O28" s="315"/>
      <c r="P28" s="316"/>
      <c r="Q28" s="317"/>
      <c r="R28" s="318"/>
      <c r="S28" s="319"/>
    </row>
    <row r="29" spans="4:19" x14ac:dyDescent="0.25">
      <c r="O29" s="315"/>
      <c r="P29" s="316"/>
      <c r="Q29" s="317"/>
      <c r="R29" s="318"/>
      <c r="S29" s="319"/>
    </row>
    <row r="30" spans="4:19" x14ac:dyDescent="0.25">
      <c r="O30" s="315"/>
      <c r="P30" s="316"/>
      <c r="Q30" s="317"/>
      <c r="R30" s="318"/>
      <c r="S30" s="319"/>
    </row>
    <row r="31" spans="4:19" x14ac:dyDescent="0.25">
      <c r="O31" s="315"/>
      <c r="P31" s="316"/>
      <c r="Q31" s="317"/>
      <c r="R31" s="318"/>
      <c r="S31" s="319"/>
    </row>
    <row r="32" spans="4:19" x14ac:dyDescent="0.25">
      <c r="O32" s="315"/>
      <c r="P32" s="316"/>
      <c r="Q32" s="317"/>
      <c r="R32" s="318"/>
      <c r="S32" s="319"/>
    </row>
    <row r="33" spans="15:19" x14ac:dyDescent="0.25">
      <c r="O33" s="315"/>
      <c r="P33" s="318"/>
      <c r="Q33" s="317"/>
      <c r="R33" s="318"/>
      <c r="S33" s="319"/>
    </row>
    <row r="34" spans="15:19" x14ac:dyDescent="0.25">
      <c r="O34" s="315"/>
      <c r="P34" s="318"/>
      <c r="Q34" s="317"/>
      <c r="R34" s="318"/>
      <c r="S34" s="319"/>
    </row>
    <row r="35" spans="15:19" x14ac:dyDescent="0.25">
      <c r="O35" s="315"/>
      <c r="P35" s="318"/>
      <c r="Q35" s="317"/>
      <c r="R35" s="318"/>
      <c r="S35" s="319"/>
    </row>
    <row r="36" spans="15:19" x14ac:dyDescent="0.25">
      <c r="O36" s="315"/>
      <c r="P36" s="318"/>
      <c r="Q36" s="317"/>
      <c r="R36" s="318"/>
      <c r="S36" s="319"/>
    </row>
    <row r="37" spans="15:19" x14ac:dyDescent="0.25">
      <c r="O37" s="315"/>
      <c r="P37" s="318"/>
      <c r="Q37" s="317"/>
      <c r="R37" s="318"/>
      <c r="S37" s="319"/>
    </row>
    <row r="38" spans="15:19" x14ac:dyDescent="0.25">
      <c r="O38" s="315"/>
      <c r="P38" s="318"/>
      <c r="Q38" s="317"/>
      <c r="R38" s="318"/>
      <c r="S38" s="319"/>
    </row>
    <row r="39" spans="15:19" x14ac:dyDescent="0.25">
      <c r="O39" s="315"/>
      <c r="P39" s="318"/>
      <c r="Q39" s="317"/>
      <c r="R39" s="318"/>
      <c r="S39" s="319"/>
    </row>
    <row r="40" spans="15:19" x14ac:dyDescent="0.25">
      <c r="O40" s="315"/>
      <c r="P40" s="318"/>
      <c r="Q40" s="317"/>
      <c r="R40" s="318"/>
      <c r="S40" s="319"/>
    </row>
    <row r="41" spans="15:19" x14ac:dyDescent="0.25">
      <c r="O41" s="315"/>
      <c r="P41" s="318"/>
      <c r="Q41" s="317"/>
      <c r="R41" s="318"/>
      <c r="S41" s="319"/>
    </row>
    <row r="42" spans="15:19" x14ac:dyDescent="0.25">
      <c r="O42" s="315"/>
      <c r="P42" s="318"/>
      <c r="Q42" s="317"/>
      <c r="R42" s="318"/>
      <c r="S42" s="319"/>
    </row>
    <row r="43" spans="15:19" x14ac:dyDescent="0.25">
      <c r="O43" s="315"/>
      <c r="P43" s="318"/>
      <c r="Q43" s="317"/>
      <c r="R43" s="318"/>
      <c r="S43" s="319"/>
    </row>
    <row r="44" spans="15:19" x14ac:dyDescent="0.25">
      <c r="O44" s="315"/>
      <c r="P44" s="318"/>
      <c r="Q44" s="317"/>
      <c r="R44" s="318"/>
      <c r="S44" s="319"/>
    </row>
    <row r="45" spans="15:19" x14ac:dyDescent="0.25">
      <c r="O45" s="315"/>
      <c r="P45" s="318"/>
      <c r="Q45" s="317"/>
      <c r="R45" s="318"/>
      <c r="S45" s="319"/>
    </row>
    <row r="46" spans="15:19" x14ac:dyDescent="0.25">
      <c r="O46" s="315"/>
      <c r="P46" s="318"/>
      <c r="Q46" s="317"/>
      <c r="R46" s="318"/>
      <c r="S46" s="319"/>
    </row>
    <row r="47" spans="15:19" x14ac:dyDescent="0.25">
      <c r="O47" s="315"/>
      <c r="P47" s="318"/>
      <c r="Q47" s="317"/>
      <c r="R47" s="318"/>
      <c r="S47" s="319"/>
    </row>
    <row r="48" spans="15:19" x14ac:dyDescent="0.25">
      <c r="O48" s="315"/>
      <c r="P48" s="318"/>
      <c r="Q48" s="317"/>
      <c r="R48" s="318"/>
      <c r="S48" s="319"/>
    </row>
    <row r="49" spans="15:19" ht="15.75" thickBot="1" x14ac:dyDescent="0.3">
      <c r="O49" s="320"/>
      <c r="P49" s="321"/>
      <c r="Q49" s="322"/>
      <c r="R49" s="321"/>
      <c r="S49" s="323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tabSelected="1" workbookViewId="0">
      <selection activeCell="L44" sqref="L4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398" t="s">
        <v>45</v>
      </c>
      <c r="M2" s="399"/>
      <c r="N2" s="399"/>
      <c r="O2" s="399"/>
      <c r="P2" s="399"/>
      <c r="Q2" s="400"/>
      <c r="S2" s="405" t="s">
        <v>259</v>
      </c>
      <c r="T2" s="406"/>
    </row>
    <row r="3" spans="1:20" ht="15.75" thickBot="1" x14ac:dyDescent="0.3">
      <c r="A3" s="142"/>
      <c r="B3" s="153"/>
      <c r="C3" s="160"/>
      <c r="D3" s="144"/>
      <c r="L3" s="401"/>
      <c r="M3" s="402"/>
      <c r="N3" s="402"/>
      <c r="O3" s="402"/>
      <c r="P3" s="402"/>
      <c r="Q3" s="403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279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3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3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311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B13" s="153"/>
      <c r="C13" s="161"/>
      <c r="D13" s="144"/>
      <c r="L13" s="5"/>
      <c r="M13" s="30"/>
      <c r="N13" s="404" t="s">
        <v>46</v>
      </c>
      <c r="O13" s="404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 t="s">
        <v>264</v>
      </c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356"/>
      <c r="D39" s="356"/>
      <c r="E39" s="3" t="s">
        <v>27</v>
      </c>
    </row>
    <row r="41" spans="1:20" s="24" customFormat="1" ht="15.75" x14ac:dyDescent="0.25">
      <c r="B41" s="24" t="s">
        <v>36</v>
      </c>
      <c r="C41" s="560"/>
      <c r="E41" s="25" t="s">
        <v>37</v>
      </c>
    </row>
    <row r="42" spans="1:20" s="24" customFormat="1" ht="15.75" x14ac:dyDescent="0.25">
      <c r="B42" s="24" t="s">
        <v>38</v>
      </c>
      <c r="C42" s="561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60"/>
      <c r="E44" s="4" t="s">
        <v>9</v>
      </c>
    </row>
    <row r="45" spans="1:20" x14ac:dyDescent="0.25">
      <c r="B45" s="2" t="s">
        <v>6</v>
      </c>
      <c r="C45" s="561"/>
      <c r="E45" s="4" t="s">
        <v>10</v>
      </c>
    </row>
    <row r="46" spans="1:20" x14ac:dyDescent="0.25">
      <c r="B46" s="2" t="s">
        <v>7</v>
      </c>
      <c r="C46" s="561"/>
    </row>
    <row r="47" spans="1:20" x14ac:dyDescent="0.25">
      <c r="B47" s="2" t="s">
        <v>8</v>
      </c>
      <c r="C47" s="561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4"/>
      <c r="B2" s="415"/>
      <c r="C2" s="415"/>
      <c r="D2" s="415"/>
      <c r="E2" s="415"/>
      <c r="F2" s="415"/>
      <c r="G2" s="415"/>
      <c r="H2" s="416" t="s">
        <v>52</v>
      </c>
      <c r="I2" s="416"/>
      <c r="J2" s="416"/>
      <c r="K2" s="416"/>
      <c r="L2" s="416"/>
      <c r="M2" s="416"/>
      <c r="N2" s="416"/>
      <c r="O2" s="416"/>
      <c r="P2" s="416"/>
      <c r="Q2" s="416"/>
      <c r="R2" s="416"/>
      <c r="S2" s="416"/>
      <c r="T2" s="417"/>
      <c r="U2" s="418">
        <v>0</v>
      </c>
      <c r="V2" s="419"/>
      <c r="W2" s="419"/>
      <c r="X2" s="419"/>
      <c r="Y2" s="419"/>
      <c r="Z2" s="419"/>
      <c r="AA2" s="419"/>
      <c r="AB2" s="419"/>
      <c r="AC2" s="419"/>
      <c r="AD2" s="419"/>
      <c r="AE2" s="419"/>
      <c r="AF2" s="419"/>
      <c r="AG2" s="419"/>
      <c r="AH2" s="419"/>
      <c r="AI2" s="419"/>
      <c r="AJ2" s="419"/>
      <c r="AK2" s="419"/>
      <c r="AL2" s="419"/>
      <c r="AM2" s="419"/>
      <c r="AN2" s="419"/>
      <c r="AO2" s="407" t="s">
        <v>53</v>
      </c>
      <c r="AP2" s="408"/>
      <c r="AQ2" s="408"/>
      <c r="AR2" s="408"/>
      <c r="AS2" s="408"/>
      <c r="AT2" s="408"/>
      <c r="AU2" s="408"/>
      <c r="AV2" s="408"/>
      <c r="AW2" s="408"/>
      <c r="AX2" s="408"/>
      <c r="AY2" s="408"/>
      <c r="AZ2" s="408"/>
      <c r="BA2" s="409"/>
      <c r="BB2" s="410"/>
      <c r="BC2" s="411"/>
      <c r="BD2" s="411"/>
      <c r="BE2" s="411"/>
      <c r="BF2" s="411"/>
      <c r="BG2" s="411"/>
      <c r="BH2" s="411"/>
      <c r="BI2" s="411"/>
      <c r="BJ2" s="411"/>
      <c r="BK2" s="411"/>
      <c r="BL2" s="412"/>
    </row>
    <row r="3" spans="1:65" ht="15.75" thickBot="1" x14ac:dyDescent="0.3">
      <c r="A3" s="355">
        <v>1</v>
      </c>
      <c r="B3" s="355"/>
      <c r="C3" s="355">
        <v>2</v>
      </c>
      <c r="D3" s="355"/>
      <c r="E3" s="355">
        <v>3</v>
      </c>
      <c r="F3" s="355"/>
      <c r="G3" s="355">
        <v>4</v>
      </c>
      <c r="H3" s="355"/>
      <c r="I3" s="360">
        <v>5</v>
      </c>
      <c r="J3" s="361"/>
      <c r="K3" s="360">
        <v>6</v>
      </c>
      <c r="L3" s="361"/>
      <c r="M3" s="360">
        <v>7</v>
      </c>
      <c r="N3" s="361"/>
      <c r="O3" s="360">
        <v>8</v>
      </c>
      <c r="P3" s="361"/>
      <c r="Q3" s="360">
        <v>9</v>
      </c>
      <c r="R3" s="361"/>
      <c r="S3" s="360">
        <v>10</v>
      </c>
      <c r="T3" s="385"/>
      <c r="U3" s="413">
        <v>1</v>
      </c>
      <c r="V3" s="361"/>
      <c r="W3" s="360">
        <v>2</v>
      </c>
      <c r="X3" s="361"/>
      <c r="Y3" s="360">
        <v>3</v>
      </c>
      <c r="Z3" s="361"/>
      <c r="AA3" s="360">
        <v>4</v>
      </c>
      <c r="AB3" s="361"/>
      <c r="AC3" s="360">
        <v>5</v>
      </c>
      <c r="AD3" s="361"/>
      <c r="AE3" s="360">
        <v>6</v>
      </c>
      <c r="AF3" s="361"/>
      <c r="AG3" s="360">
        <v>7</v>
      </c>
      <c r="AH3" s="361"/>
      <c r="AI3" s="360">
        <v>8</v>
      </c>
      <c r="AJ3" s="361"/>
      <c r="AK3" s="360">
        <v>9</v>
      </c>
      <c r="AL3" s="361"/>
      <c r="AM3" s="360">
        <v>10</v>
      </c>
      <c r="AN3" s="385"/>
      <c r="AO3" s="423" t="s">
        <v>54</v>
      </c>
      <c r="AP3" s="424"/>
      <c r="AQ3" s="424"/>
      <c r="AR3" s="425"/>
      <c r="AS3" s="423" t="s">
        <v>55</v>
      </c>
      <c r="AT3" s="424"/>
      <c r="AU3" s="424"/>
      <c r="AV3" s="424"/>
      <c r="AW3" s="424"/>
      <c r="AX3" s="424"/>
      <c r="AY3" s="413" t="s">
        <v>56</v>
      </c>
      <c r="AZ3" s="426"/>
      <c r="BA3" s="385"/>
      <c r="BB3" s="420" t="s">
        <v>99</v>
      </c>
      <c r="BC3" s="421"/>
      <c r="BD3" s="421"/>
      <c r="BE3" s="421"/>
      <c r="BF3" s="421"/>
      <c r="BG3" s="421"/>
      <c r="BH3" s="421"/>
      <c r="BI3" s="421"/>
      <c r="BJ3" s="421"/>
      <c r="BK3" s="421"/>
      <c r="BL3" s="422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0.25</v>
      </c>
      <c r="B5" s="57">
        <v>0.45833333333333331</v>
      </c>
      <c r="C5" s="56">
        <v>0.5</v>
      </c>
      <c r="D5" s="57">
        <v>0.67569444444444449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0.25</v>
      </c>
      <c r="V5" s="57">
        <v>0.45833333333333331</v>
      </c>
      <c r="W5" s="56">
        <v>0.5</v>
      </c>
      <c r="X5" s="57">
        <v>0.67569444444444438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1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0.25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0.67569444444444438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0.20833333333333331</v>
      </c>
      <c r="BC5" s="68">
        <f>X5 - W5</f>
        <v>0.17569444444444438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0.38402777777777769</v>
      </c>
      <c r="BM5" s="71">
        <v>45957</v>
      </c>
    </row>
    <row r="6" spans="1:65" x14ac:dyDescent="0.25">
      <c r="A6" s="72">
        <v>0.25694444444444442</v>
      </c>
      <c r="B6" s="73">
        <v>0.31319444444444444</v>
      </c>
      <c r="C6" s="72">
        <v>0.32708333333333334</v>
      </c>
      <c r="D6" s="73">
        <v>0.57291666666666663</v>
      </c>
      <c r="E6" s="72">
        <v>0.61458333333333337</v>
      </c>
      <c r="F6" s="73">
        <v>0.61944444444444446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0.25694444444444448</v>
      </c>
      <c r="V6" s="73">
        <v>0.31319444444444444</v>
      </c>
      <c r="W6" s="72">
        <v>0.32708333333333334</v>
      </c>
      <c r="X6" s="73">
        <v>0.57291666666666663</v>
      </c>
      <c r="Y6" s="72">
        <v>0.61458333333333337</v>
      </c>
      <c r="Z6" s="73">
        <v>0.61944444444444446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0.25694444444444448</v>
      </c>
      <c r="AT6" s="81">
        <f t="shared" si="5"/>
        <v>0.57291666666666663</v>
      </c>
      <c r="AU6" s="81">
        <f t="shared" si="6"/>
        <v>0.61458333333333337</v>
      </c>
      <c r="AV6" s="81">
        <f t="shared" si="7"/>
        <v>0.61944444444444446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1</v>
      </c>
      <c r="BA6" s="79">
        <f t="shared" si="12"/>
        <v>0</v>
      </c>
      <c r="BB6" s="80">
        <f>V6 - U6</f>
        <v>5.6249999999999967E-2</v>
      </c>
      <c r="BC6" s="83">
        <f>X6 - W6</f>
        <v>0.24583333333333329</v>
      </c>
      <c r="BD6" s="83">
        <f>Z6 - Y6</f>
        <v>4.8611111111110938E-3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0.30694444444444435</v>
      </c>
      <c r="BM6" s="71">
        <v>45958</v>
      </c>
    </row>
    <row r="7" spans="1:65" x14ac:dyDescent="0.25">
      <c r="A7" s="72">
        <v>0.37847222222222221</v>
      </c>
      <c r="B7" s="73">
        <v>0.47847222222222224</v>
      </c>
      <c r="C7" s="72">
        <v>0.52013888888888893</v>
      </c>
      <c r="D7" s="73">
        <v>0.70208333333333328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0.37847222222222227</v>
      </c>
      <c r="V7" s="73">
        <v>0.47847222222222219</v>
      </c>
      <c r="W7" s="72">
        <v>0.52013888888888882</v>
      </c>
      <c r="X7" s="73">
        <v>0.70208333333333339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0.37847222222222227</v>
      </c>
      <c r="AT7" s="81">
        <f t="shared" si="5"/>
        <v>0.47847222222222219</v>
      </c>
      <c r="AU7" s="81">
        <f t="shared" si="6"/>
        <v>0.52013888888888882</v>
      </c>
      <c r="AV7" s="81">
        <f t="shared" si="7"/>
        <v>0.70208333333333339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9.9999999999999922E-2</v>
      </c>
      <c r="BC7" s="83">
        <f>X7 - W7</f>
        <v>0.18194444444444458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0.2819444444444445</v>
      </c>
      <c r="BM7" s="71">
        <v>45959</v>
      </c>
    </row>
    <row r="8" spans="1:65" x14ac:dyDescent="0.25">
      <c r="A8" s="72">
        <v>0.37847222222222221</v>
      </c>
      <c r="B8" s="73">
        <v>0.49513888888888891</v>
      </c>
      <c r="C8" s="72">
        <v>0.53680555555555554</v>
      </c>
      <c r="D8" s="73">
        <v>0.71805555555555556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0.49513888888888885</v>
      </c>
      <c r="W8" s="72">
        <v>0.53680555555555554</v>
      </c>
      <c r="X8" s="73">
        <v>0.71805555555555556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1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0.49513888888888885</v>
      </c>
      <c r="AU8" s="81">
        <f t="shared" si="6"/>
        <v>0.53680555555555554</v>
      </c>
      <c r="AV8" s="81">
        <f t="shared" si="7"/>
        <v>0.71805555555555556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0.11666666666666659</v>
      </c>
      <c r="BC8" s="83">
        <f>X8 - W8</f>
        <v>0.18125000000000002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0.29791666666666661</v>
      </c>
      <c r="BM8" s="71">
        <v>45960</v>
      </c>
    </row>
    <row r="9" spans="1:65" x14ac:dyDescent="0.25">
      <c r="A9" s="72">
        <v>0.3125</v>
      </c>
      <c r="B9" s="73">
        <v>0.45833333333333331</v>
      </c>
      <c r="C9" s="72">
        <v>0.5</v>
      </c>
      <c r="D9" s="73">
        <v>0.71180555555555558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0.3125</v>
      </c>
      <c r="V9" s="73">
        <v>0.45833333333333331</v>
      </c>
      <c r="W9" s="72">
        <v>0.5</v>
      </c>
      <c r="X9" s="73">
        <v>0.71180555555555547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1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0.3125</v>
      </c>
      <c r="AT9" s="81">
        <f t="shared" si="5"/>
        <v>0.45833333333333331</v>
      </c>
      <c r="AU9" s="81">
        <f t="shared" si="6"/>
        <v>0.5</v>
      </c>
      <c r="AV9" s="81">
        <f t="shared" si="7"/>
        <v>0.71180555555555547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0.14583333333333331</v>
      </c>
      <c r="BC9" s="83">
        <f>X9 - W9</f>
        <v>0.21180555555555547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0.35763888888888878</v>
      </c>
      <c r="BM9" s="71">
        <v>45961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0.21875</v>
      </c>
      <c r="B12" s="73">
        <v>0.45208333333333334</v>
      </c>
      <c r="C12" s="72">
        <v>0.49375000000000002</v>
      </c>
      <c r="D12" s="73">
        <v>0.70138888888888884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0.21875</v>
      </c>
      <c r="V12" s="73">
        <v>0.45208333333333334</v>
      </c>
      <c r="W12" s="72">
        <v>0.49374999999999997</v>
      </c>
      <c r="X12" s="73">
        <v>0.70138888888888884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0.21875</v>
      </c>
      <c r="AT12" s="81">
        <f t="shared" si="5"/>
        <v>0.45208333333333334</v>
      </c>
      <c r="AU12" s="81">
        <f t="shared" si="6"/>
        <v>0.49374999999999997</v>
      </c>
      <c r="AV12" s="81">
        <f t="shared" si="7"/>
        <v>0.70138888888888884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0.23333333333333334</v>
      </c>
      <c r="BC12" s="83">
        <f>X12 - W12</f>
        <v>0.20763888888888887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0.44097222222222221</v>
      </c>
      <c r="BM12" s="71">
        <v>45964</v>
      </c>
    </row>
    <row r="13" spans="1:65" x14ac:dyDescent="0.25">
      <c r="A13" s="72">
        <v>0.41319444444444442</v>
      </c>
      <c r="B13" s="73">
        <v>0.45833333333333331</v>
      </c>
      <c r="C13" s="72">
        <v>0.5</v>
      </c>
      <c r="D13" s="73">
        <v>0.72152777777777777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0.41319444444444442</v>
      </c>
      <c r="V13" s="73">
        <v>0.45833333333333331</v>
      </c>
      <c r="W13" s="72">
        <v>0.5</v>
      </c>
      <c r="X13" s="73">
        <v>0.72152777777777777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1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0.41319444444444442</v>
      </c>
      <c r="AT13" s="81">
        <f t="shared" si="5"/>
        <v>0.45833333333333331</v>
      </c>
      <c r="AU13" s="81">
        <f t="shared" si="6"/>
        <v>0.5</v>
      </c>
      <c r="AV13" s="81">
        <f t="shared" si="7"/>
        <v>0.72152777777777777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4.5138888888888895E-2</v>
      </c>
      <c r="BC13" s="83">
        <f>X13 - W13</f>
        <v>0.22152777777777777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0.26666666666666666</v>
      </c>
      <c r="BM13" s="71">
        <v>45965</v>
      </c>
    </row>
    <row r="14" spans="1:65" x14ac:dyDescent="0.25">
      <c r="A14" s="72">
        <v>0.39583333333333331</v>
      </c>
      <c r="B14" s="73">
        <v>0.52569444444444446</v>
      </c>
      <c r="C14" s="72">
        <v>0.56736111111111109</v>
      </c>
      <c r="D14" s="73">
        <v>0.77847222222222223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0.39583333333333331</v>
      </c>
      <c r="V14" s="73">
        <v>0.52569444444444446</v>
      </c>
      <c r="W14" s="72">
        <v>0.56736111111111109</v>
      </c>
      <c r="X14" s="73">
        <v>0.77847222222222223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0.39583333333333331</v>
      </c>
      <c r="AT14" s="81">
        <f t="shared" si="5"/>
        <v>0.52569444444444446</v>
      </c>
      <c r="AU14" s="81">
        <f t="shared" si="6"/>
        <v>0.56736111111111109</v>
      </c>
      <c r="AV14" s="81">
        <f t="shared" si="7"/>
        <v>0.77847222222222223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0.12986111111111115</v>
      </c>
      <c r="BC14" s="83">
        <f>X14 - W14</f>
        <v>0.21111111111111114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0.34097222222222229</v>
      </c>
      <c r="BM14" s="71">
        <v>45966</v>
      </c>
    </row>
    <row r="15" spans="1:65" x14ac:dyDescent="0.25">
      <c r="A15" s="72">
        <v>0.28125</v>
      </c>
      <c r="B15" s="73">
        <v>0.4777777777777778</v>
      </c>
      <c r="C15" s="72">
        <v>0.51944444444444449</v>
      </c>
      <c r="D15" s="73">
        <v>0.72013888888888888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0.28125</v>
      </c>
      <c r="V15" s="73">
        <v>0.4777777777777778</v>
      </c>
      <c r="W15" s="72">
        <v>0.51944444444444449</v>
      </c>
      <c r="X15" s="73">
        <v>0.72013888888888899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1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0.28125</v>
      </c>
      <c r="AT15" s="81">
        <f t="shared" si="5"/>
        <v>0.4777777777777778</v>
      </c>
      <c r="AU15" s="81">
        <f t="shared" si="6"/>
        <v>0.51944444444444449</v>
      </c>
      <c r="AV15" s="81">
        <f t="shared" si="7"/>
        <v>0.72013888888888899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0.1965277777777778</v>
      </c>
      <c r="BC15" s="83">
        <f>X15 - W15</f>
        <v>0.20069444444444451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0.39722222222222231</v>
      </c>
      <c r="BM15" s="71">
        <v>45967</v>
      </c>
    </row>
    <row r="16" spans="1:65" x14ac:dyDescent="0.25">
      <c r="A16" s="72">
        <v>0.4548611111111111</v>
      </c>
      <c r="B16" s="73">
        <v>0.57430555555555551</v>
      </c>
      <c r="C16" s="72">
        <v>0.58819444444444446</v>
      </c>
      <c r="D16" s="73">
        <v>0.67222222222222228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0.4548611111111111</v>
      </c>
      <c r="V16" s="73">
        <v>0.57430555555555551</v>
      </c>
      <c r="W16" s="72">
        <v>0.58819444444444446</v>
      </c>
      <c r="X16" s="73">
        <v>0.67222222222222217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0.4548611111111111</v>
      </c>
      <c r="AT16" s="81">
        <f t="shared" si="5"/>
        <v>0.57430555555555551</v>
      </c>
      <c r="AU16" s="81">
        <f t="shared" si="6"/>
        <v>0.58819444444444446</v>
      </c>
      <c r="AV16" s="81">
        <f t="shared" si="7"/>
        <v>0.67222222222222217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1</v>
      </c>
      <c r="BB16" s="80">
        <f>V16 - U16</f>
        <v>0.11944444444444441</v>
      </c>
      <c r="BC16" s="83">
        <f>X16 - W16</f>
        <v>8.4027777777777701E-2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0.20347222222222211</v>
      </c>
      <c r="BM16" s="71">
        <v>45968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0.29166666666666669</v>
      </c>
      <c r="B19" s="73">
        <v>0.47361111111111109</v>
      </c>
      <c r="C19" s="72">
        <v>0.51527777777777772</v>
      </c>
      <c r="D19" s="73">
        <v>0.68333333333333335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0.29166666666666669</v>
      </c>
      <c r="V19" s="73">
        <v>0.47361111111111115</v>
      </c>
      <c r="W19" s="72">
        <v>0.51527777777777783</v>
      </c>
      <c r="X19" s="73">
        <v>0.68333333333333324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0.29166666666666669</v>
      </c>
      <c r="AT19" s="81">
        <f t="shared" si="5"/>
        <v>0.47361111111111115</v>
      </c>
      <c r="AU19" s="81">
        <f t="shared" si="6"/>
        <v>0.51527777777777783</v>
      </c>
      <c r="AV19" s="81">
        <f t="shared" si="7"/>
        <v>0.68333333333333324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0.18194444444444446</v>
      </c>
      <c r="BC19" s="83">
        <f>X19 - W19</f>
        <v>0.1680555555555554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0.34999999999999987</v>
      </c>
      <c r="BM19" s="71">
        <v>45971</v>
      </c>
    </row>
    <row r="20" spans="1:65" x14ac:dyDescent="0.25">
      <c r="A20" s="72">
        <v>0.58333333333333337</v>
      </c>
      <c r="B20" s="73">
        <v>0.80277777777777781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0.58333333333333337</v>
      </c>
      <c r="V20" s="73">
        <v>0.8027777777777777</v>
      </c>
      <c r="W20" s="72"/>
      <c r="X20" s="73"/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0.58333333333333337</v>
      </c>
      <c r="AV20" s="81">
        <f t="shared" si="7"/>
        <v>0.8027777777777777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0.21944444444444433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0.21944444444444433</v>
      </c>
      <c r="BM20" s="71">
        <v>45972</v>
      </c>
    </row>
    <row r="21" spans="1:65" x14ac:dyDescent="0.25">
      <c r="A21" s="72">
        <v>0.3298611111111111</v>
      </c>
      <c r="B21" s="73">
        <v>0.49791666666666667</v>
      </c>
      <c r="C21" s="72">
        <v>0.5395833333333333</v>
      </c>
      <c r="D21" s="73">
        <v>0.72222222222222221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0.3298611111111111</v>
      </c>
      <c r="V21" s="73">
        <v>0.49791666666666662</v>
      </c>
      <c r="W21" s="72">
        <v>0.5395833333333333</v>
      </c>
      <c r="X21" s="73">
        <v>0.72222222222222221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0.3298611111111111</v>
      </c>
      <c r="AT21" s="81">
        <f t="shared" si="5"/>
        <v>0.49791666666666662</v>
      </c>
      <c r="AU21" s="81">
        <f t="shared" si="6"/>
        <v>0.5395833333333333</v>
      </c>
      <c r="AV21" s="81">
        <f t="shared" si="7"/>
        <v>0.72222222222222221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0.16805555555555551</v>
      </c>
      <c r="BC21" s="83">
        <f>X21 - W21</f>
        <v>0.18263888888888891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0.35069444444444442</v>
      </c>
      <c r="BM21" s="71">
        <v>45973</v>
      </c>
    </row>
    <row r="22" spans="1:65" x14ac:dyDescent="0.25">
      <c r="A22" s="72">
        <v>0.28472222222222221</v>
      </c>
      <c r="B22" s="73">
        <v>0.51111111111111107</v>
      </c>
      <c r="C22" s="72">
        <v>0.55277777777777781</v>
      </c>
      <c r="D22" s="73">
        <v>0.6958333333333333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0.28472222222222221</v>
      </c>
      <c r="V22" s="73">
        <v>0.51111111111111118</v>
      </c>
      <c r="W22" s="72">
        <v>0.55277777777777781</v>
      </c>
      <c r="X22" s="73">
        <v>0.6958333333333333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0.28472222222222221</v>
      </c>
      <c r="AT22" s="81">
        <f t="shared" si="5"/>
        <v>0.51111111111111118</v>
      </c>
      <c r="AU22" s="81">
        <f t="shared" si="6"/>
        <v>0.55277777777777781</v>
      </c>
      <c r="AV22" s="81">
        <f t="shared" si="7"/>
        <v>0.6958333333333333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0.22638888888888897</v>
      </c>
      <c r="BC22" s="83">
        <f>X22 - W22</f>
        <v>0.14305555555555549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0.36944444444444446</v>
      </c>
      <c r="BM22" s="71">
        <v>45974</v>
      </c>
    </row>
    <row r="23" spans="1:65" x14ac:dyDescent="0.25">
      <c r="A23" s="72">
        <v>0.2638888888888889</v>
      </c>
      <c r="B23" s="73">
        <v>0.42083333333333334</v>
      </c>
      <c r="C23" s="72">
        <v>0.43472222222222223</v>
      </c>
      <c r="D23" s="73">
        <v>0.56874999999999998</v>
      </c>
      <c r="E23" s="72">
        <v>0.61041666666666672</v>
      </c>
      <c r="F23" s="73">
        <v>0.69166666666666665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0.2638888888888889</v>
      </c>
      <c r="V23" s="73">
        <v>0.42083333333333334</v>
      </c>
      <c r="W23" s="72">
        <v>0.43472222222222223</v>
      </c>
      <c r="X23" s="73">
        <v>0.56874999999999998</v>
      </c>
      <c r="Y23" s="72">
        <v>0.61041666666666672</v>
      </c>
      <c r="Z23" s="73">
        <v>0.69166666666666676</v>
      </c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0.2638888888888889</v>
      </c>
      <c r="AT23" s="81">
        <f t="shared" si="5"/>
        <v>0.56874999999999998</v>
      </c>
      <c r="AU23" s="81">
        <f t="shared" si="6"/>
        <v>0.61041666666666672</v>
      </c>
      <c r="AV23" s="81">
        <f t="shared" si="7"/>
        <v>0.69166666666666676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1</v>
      </c>
      <c r="BA23" s="79">
        <f t="shared" si="12"/>
        <v>0</v>
      </c>
      <c r="BB23" s="80">
        <f>V23 - U23</f>
        <v>0.15694444444444444</v>
      </c>
      <c r="BC23" s="83">
        <f>X23 - W23</f>
        <v>0.13402777777777775</v>
      </c>
      <c r="BD23" s="83">
        <f>Z23 - Y23</f>
        <v>8.1250000000000044E-2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0.37222222222222223</v>
      </c>
      <c r="BM23" s="71">
        <v>45975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2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55:18</v>
      </c>
      <c r="BC50" s="121" t="str">
        <f t="shared" si="26"/>
        <v>61:11</v>
      </c>
      <c r="BD50" s="121" t="str">
        <f t="shared" si="26"/>
        <v>2:04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118:33</v>
      </c>
      <c r="BM50" s="124"/>
    </row>
    <row r="52" spans="1:65" x14ac:dyDescent="0.25">
      <c r="C52" s="389"/>
      <c r="D52" s="389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1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265</v>
      </c>
      <c r="H69" t="s">
        <v>266</v>
      </c>
    </row>
    <row r="70" spans="7:8" x14ac:dyDescent="0.25">
      <c r="G70" t="s">
        <v>267</v>
      </c>
      <c r="H70" t="s">
        <v>268</v>
      </c>
    </row>
    <row r="71" spans="7:8" x14ac:dyDescent="0.25">
      <c r="G71" t="s">
        <v>125</v>
      </c>
      <c r="H71" t="s">
        <v>270</v>
      </c>
    </row>
    <row r="72" spans="7:8" x14ac:dyDescent="0.25">
      <c r="G72" t="s">
        <v>271</v>
      </c>
      <c r="H72" t="s">
        <v>272</v>
      </c>
    </row>
    <row r="73" spans="7:8" x14ac:dyDescent="0.25">
      <c r="G73" t="s">
        <v>224</v>
      </c>
      <c r="H73" t="s">
        <v>277</v>
      </c>
    </row>
    <row r="74" spans="7:8" x14ac:dyDescent="0.25">
      <c r="G74" t="s">
        <v>280</v>
      </c>
      <c r="H74" t="s">
        <v>281</v>
      </c>
    </row>
    <row r="75" spans="7:8" x14ac:dyDescent="0.25">
      <c r="G75" t="s">
        <v>153</v>
      </c>
      <c r="H75" t="s">
        <v>282</v>
      </c>
    </row>
    <row r="76" spans="7:8" x14ac:dyDescent="0.25">
      <c r="G76" t="s">
        <v>283</v>
      </c>
      <c r="H76" t="s">
        <v>284</v>
      </c>
    </row>
    <row r="77" spans="7:8" x14ac:dyDescent="0.25">
      <c r="G77" t="s">
        <v>179</v>
      </c>
      <c r="H77" t="s">
        <v>285</v>
      </c>
    </row>
    <row r="78" spans="7:8" x14ac:dyDescent="0.25">
      <c r="G78" t="s">
        <v>214</v>
      </c>
      <c r="H78" t="s">
        <v>286</v>
      </c>
    </row>
    <row r="79" spans="7:8" x14ac:dyDescent="0.25">
      <c r="G79" t="s">
        <v>287</v>
      </c>
      <c r="H79" t="s">
        <v>288</v>
      </c>
    </row>
    <row r="80" spans="7:8" x14ac:dyDescent="0.25">
      <c r="G80" t="s">
        <v>207</v>
      </c>
      <c r="H80" t="s">
        <v>289</v>
      </c>
    </row>
    <row r="81" spans="7:8" x14ac:dyDescent="0.25">
      <c r="G81" t="s">
        <v>193</v>
      </c>
      <c r="H81" t="s">
        <v>290</v>
      </c>
    </row>
    <row r="82" spans="7:8" x14ac:dyDescent="0.25">
      <c r="G82" t="s">
        <v>291</v>
      </c>
      <c r="H82" t="s">
        <v>292</v>
      </c>
    </row>
    <row r="83" spans="7:8" x14ac:dyDescent="0.25">
      <c r="G83" t="s">
        <v>196</v>
      </c>
      <c r="H83" t="s">
        <v>293</v>
      </c>
    </row>
    <row r="84" spans="7:8" x14ac:dyDescent="0.25">
      <c r="G84" t="s">
        <v>193</v>
      </c>
      <c r="H84" t="s">
        <v>294</v>
      </c>
    </row>
    <row r="85" spans="7:8" x14ac:dyDescent="0.25">
      <c r="G85" t="s">
        <v>181</v>
      </c>
      <c r="H85" t="s">
        <v>295</v>
      </c>
    </row>
    <row r="86" spans="7:8" x14ac:dyDescent="0.25">
      <c r="G86" t="s">
        <v>163</v>
      </c>
      <c r="H86" t="s">
        <v>296</v>
      </c>
    </row>
    <row r="87" spans="7:8" x14ac:dyDescent="0.25">
      <c r="G87" t="s">
        <v>161</v>
      </c>
      <c r="H87" t="s">
        <v>297</v>
      </c>
    </row>
    <row r="88" spans="7:8" x14ac:dyDescent="0.25">
      <c r="G88" t="s">
        <v>161</v>
      </c>
      <c r="H88" t="s">
        <v>298</v>
      </c>
    </row>
    <row r="89" spans="7:8" x14ac:dyDescent="0.25">
      <c r="G89" t="s">
        <v>163</v>
      </c>
      <c r="H89" t="s">
        <v>299</v>
      </c>
    </row>
    <row r="90" spans="7:8" x14ac:dyDescent="0.25">
      <c r="G90" t="s">
        <v>193</v>
      </c>
      <c r="H90" t="s">
        <v>300</v>
      </c>
    </row>
    <row r="91" spans="7:8" x14ac:dyDescent="0.25">
      <c r="G91" t="s">
        <v>191</v>
      </c>
      <c r="H91" t="s">
        <v>301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269</v>
      </c>
      <c r="B1" s="555" t="s">
        <v>309</v>
      </c>
      <c r="C1" s="555"/>
      <c r="D1" s="555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555"/>
      <c r="Q1" s="24" t="s">
        <v>276</v>
      </c>
    </row>
    <row r="2" spans="1:17" ht="15" customHeight="1" x14ac:dyDescent="0.25">
      <c r="B2" s="556" t="s">
        <v>159</v>
      </c>
      <c r="C2" s="556"/>
      <c r="D2" s="556"/>
      <c r="E2" s="556"/>
      <c r="F2" s="556"/>
      <c r="G2" s="556"/>
      <c r="H2" s="556"/>
      <c r="I2" s="556"/>
      <c r="J2" s="556"/>
      <c r="K2" s="556"/>
      <c r="L2" s="556"/>
      <c r="M2" s="556"/>
      <c r="N2" s="556"/>
      <c r="O2" s="556"/>
      <c r="P2" s="556"/>
    </row>
    <row r="3" spans="1:17" ht="15" customHeight="1" x14ac:dyDescent="0.25">
      <c r="B3" s="557" t="s">
        <v>86</v>
      </c>
      <c r="C3" s="558" t="s">
        <v>158</v>
      </c>
      <c r="D3" s="131"/>
    </row>
    <row r="4" spans="1:17" ht="15" customHeight="1" x14ac:dyDescent="0.25">
      <c r="B4" s="557" t="s">
        <v>87</v>
      </c>
      <c r="D4" s="559">
        <f>Inter!I24</f>
        <v>0</v>
      </c>
      <c r="K4" s="557" t="s">
        <v>275</v>
      </c>
    </row>
    <row r="5" spans="1:17" ht="15" customHeight="1" thickBot="1" x14ac:dyDescent="0.3"/>
    <row r="6" spans="1:17" ht="15" customHeight="1" thickBot="1" x14ac:dyDescent="0.3">
      <c r="C6" s="442" t="s">
        <v>88</v>
      </c>
      <c r="D6" s="436" t="s">
        <v>247</v>
      </c>
      <c r="E6" s="445" t="s">
        <v>89</v>
      </c>
      <c r="F6" s="445" t="s">
        <v>4</v>
      </c>
      <c r="G6" s="448"/>
      <c r="H6" s="448"/>
      <c r="I6" s="432" t="s">
        <v>90</v>
      </c>
      <c r="J6" s="450" t="s">
        <v>4</v>
      </c>
      <c r="K6" s="448"/>
      <c r="L6" s="448"/>
      <c r="M6" s="432" t="s">
        <v>90</v>
      </c>
      <c r="N6" s="434" t="s">
        <v>91</v>
      </c>
      <c r="O6" s="427" t="s">
        <v>155</v>
      </c>
      <c r="P6" s="439" t="s">
        <v>156</v>
      </c>
    </row>
    <row r="7" spans="1:17" ht="15" customHeight="1" thickBot="1" x14ac:dyDescent="0.3">
      <c r="C7" s="443"/>
      <c r="D7" s="437"/>
      <c r="E7" s="446"/>
      <c r="F7" s="449"/>
      <c r="G7" s="449"/>
      <c r="H7" s="449"/>
      <c r="I7" s="433"/>
      <c r="J7" s="451"/>
      <c r="K7" s="449"/>
      <c r="L7" s="449"/>
      <c r="M7" s="433"/>
      <c r="N7" s="435"/>
      <c r="O7" s="427"/>
      <c r="P7" s="440"/>
    </row>
    <row r="8" spans="1:17" ht="15" customHeight="1" thickBot="1" x14ac:dyDescent="0.3">
      <c r="C8" s="443"/>
      <c r="D8" s="437"/>
      <c r="E8" s="446"/>
      <c r="F8" s="449"/>
      <c r="G8" s="449"/>
      <c r="H8" s="449"/>
      <c r="I8" s="433"/>
      <c r="J8" s="451"/>
      <c r="K8" s="449"/>
      <c r="L8" s="449"/>
      <c r="M8" s="433"/>
      <c r="N8" s="435"/>
      <c r="O8" s="427"/>
      <c r="P8" s="441"/>
    </row>
    <row r="9" spans="1:17" ht="15" customHeight="1" thickBot="1" x14ac:dyDescent="0.3">
      <c r="C9" s="444"/>
      <c r="D9" s="438"/>
      <c r="E9" s="447"/>
      <c r="F9" s="134" t="s">
        <v>57</v>
      </c>
      <c r="G9" s="134" t="s">
        <v>58</v>
      </c>
      <c r="H9" s="134" t="s">
        <v>92</v>
      </c>
      <c r="I9" s="433"/>
      <c r="J9" s="135" t="s">
        <v>57</v>
      </c>
      <c r="K9" s="134" t="s">
        <v>58</v>
      </c>
      <c r="L9" s="134" t="s">
        <v>92</v>
      </c>
      <c r="M9" s="433"/>
      <c r="N9" s="435"/>
      <c r="O9" s="427"/>
      <c r="P9" s="326" t="s">
        <v>157</v>
      </c>
    </row>
    <row r="10" spans="1:17" ht="15" customHeight="1" thickBot="1" x14ac:dyDescent="0.3">
      <c r="B10" s="428" t="s">
        <v>79</v>
      </c>
      <c r="C10" s="429"/>
      <c r="D10" s="529"/>
      <c r="E10" s="532">
        <v>0.3125</v>
      </c>
      <c r="F10" s="543">
        <v>0.52430555555555558</v>
      </c>
      <c r="G10" s="543">
        <v>0.56597222222222221</v>
      </c>
      <c r="H10" s="544" t="s">
        <v>303</v>
      </c>
      <c r="I10" s="545" t="s">
        <v>302</v>
      </c>
      <c r="J10" s="546"/>
      <c r="K10" s="543"/>
      <c r="L10" s="544"/>
      <c r="M10" s="545"/>
      <c r="N10" s="535">
        <v>0.72222222222222221</v>
      </c>
      <c r="O10" s="536">
        <v>0.40972222222222221</v>
      </c>
      <c r="P10" s="537"/>
    </row>
    <row r="11" spans="1:17" ht="15" customHeight="1" thickBot="1" x14ac:dyDescent="0.3">
      <c r="B11" s="428"/>
      <c r="C11" s="430"/>
      <c r="D11" s="530"/>
      <c r="E11" s="533"/>
      <c r="F11" s="547"/>
      <c r="G11" s="547"/>
      <c r="H11" s="548"/>
      <c r="I11" s="549"/>
      <c r="J11" s="550"/>
      <c r="K11" s="547"/>
      <c r="L11" s="548"/>
      <c r="M11" s="549"/>
      <c r="N11" s="538"/>
      <c r="O11" s="536"/>
      <c r="P11" s="537"/>
    </row>
    <row r="12" spans="1:17" ht="15" customHeight="1" thickBot="1" x14ac:dyDescent="0.3">
      <c r="B12" s="428"/>
      <c r="C12" s="431"/>
      <c r="D12" s="531"/>
      <c r="E12" s="534"/>
      <c r="F12" s="551"/>
      <c r="G12" s="551"/>
      <c r="H12" s="552"/>
      <c r="I12" s="553"/>
      <c r="J12" s="554"/>
      <c r="K12" s="551"/>
      <c r="L12" s="552"/>
      <c r="M12" s="553"/>
      <c r="N12" s="539"/>
      <c r="O12" s="536"/>
      <c r="P12" s="537"/>
    </row>
    <row r="13" spans="1:17" ht="15" customHeight="1" thickBot="1" x14ac:dyDescent="0.3">
      <c r="B13" s="428" t="s">
        <v>80</v>
      </c>
      <c r="C13" s="452" t="s">
        <v>308</v>
      </c>
      <c r="D13" s="529"/>
      <c r="E13" s="532"/>
      <c r="F13" s="543"/>
      <c r="G13" s="543"/>
      <c r="H13" s="544"/>
      <c r="I13" s="545"/>
      <c r="J13" s="546"/>
      <c r="K13" s="543"/>
      <c r="L13" s="544"/>
      <c r="M13" s="545"/>
      <c r="N13" s="540"/>
      <c r="O13" s="536"/>
      <c r="P13" s="537"/>
    </row>
    <row r="14" spans="1:17" ht="15" customHeight="1" thickBot="1" x14ac:dyDescent="0.3">
      <c r="B14" s="428"/>
      <c r="C14" s="430"/>
      <c r="D14" s="530"/>
      <c r="E14" s="533"/>
      <c r="F14" s="547"/>
      <c r="G14" s="547"/>
      <c r="H14" s="548"/>
      <c r="I14" s="549"/>
      <c r="J14" s="550"/>
      <c r="K14" s="547"/>
      <c r="L14" s="548"/>
      <c r="M14" s="549"/>
      <c r="N14" s="538"/>
      <c r="O14" s="536"/>
      <c r="P14" s="537"/>
    </row>
    <row r="15" spans="1:17" ht="15" customHeight="1" thickBot="1" x14ac:dyDescent="0.3">
      <c r="B15" s="428"/>
      <c r="C15" s="431"/>
      <c r="D15" s="531"/>
      <c r="E15" s="534"/>
      <c r="F15" s="551"/>
      <c r="G15" s="551"/>
      <c r="H15" s="552"/>
      <c r="I15" s="553"/>
      <c r="J15" s="554"/>
      <c r="K15" s="551"/>
      <c r="L15" s="552"/>
      <c r="M15" s="553"/>
      <c r="N15" s="539"/>
      <c r="O15" s="536"/>
      <c r="P15" s="537"/>
    </row>
    <row r="16" spans="1:17" ht="15" customHeight="1" thickBot="1" x14ac:dyDescent="0.3">
      <c r="B16" s="428" t="s">
        <v>81</v>
      </c>
      <c r="C16" s="452"/>
      <c r="D16" s="529"/>
      <c r="E16" s="532">
        <v>0.31944444444444448</v>
      </c>
      <c r="F16" s="543">
        <v>0.45833333333333331</v>
      </c>
      <c r="G16" s="543">
        <v>0.50069444444444444</v>
      </c>
      <c r="H16" s="544" t="s">
        <v>303</v>
      </c>
      <c r="I16" s="545" t="s">
        <v>302</v>
      </c>
      <c r="J16" s="546"/>
      <c r="K16" s="543"/>
      <c r="L16" s="544"/>
      <c r="M16" s="545"/>
      <c r="N16" s="540">
        <v>0.67361111111111116</v>
      </c>
      <c r="O16" s="541">
        <v>0.35416666666666669</v>
      </c>
      <c r="P16" s="542"/>
    </row>
    <row r="17" spans="2:16" ht="15" customHeight="1" thickBot="1" x14ac:dyDescent="0.3">
      <c r="B17" s="428"/>
      <c r="C17" s="430"/>
      <c r="D17" s="530"/>
      <c r="E17" s="533"/>
      <c r="F17" s="547"/>
      <c r="G17" s="547"/>
      <c r="H17" s="548"/>
      <c r="I17" s="549"/>
      <c r="J17" s="550"/>
      <c r="K17" s="547"/>
      <c r="L17" s="548"/>
      <c r="M17" s="549"/>
      <c r="N17" s="538"/>
      <c r="O17" s="541"/>
      <c r="P17" s="542"/>
    </row>
    <row r="18" spans="2:16" ht="15" customHeight="1" thickBot="1" x14ac:dyDescent="0.3">
      <c r="B18" s="428"/>
      <c r="C18" s="431"/>
      <c r="D18" s="531"/>
      <c r="E18" s="534"/>
      <c r="F18" s="551"/>
      <c r="G18" s="551"/>
      <c r="H18" s="552"/>
      <c r="I18" s="553"/>
      <c r="J18" s="554"/>
      <c r="K18" s="551"/>
      <c r="L18" s="552"/>
      <c r="M18" s="553"/>
      <c r="N18" s="539"/>
      <c r="O18" s="541"/>
      <c r="P18" s="542"/>
    </row>
    <row r="19" spans="2:16" ht="15" customHeight="1" thickBot="1" x14ac:dyDescent="0.3">
      <c r="B19" s="428" t="s">
        <v>82</v>
      </c>
      <c r="C19" s="452"/>
      <c r="D19" s="529"/>
      <c r="E19" s="532">
        <v>0.34027777777777773</v>
      </c>
      <c r="F19" s="543">
        <v>0.53541666666666665</v>
      </c>
      <c r="G19" s="543">
        <v>0.57708333333333328</v>
      </c>
      <c r="H19" s="544" t="s">
        <v>303</v>
      </c>
      <c r="I19" s="545" t="s">
        <v>302</v>
      </c>
      <c r="J19" s="546"/>
      <c r="K19" s="543"/>
      <c r="L19" s="544"/>
      <c r="M19" s="545"/>
      <c r="N19" s="540">
        <v>0.69652777777777775</v>
      </c>
      <c r="O19" s="541">
        <v>0.35625000000000001</v>
      </c>
      <c r="P19" s="542"/>
    </row>
    <row r="20" spans="2:16" ht="15" customHeight="1" thickBot="1" x14ac:dyDescent="0.3">
      <c r="B20" s="428"/>
      <c r="C20" s="430"/>
      <c r="D20" s="530"/>
      <c r="E20" s="533"/>
      <c r="F20" s="547"/>
      <c r="G20" s="547"/>
      <c r="H20" s="548"/>
      <c r="I20" s="549"/>
      <c r="J20" s="550"/>
      <c r="K20" s="547"/>
      <c r="L20" s="548"/>
      <c r="M20" s="549"/>
      <c r="N20" s="538"/>
      <c r="O20" s="541"/>
      <c r="P20" s="542"/>
    </row>
    <row r="21" spans="2:16" ht="15" customHeight="1" thickBot="1" x14ac:dyDescent="0.3">
      <c r="B21" s="428"/>
      <c r="C21" s="431"/>
      <c r="D21" s="531"/>
      <c r="E21" s="534"/>
      <c r="F21" s="551"/>
      <c r="G21" s="551"/>
      <c r="H21" s="552"/>
      <c r="I21" s="553"/>
      <c r="J21" s="554"/>
      <c r="K21" s="551"/>
      <c r="L21" s="552"/>
      <c r="M21" s="553"/>
      <c r="N21" s="539"/>
      <c r="O21" s="541"/>
      <c r="P21" s="542"/>
    </row>
    <row r="22" spans="2:16" ht="15" customHeight="1" thickBot="1" x14ac:dyDescent="0.3">
      <c r="B22" s="428" t="s">
        <v>83</v>
      </c>
      <c r="C22" s="452"/>
      <c r="D22" s="529"/>
      <c r="E22" s="532">
        <v>0.40625</v>
      </c>
      <c r="F22" s="543">
        <v>0.4993055555555555</v>
      </c>
      <c r="G22" s="543">
        <v>0.54166666666666663</v>
      </c>
      <c r="H22" s="544" t="s">
        <v>303</v>
      </c>
      <c r="I22" s="545" t="s">
        <v>302</v>
      </c>
      <c r="J22" s="546"/>
      <c r="K22" s="543"/>
      <c r="L22" s="544"/>
      <c r="M22" s="545"/>
      <c r="N22" s="540">
        <v>0.76250000000000007</v>
      </c>
      <c r="O22" s="536">
        <v>0.35625000000000007</v>
      </c>
      <c r="P22" s="537"/>
    </row>
    <row r="23" spans="2:16" ht="15" customHeight="1" thickBot="1" x14ac:dyDescent="0.3">
      <c r="B23" s="428"/>
      <c r="C23" s="430"/>
      <c r="D23" s="530"/>
      <c r="E23" s="533"/>
      <c r="F23" s="547">
        <v>0.69166666666666676</v>
      </c>
      <c r="G23" s="547">
        <v>0.7055555555555556</v>
      </c>
      <c r="H23" s="548"/>
      <c r="I23" s="549" t="s">
        <v>304</v>
      </c>
      <c r="J23" s="550"/>
      <c r="K23" s="547"/>
      <c r="L23" s="548"/>
      <c r="M23" s="549"/>
      <c r="N23" s="538"/>
      <c r="O23" s="536"/>
      <c r="P23" s="537"/>
    </row>
    <row r="24" spans="2:16" ht="15" customHeight="1" thickBot="1" x14ac:dyDescent="0.3">
      <c r="B24" s="428"/>
      <c r="C24" s="431"/>
      <c r="D24" s="531"/>
      <c r="E24" s="534"/>
      <c r="F24" s="551"/>
      <c r="G24" s="551"/>
      <c r="H24" s="552"/>
      <c r="I24" s="553"/>
      <c r="J24" s="554"/>
      <c r="K24" s="551"/>
      <c r="L24" s="552"/>
      <c r="M24" s="553"/>
      <c r="N24" s="539"/>
      <c r="O24" s="536"/>
      <c r="P24" s="537"/>
    </row>
    <row r="25" spans="2:16" ht="15" customHeight="1" thickBot="1" x14ac:dyDescent="0.3">
      <c r="B25" s="428" t="s">
        <v>84</v>
      </c>
      <c r="C25" s="452" t="s">
        <v>305</v>
      </c>
      <c r="D25" s="529"/>
      <c r="E25" s="532"/>
      <c r="F25" s="543"/>
      <c r="G25" s="543"/>
      <c r="H25" s="544"/>
      <c r="I25" s="545"/>
      <c r="J25" s="546"/>
      <c r="K25" s="543"/>
      <c r="L25" s="544"/>
      <c r="M25" s="545"/>
      <c r="N25" s="540"/>
      <c r="O25" s="541"/>
      <c r="P25" s="542"/>
    </row>
    <row r="26" spans="2:16" ht="15" customHeight="1" thickBot="1" x14ac:dyDescent="0.3">
      <c r="B26" s="428"/>
      <c r="C26" s="430"/>
      <c r="D26" s="530"/>
      <c r="E26" s="533"/>
      <c r="F26" s="547"/>
      <c r="G26" s="547"/>
      <c r="H26" s="548"/>
      <c r="I26" s="549"/>
      <c r="J26" s="550"/>
      <c r="K26" s="547"/>
      <c r="L26" s="548"/>
      <c r="M26" s="549"/>
      <c r="N26" s="538"/>
      <c r="O26" s="541"/>
      <c r="P26" s="542"/>
    </row>
    <row r="27" spans="2:16" ht="15" customHeight="1" thickBot="1" x14ac:dyDescent="0.3">
      <c r="B27" s="428"/>
      <c r="C27" s="431"/>
      <c r="D27" s="531"/>
      <c r="E27" s="534"/>
      <c r="F27" s="551"/>
      <c r="G27" s="551"/>
      <c r="H27" s="552"/>
      <c r="I27" s="553"/>
      <c r="J27" s="554"/>
      <c r="K27" s="551"/>
      <c r="L27" s="552"/>
      <c r="M27" s="553"/>
      <c r="N27" s="539"/>
      <c r="O27" s="541"/>
      <c r="P27" s="542"/>
    </row>
    <row r="28" spans="2:16" ht="15" customHeight="1" thickBot="1" x14ac:dyDescent="0.3">
      <c r="B28" s="428" t="s">
        <v>85</v>
      </c>
      <c r="C28" s="452" t="s">
        <v>305</v>
      </c>
      <c r="D28" s="529"/>
      <c r="E28" s="532"/>
      <c r="F28" s="543"/>
      <c r="G28" s="543"/>
      <c r="H28" s="544"/>
      <c r="I28" s="545"/>
      <c r="J28" s="546"/>
      <c r="K28" s="543"/>
      <c r="L28" s="544"/>
      <c r="M28" s="545"/>
      <c r="N28" s="540"/>
      <c r="O28" s="541"/>
      <c r="P28" s="542"/>
    </row>
    <row r="29" spans="2:16" ht="15" customHeight="1" thickBot="1" x14ac:dyDescent="0.3">
      <c r="B29" s="428"/>
      <c r="C29" s="430"/>
      <c r="D29" s="530"/>
      <c r="E29" s="533"/>
      <c r="F29" s="547"/>
      <c r="G29" s="547"/>
      <c r="H29" s="548"/>
      <c r="I29" s="549"/>
      <c r="J29" s="550"/>
      <c r="K29" s="547"/>
      <c r="L29" s="548"/>
      <c r="M29" s="549"/>
      <c r="N29" s="538"/>
      <c r="O29" s="541"/>
      <c r="P29" s="542"/>
    </row>
    <row r="30" spans="2:16" ht="15" customHeight="1" thickBot="1" x14ac:dyDescent="0.3">
      <c r="B30" s="428"/>
      <c r="C30" s="431"/>
      <c r="D30" s="531"/>
      <c r="E30" s="534"/>
      <c r="F30" s="551"/>
      <c r="G30" s="551"/>
      <c r="H30" s="552"/>
      <c r="I30" s="553"/>
      <c r="J30" s="554"/>
      <c r="K30" s="551"/>
      <c r="L30" s="552"/>
      <c r="M30" s="553"/>
      <c r="N30" s="539"/>
      <c r="O30" s="541"/>
      <c r="P30" s="542"/>
    </row>
    <row r="31" spans="2:16" ht="15" customHeight="1" thickBot="1" x14ac:dyDescent="0.3">
      <c r="N31" s="282" t="s">
        <v>253</v>
      </c>
      <c r="O31" s="283">
        <v>1.4763888888888888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453" t="s">
        <v>95</v>
      </c>
      <c r="C35" s="454"/>
      <c r="D35" s="454"/>
      <c r="E35" s="454"/>
      <c r="F35" s="454"/>
      <c r="G35" s="454"/>
      <c r="H35" s="454"/>
      <c r="I35" s="454"/>
      <c r="J35" s="454"/>
      <c r="K35" s="455"/>
      <c r="L35" s="456" t="s">
        <v>96</v>
      </c>
      <c r="M35" s="457"/>
      <c r="N35" s="457"/>
      <c r="O35" s="457"/>
      <c r="P35" s="458"/>
    </row>
    <row r="36" spans="2:17" ht="15" customHeight="1" x14ac:dyDescent="0.25">
      <c r="B36" s="459"/>
      <c r="C36" s="460"/>
      <c r="D36" s="461"/>
      <c r="E36" s="460"/>
      <c r="F36" s="460"/>
      <c r="G36" s="460"/>
      <c r="H36" s="460"/>
      <c r="I36" s="460"/>
      <c r="J36" s="460"/>
      <c r="K36" s="462"/>
      <c r="L36" s="469" t="s">
        <v>97</v>
      </c>
      <c r="M36" s="349"/>
      <c r="N36" s="350"/>
      <c r="O36" s="469" t="s">
        <v>98</v>
      </c>
      <c r="P36" s="473"/>
    </row>
    <row r="37" spans="2:17" ht="15" customHeight="1" x14ac:dyDescent="0.25">
      <c r="B37" s="463"/>
      <c r="C37" s="464"/>
      <c r="D37" s="464"/>
      <c r="E37" s="464"/>
      <c r="F37" s="464"/>
      <c r="G37" s="464"/>
      <c r="H37" s="464"/>
      <c r="I37" s="464"/>
      <c r="J37" s="464"/>
      <c r="K37" s="465"/>
      <c r="L37" s="470"/>
      <c r="M37" s="461"/>
      <c r="N37" s="471"/>
      <c r="O37" s="474"/>
      <c r="P37" s="475"/>
    </row>
    <row r="38" spans="2:17" ht="15" customHeight="1" x14ac:dyDescent="0.25">
      <c r="B38" s="463"/>
      <c r="C38" s="464"/>
      <c r="D38" s="464"/>
      <c r="E38" s="464"/>
      <c r="F38" s="464"/>
      <c r="G38" s="464"/>
      <c r="H38" s="464"/>
      <c r="I38" s="464"/>
      <c r="J38" s="464"/>
      <c r="K38" s="465"/>
      <c r="L38" s="463"/>
      <c r="M38" s="472"/>
      <c r="N38" s="465"/>
      <c r="O38" s="476"/>
      <c r="P38" s="477"/>
    </row>
    <row r="39" spans="2:17" ht="15" customHeight="1" x14ac:dyDescent="0.25">
      <c r="B39" s="463"/>
      <c r="C39" s="464"/>
      <c r="D39" s="464"/>
      <c r="E39" s="464"/>
      <c r="F39" s="464"/>
      <c r="G39" s="464"/>
      <c r="H39" s="464"/>
      <c r="I39" s="464"/>
      <c r="J39" s="464"/>
      <c r="K39" s="465"/>
      <c r="L39" s="463"/>
      <c r="M39" s="472"/>
      <c r="N39" s="465"/>
      <c r="O39" s="476"/>
      <c r="P39" s="477"/>
    </row>
    <row r="40" spans="2:17" ht="15" customHeight="1" x14ac:dyDescent="0.25">
      <c r="B40" s="466"/>
      <c r="C40" s="467"/>
      <c r="D40" s="467"/>
      <c r="E40" s="467"/>
      <c r="F40" s="467"/>
      <c r="G40" s="467"/>
      <c r="H40" s="467"/>
      <c r="I40" s="467"/>
      <c r="J40" s="467"/>
      <c r="K40" s="468"/>
      <c r="L40" s="466"/>
      <c r="M40" s="467"/>
      <c r="N40" s="468"/>
      <c r="O40" s="478"/>
      <c r="P40" s="479"/>
      <c r="Q40" s="24" t="s">
        <v>276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H7" sqref="H7"/>
    </sheetView>
  </sheetViews>
  <sheetFormatPr baseColWidth="10" defaultRowHeight="21.95" customHeight="1" x14ac:dyDescent="0.2"/>
  <cols>
    <col min="1" max="1" width="23.1406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23.140625" style="168" customWidth="1"/>
    <col min="15" max="16384" width="11.42578125" style="168"/>
  </cols>
  <sheetData>
    <row r="1" spans="1:14" ht="21.95" customHeight="1" x14ac:dyDescent="0.25">
      <c r="A1" s="168" t="s">
        <v>269</v>
      </c>
      <c r="B1" s="480" t="s">
        <v>139</v>
      </c>
      <c r="C1" s="480"/>
      <c r="D1" s="480"/>
      <c r="E1" s="480"/>
      <c r="F1" s="480"/>
      <c r="G1" s="480"/>
      <c r="H1" s="480"/>
      <c r="I1" s="480"/>
      <c r="J1" s="480"/>
      <c r="K1" s="480"/>
      <c r="L1" s="480"/>
      <c r="M1" s="480"/>
      <c r="N1" s="168" t="s">
        <v>269</v>
      </c>
    </row>
    <row r="2" spans="1:14" ht="21.95" customHeight="1" x14ac:dyDescent="0.2"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481">
        <f>Inter!I24</f>
        <v>0</v>
      </c>
      <c r="E3" s="481"/>
      <c r="F3" s="481"/>
      <c r="G3" s="481"/>
      <c r="H3" s="172"/>
      <c r="I3" s="173"/>
      <c r="J3" s="174"/>
      <c r="L3" s="175"/>
      <c r="M3" s="173" t="s">
        <v>275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482">
        <v>1</v>
      </c>
      <c r="E5" s="482"/>
      <c r="F5" s="482">
        <v>2</v>
      </c>
      <c r="G5" s="482"/>
      <c r="H5" s="482">
        <v>3</v>
      </c>
      <c r="I5" s="482"/>
      <c r="J5" s="482">
        <v>4</v>
      </c>
      <c r="K5" s="482"/>
      <c r="L5" s="482">
        <v>5</v>
      </c>
      <c r="M5" s="482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6</v>
      </c>
      <c r="D7" s="267">
        <v>0.27083333333333331</v>
      </c>
      <c r="E7" s="268">
        <v>0.40625</v>
      </c>
      <c r="F7" s="267">
        <v>0.66666666666666663</v>
      </c>
      <c r="G7" s="268">
        <v>0.76041666666666663</v>
      </c>
      <c r="H7" s="267"/>
      <c r="I7" s="268"/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7</v>
      </c>
      <c r="D8" s="269">
        <v>0.29166666666666669</v>
      </c>
      <c r="E8" s="270">
        <v>0.38541666666666669</v>
      </c>
      <c r="F8" s="269">
        <v>0.66666666666666663</v>
      </c>
      <c r="G8" s="270">
        <v>0.75486111111111109</v>
      </c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8</v>
      </c>
      <c r="D9" s="269">
        <v>0.66666666666666663</v>
      </c>
      <c r="E9" s="270">
        <v>0.7680555555555556</v>
      </c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9</v>
      </c>
      <c r="D10" s="269">
        <v>0.3298611111111111</v>
      </c>
      <c r="E10" s="270">
        <v>0.50624999999999998</v>
      </c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10</v>
      </c>
      <c r="D11" s="269">
        <v>0.54166666666666663</v>
      </c>
      <c r="E11" s="270">
        <v>0.71736111111111101</v>
      </c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11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12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278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2025-12-18T23:20:36Z</cp:lastPrinted>
  <dcterms:created xsi:type="dcterms:W3CDTF">2024-10-06T20:00:42Z</dcterms:created>
  <dcterms:modified xsi:type="dcterms:W3CDTF">2025-12-18T23:30:25Z</dcterms:modified>
</cp:coreProperties>
</file>