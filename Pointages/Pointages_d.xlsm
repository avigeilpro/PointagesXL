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2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W21" i="2"/>
  <c r="AX21" i="2" s="1"/>
  <c r="AU21" i="2"/>
  <c r="AV21" i="2" s="1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W20" i="2"/>
  <c r="AX20" i="2" s="1"/>
  <c r="AU20" i="2"/>
  <c r="AV20" i="2" s="1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W19" i="2"/>
  <c r="AX19" i="2" s="1"/>
  <c r="AU19" i="2"/>
  <c r="AV19" i="2" s="1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W14" i="2"/>
  <c r="AX14" i="2" s="1"/>
  <c r="AU14" i="2"/>
  <c r="AV14" i="2" s="1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W13" i="2"/>
  <c r="AX13" i="2" s="1"/>
  <c r="AU13" i="2"/>
  <c r="AV13" i="2" s="1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W12" i="2"/>
  <c r="AX12" i="2" s="1"/>
  <c r="AU12" i="2"/>
  <c r="AV12" i="2" s="1"/>
  <c r="AS12" i="2"/>
  <c r="AT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9" i="2" l="1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U36" i="2"/>
  <c r="AV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R19" i="2"/>
  <c r="AT40" i="2"/>
  <c r="AZ40" i="2" s="1"/>
  <c r="AT42" i="2"/>
  <c r="AZ42" i="2" s="1"/>
  <c r="AY41" i="2"/>
  <c r="BA41" i="2"/>
  <c r="AU28" i="2"/>
  <c r="AV28" i="2" s="1"/>
  <c r="AQ28" i="2" s="1"/>
  <c r="AR24" i="2"/>
  <c r="AQ6" i="2"/>
  <c r="AR38" i="2"/>
  <c r="AR32" i="2"/>
  <c r="AR14" i="2"/>
  <c r="AR13" i="2"/>
  <c r="AR12" i="2"/>
  <c r="BD43" i="2"/>
  <c r="AR11" i="2"/>
  <c r="AR21" i="2"/>
  <c r="AR20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12" i="2"/>
  <c r="BA20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9" i="2"/>
  <c r="BA11" i="2"/>
  <c r="AZ14" i="2"/>
  <c r="AQ14" i="2"/>
  <c r="AZ18" i="2"/>
  <c r="AQ18" i="2"/>
  <c r="BA19" i="2"/>
  <c r="AZ26" i="2"/>
  <c r="AQ26" i="2"/>
  <c r="AZ30" i="2"/>
  <c r="AQ30" i="2"/>
  <c r="AZ38" i="2"/>
  <c r="AQ38" i="2"/>
  <c r="AY38" i="2" s="1"/>
  <c r="AQ10" i="2"/>
  <c r="AZ10" i="2"/>
  <c r="AQ31" i="2"/>
  <c r="AQ11" i="2"/>
  <c r="AZ11" i="2"/>
  <c r="AZ15" i="2"/>
  <c r="AQ15" i="2"/>
  <c r="AQ19" i="2"/>
  <c r="AZ19" i="2"/>
  <c r="AQ32" i="2"/>
  <c r="AQ8" i="2"/>
  <c r="AZ12" i="2"/>
  <c r="AQ12" i="2"/>
  <c r="BA13" i="2"/>
  <c r="AZ20" i="2"/>
  <c r="AQ20" i="2"/>
  <c r="BA21" i="2"/>
  <c r="AZ24" i="2"/>
  <c r="AQ24" i="2"/>
  <c r="AY24" i="2" s="1"/>
  <c r="BA25" i="2"/>
  <c r="BA29" i="2"/>
  <c r="AQ5" i="2"/>
  <c r="BL6" i="2"/>
  <c r="AZ13" i="2"/>
  <c r="AQ13" i="2"/>
  <c r="BA14" i="2"/>
  <c r="BA18" i="2"/>
  <c r="AZ21" i="2"/>
  <c r="AQ21" i="2"/>
  <c r="AQ25" i="2"/>
  <c r="AZ25" i="2"/>
  <c r="AZ29" i="2"/>
  <c r="AQ29" i="2"/>
  <c r="BA30" i="2"/>
  <c r="AQ36" i="2"/>
  <c r="BA38" i="2"/>
  <c r="BL5" i="2"/>
  <c r="AX9" i="2" l="1"/>
  <c r="AR9" i="2" s="1"/>
  <c r="AZ9" i="2"/>
  <c r="BA9" i="2"/>
  <c r="AQ7" i="2"/>
  <c r="AX7" i="2"/>
  <c r="AR7" i="2" s="1"/>
  <c r="AZ7" i="2"/>
  <c r="BA7" i="2"/>
  <c r="AX8" i="2"/>
  <c r="AR8" i="2" s="1"/>
  <c r="BA8" i="2" s="1"/>
  <c r="AZ8" i="2"/>
  <c r="AX6" i="2"/>
  <c r="AR6" i="2" s="1"/>
  <c r="AZ6" i="2"/>
  <c r="BA6" i="2"/>
  <c r="AW5" i="2"/>
  <c r="AY25" i="2"/>
  <c r="AY21" i="2"/>
  <c r="AQ22" i="2"/>
  <c r="AW36" i="2"/>
  <c r="AY19" i="2"/>
  <c r="AW37" i="2"/>
  <c r="BA15" i="2"/>
  <c r="AY12" i="2"/>
  <c r="AV34" i="2"/>
  <c r="AW34" i="2" s="1"/>
  <c r="AX34" i="2" s="1"/>
  <c r="AR34" i="2" s="1"/>
  <c r="AU35" i="2"/>
  <c r="BA26" i="2"/>
  <c r="AW33" i="2"/>
  <c r="AX33" i="2" s="1"/>
  <c r="AR33" i="2" s="1"/>
  <c r="AY33" i="2" s="1"/>
  <c r="AY9" i="2"/>
  <c r="AY10" i="2"/>
  <c r="AV16" i="2"/>
  <c r="AW16" i="2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Y7" i="2"/>
  <c r="AY20" i="2"/>
  <c r="AY8" i="2"/>
  <c r="AV27" i="2"/>
  <c r="AQ27" i="2" s="1"/>
  <c r="AY11" i="2"/>
  <c r="BA40" i="2"/>
  <c r="AW28" i="2"/>
  <c r="AY40" i="2"/>
  <c r="AU23" i="2"/>
  <c r="AY13" i="2"/>
  <c r="AY32" i="2"/>
  <c r="AY6" i="2"/>
  <c r="AZ32" i="2"/>
  <c r="AY30" i="2"/>
  <c r="AY14" i="2"/>
  <c r="AY31" i="2"/>
  <c r="AY39" i="2"/>
  <c r="AZ31" i="2"/>
  <c r="AZ39" i="2"/>
  <c r="AY29" i="2"/>
  <c r="BL43" i="2"/>
  <c r="AY22" i="2" l="1"/>
  <c r="AX5" i="2"/>
  <c r="AR5" i="2" s="1"/>
  <c r="AY5" i="2" s="1"/>
  <c r="BA5" i="2"/>
  <c r="AZ5" i="2"/>
  <c r="AX36" i="2"/>
  <c r="AR36" i="2" s="1"/>
  <c r="AY36" i="2" s="1"/>
  <c r="AZ36" i="2"/>
  <c r="AX37" i="2"/>
  <c r="AR37" i="2" s="1"/>
  <c r="AY37" i="2" s="1"/>
  <c r="BA37" i="2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36" i="2" l="1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/>
  <c r="AZ43" i="2" l="1"/>
  <c r="BA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<sst xmlns="http://schemas.openxmlformats.org/spreadsheetml/2006/main" count="237" uniqueCount="120">
  <si>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</si>
  <si>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</si>
  <si>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</si>
  <si>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</si>
  <si>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</si>
  <si>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</si>
  <si>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</si>
  <si>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</si>
  <si>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</si>
  <si>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</si>
  <si>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</si>
  <si>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</si>
  <si>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</si>
  <si>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</si>
  <si>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</si>
  <si>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</si>
  <si>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</si>
  <si>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</si>
  <si>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</si>
  <si>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</si>
  <si>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</si>
  <si>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</si>
  <si>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</si>
  <si>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</si>
  <si>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</si>
  <si>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</si>
  <si>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</si>
  <si>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</si>
  <si>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</si>
  <si>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</si>
  <si>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</si>
  <si>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</si>
  <si>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</si>
  <si>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</si>
  <si>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</si>
  <si>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</si>
  <si>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</si>
  <si>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</si>
  <si>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</si>
  <si>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</si>
  <si>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Dossier Gdrive :</t>
  </si>
  <si>
    <t>Bouton F1 :</t>
  </si>
  <si>
    <t>Bouton F2 :</t>
  </si>
  <si>
    <t>Bouton F3 :</t>
  </si>
  <si>
    <t>Bouton F4 :</t>
  </si>
  <si>
    <t>&lt;== NE PAS TOUCHER SANS AVOIR PRÉPARÉ LE DOSSIER SUR LE DRIVE !!!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</si>
  <si>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</si>
  <si>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</si>
  <si>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</si>
  <si>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</si>
  <si>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</si>
  <si>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</si>
  <si>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</si>
  <si>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</si>
  <si>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</si>
  <si>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</si>
  <si>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</si>
  <si>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</si>
  <si>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</si>
  <si>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</si>
  <si>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</si>
  <si>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</si>
  <si>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</si>
  <si>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</si>
  <si>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</si>
  <si>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</si>
  <si>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</si>
  <si>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</si>
  <si>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</si>
  <si>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</si>
  <si>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</si>
  <si>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</si>
  <si>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</si>
  <si>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</si>
  <si>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</si>
  <si>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</si>
  <si>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</si>
  <si>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</si>
  <si>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</si>
  <si>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</si>
  <si>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</si>
  <si>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</si>
  <si>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</si>
  <si>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</si>
  <si>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</si>
  <si>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</si>
  <si>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Dernière mise à jour:</t>
  </si>
  <si>
    <t>Ajout de l'onglet d'édition des pointages</t>
  </si>
  <si>
    <t>Les messages de pointages invalides sont maintenant groupé par employé (un message affiche toutes les dates)</t>
  </si>
  <si>
    <t>Optimisation des règles de validation des pointages :</t>
  </si>
  <si>
    <t>Doit commencer par une entrée</t>
  </si>
  <si>
    <t>doit comporter un nombre pair de pause sauf si pas de pointage sortie</t>
  </si>
  <si>
    <t>doit terminer par une sortie sauf si nombre impair de pause</t>
  </si>
  <si>
    <t>une entrée ne peut être qu'en premier pointage ou à la suite d'une sortie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</si>
  <si>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</si>
  <si>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</si>
  <si>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</si>
  <si>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</si>
  <si>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</si>
  <si>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</si>
  <si>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</si>
  <si>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Le calendrier de séléction dans le nouvel onglet affiche un point rouge lorsque les pointages ne sont pas valides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</si>
  <si>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</si>
  <si>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</si>
  <si>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</si>
  <si>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</si>
  <si>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</si>
  <si>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</si>
  <si>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$O$12</t>
  </si>
  <si>
    <t>Aucune semaine selectionnée</t>
  </si>
  <si>
    <t>Janvier</t>
  </si>
  <si>
    <t>F1</t>
  </si>
  <si>
    <t>F2</t>
  </si>
  <si>
    <t>F3</t>
  </si>
  <si>
    <t>F4</t>
  </si>
  <si>
    <t>PIERRE Sébastien</t>
  </si>
  <si>
    <t>Developpeur</t>
  </si>
  <si>
    <t>Dev XCover 4S</t>
  </si>
  <si>
    <t>1 à 3</t>
  </si>
  <si>
    <t>AmbPointages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</si>
</sst>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rgb="FF00EE00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EEEE00"/>
        <bgColor indexed="64"/>
      </patternFill>
    </fill>
  </fills>
  <borders count="172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5" xfId="0" applyFont="1" applyBorder="1"/>
    <xf numFmtId="0" fontId="4" fillId="0" borderId="0" xfId="0" applyFont="1"/>
    <xf numFmtId="0" fontId="2" fillId="0" borderId="22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2" fillId="0" borderId="29" xfId="0" applyFont="1" applyBorder="1" applyAlignment="1">
      <alignment horizontal="right"/>
    </xf>
    <xf numFmtId="14" fontId="2" fillId="0" borderId="30" xfId="0" applyNumberFormat="1" applyFont="1" applyBorder="1" applyAlignment="1">
      <alignment horizontal="center"/>
    </xf>
    <xf numFmtId="164" fontId="1" fillId="0" borderId="38" xfId="0" applyNumberFormat="1" applyFont="1" applyBorder="1" applyAlignment="1">
      <alignment horizontal="right"/>
    </xf>
    <xf numFmtId="164" fontId="1" fillId="0" borderId="47" xfId="0" applyNumberFormat="1" applyFont="1" applyBorder="1" applyAlignment="1">
      <alignment horizontal="right"/>
    </xf>
    <xf numFmtId="0" fontId="2" fillId="0" borderId="48" xfId="0" applyFont="1" applyBorder="1" applyAlignment="1">
      <alignment horizontal="right"/>
    </xf>
    <xf numFmtId="14" fontId="2" fillId="0" borderId="49" xfId="0" applyNumberFormat="1" applyFont="1" applyBorder="1" applyAlignment="1">
      <alignment horizontal="center"/>
    </xf>
    <xf numFmtId="164" fontId="1" fillId="0" borderId="67" xfId="0" applyNumberFormat="1" applyFont="1" applyBorder="1" applyAlignment="1">
      <alignment horizontal="right"/>
    </xf>
    <xf numFmtId="164" fontId="1" fillId="0" borderId="73" xfId="0" applyNumberFormat="1" applyFont="1" applyBorder="1" applyAlignment="1">
      <alignment horizontal="right"/>
    </xf>
    <xf numFmtId="0" fontId="2" fillId="0" borderId="77" xfId="0" applyFont="1" applyBorder="1"/>
    <xf numFmtId="0" fontId="2" fillId="0" borderId="79" xfId="0" applyFont="1" applyBorder="1"/>
    <xf numFmtId="0" fontId="1" fillId="0" borderId="80" xfId="0" applyFont="1" applyBorder="1" applyAlignment="1">
      <alignment horizontal="right"/>
    </xf>
    <xf numFmtId="0" fontId="5" fillId="0" borderId="0" xfId="0" applyFont="1"/>
    <xf numFmtId="0" fontId="2" fillId="0" borderId="81" xfId="0" applyFont="1" applyBorder="1" applyAlignment="1">
      <alignment horizontal="right"/>
    </xf>
    <xf numFmtId="14" fontId="2" fillId="0" borderId="82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1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34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35" xfId="0" applyNumberFormat="1" applyBorder="1" applyAlignment="1">
      <alignment horizontal="right"/>
    </xf>
    <xf numFmtId="164" fontId="0" fillId="0" borderId="36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41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0" fontId="0" fillId="0" borderId="97" xfId="0" applyBorder="1" applyAlignment="1">
      <alignment horizontal="right"/>
    </xf>
    <xf numFmtId="0" fontId="0" fillId="0" borderId="46" xfId="0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100" xfId="0" applyBorder="1" applyAlignment="1">
      <alignment horizontal="right"/>
    </xf>
    <xf numFmtId="0" fontId="0" fillId="0" borderId="66" xfId="0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107" xfId="0" applyBorder="1" applyAlignment="1">
      <alignment horizontal="right"/>
    </xf>
    <xf numFmtId="0" fontId="0" fillId="0" borderId="108" xfId="0" applyBorder="1" applyAlignment="1">
      <alignment horizontal="right"/>
    </xf>
    <xf numFmtId="164" fontId="0" fillId="0" borderId="0" xfId="0" applyNumberFormat="1"/>
    <xf numFmtId="0" fontId="0" fillId="0" borderId="11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25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14" fontId="1" fillId="0" borderId="16" xfId="0" applyNumberFormat="1" applyFont="1" applyBorder="1"/>
    <xf numFmtId="14" fontId="2" fillId="0" borderId="23" xfId="0" applyNumberFormat="1" applyFont="1" applyBorder="1" applyAlignment="1">
      <alignment horizontal="center"/>
    </xf>
    <xf numFmtId="0" fontId="0" fillId="0" borderId="109" xfId="0" applyBorder="1"/>
    <xf numFmtId="0" fontId="0" fillId="0" borderId="110" xfId="0" applyBorder="1"/>
    <xf numFmtId="0" fontId="0" fillId="0" borderId="24" xfId="0" applyBorder="1"/>
    <xf numFmtId="0" fontId="0" fillId="0" borderId="111" xfId="0" applyBorder="1"/>
    <xf numFmtId="20" fontId="0" fillId="0" borderId="6" xfId="0" applyNumberFormat="1" applyBorder="1"/>
    <xf numFmtId="0" fontId="0" fillId="0" borderId="28" xfId="0" applyBorder="1" applyAlignment="1">
      <alignment horizontal="center"/>
    </xf>
    <xf numFmtId="14" fontId="0" fillId="0" borderId="39" xfId="0" applyNumberFormat="1" applyBorder="1"/>
    <xf numFmtId="0" fontId="0" fillId="0" borderId="74" xfId="0" applyBorder="1"/>
    <xf numFmtId="164" fontId="0" fillId="0" borderId="92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164" fontId="0" fillId="0" borderId="108" xfId="0" applyNumberFormat="1" applyBorder="1" applyAlignment="1">
      <alignment horizontal="right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5" borderId="43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6" borderId="63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5" borderId="63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69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165" fontId="2" fillId="6" borderId="76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5" xfId="0" applyFont="1" applyBorder="1" applyAlignment="1">
      <alignment horizontal="right"/>
    </xf>
    <xf numFmtId="0" fontId="1" fillId="0" borderId="126" xfId="0" applyFont="1" applyBorder="1" applyAlignment="1">
      <alignment horizontal="right"/>
    </xf>
    <xf numFmtId="0" fontId="2" fillId="5" borderId="35" xfId="0" applyFont="1" applyFill="1" applyBorder="1" applyAlignment="1">
      <alignment horizontal="right"/>
    </xf>
    <xf numFmtId="0" fontId="2" fillId="5" borderId="37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7" xfId="0" applyFont="1" applyFill="1" applyBorder="1" applyAlignment="1">
      <alignment horizontal="center"/>
    </xf>
    <xf numFmtId="0" fontId="2" fillId="6" borderId="35" xfId="0" applyFont="1" applyFill="1" applyBorder="1" applyAlignment="1">
      <alignment horizontal="right"/>
    </xf>
    <xf numFmtId="0" fontId="2" fillId="6" borderId="37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1" fillId="6" borderId="128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right"/>
    </xf>
    <xf numFmtId="0" fontId="2" fillId="5" borderId="46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1" fillId="5" borderId="128" xfId="0" applyFont="1" applyFill="1" applyBorder="1" applyAlignment="1">
      <alignment horizontal="center"/>
    </xf>
    <xf numFmtId="0" fontId="2" fillId="6" borderId="44" xfId="0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6" borderId="64" xfId="0" applyFont="1" applyFill="1" applyBorder="1" applyAlignment="1">
      <alignment horizontal="right"/>
    </xf>
    <xf numFmtId="0" fontId="2" fillId="6" borderId="66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0" fontId="2" fillId="5" borderId="64" xfId="0" applyFont="1" applyFill="1" applyBorder="1" applyAlignment="1">
      <alignment horizontal="right"/>
    </xf>
    <xf numFmtId="0" fontId="2" fillId="5" borderId="66" xfId="0" applyFont="1" applyFill="1" applyBorder="1" applyAlignment="1">
      <alignment horizontal="right"/>
    </xf>
    <xf numFmtId="164" fontId="1" fillId="5" borderId="119" xfId="0" applyNumberFormat="1" applyFont="1" applyFill="1" applyBorder="1" applyAlignment="1">
      <alignment horizontal="right"/>
    </xf>
    <xf numFmtId="164" fontId="1" fillId="5" borderId="120" xfId="0" applyNumberFormat="1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0" fontId="2" fillId="6" borderId="55" xfId="0" applyFont="1" applyFill="1" applyBorder="1" applyAlignment="1">
      <alignment horizontal="right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9" xfId="0" applyNumberFormat="1" applyFont="1" applyFill="1" applyBorder="1" applyAlignment="1">
      <alignment horizontal="center"/>
    </xf>
    <xf numFmtId="164" fontId="1" fillId="6" borderId="123" xfId="0" applyNumberFormat="1" applyFont="1" applyFill="1" applyBorder="1" applyAlignment="1">
      <alignment horizontal="right"/>
    </xf>
    <xf numFmtId="164" fontId="1" fillId="6" borderId="124" xfId="0" applyNumberFormat="1" applyFont="1" applyFill="1" applyBorder="1" applyAlignment="1">
      <alignment horizontal="right"/>
    </xf>
    <xf numFmtId="164" fontId="1" fillId="6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5" xfId="0" applyFont="1" applyBorder="1" applyAlignment="1">
      <alignment horizontal="center"/>
    </xf>
    <xf numFmtId="0" fontId="2" fillId="0" borderId="133" xfId="0" applyFont="1" applyBorder="1" applyAlignment="1">
      <alignment horizontal="center"/>
    </xf>
    <xf numFmtId="0" fontId="2" fillId="0" borderId="17" xfId="0" applyFont="1" applyBorder="1"/>
    <xf numFmtId="0" fontId="0" fillId="0" borderId="137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5" xfId="0" applyBorder="1"/>
    <xf numFmtId="0" fontId="0" fillId="0" borderId="83" xfId="0" applyBorder="1"/>
    <xf numFmtId="0" fontId="0" fillId="0" borderId="84" xfId="0" applyBorder="1"/>
    <xf numFmtId="0" fontId="0" fillId="0" borderId="29" xfId="0" applyBorder="1"/>
    <xf numFmtId="0" fontId="0" fillId="0" borderId="112" xfId="0" applyBorder="1"/>
    <xf numFmtId="0" fontId="0" fillId="0" borderId="131" xfId="0" applyBorder="1"/>
    <xf numFmtId="0" fontId="0" fillId="0" borderId="113" xfId="0" applyBorder="1"/>
    <xf numFmtId="0" fontId="17" fillId="0" borderId="0" xfId="0" applyFont="1" applyAlignment="1">
      <alignment horizontal="center" vertical="center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4" fontId="18" fillId="0" borderId="30" xfId="0" applyNumberFormat="1" applyFont="1" applyBorder="1" applyAlignment="1">
      <alignment horizontal="center"/>
    </xf>
    <xf numFmtId="165" fontId="20" fillId="5" borderId="41" xfId="0" applyNumberFormat="1" applyFont="1" applyFill="1" applyBorder="1" applyAlignment="1" applyProtection="1">
      <alignment horizontal="right"/>
      <protection locked="0"/>
    </xf>
    <xf numFmtId="165" fontId="20" fillId="6" borderId="41" xfId="0" applyNumberFormat="1" applyFont="1" applyFill="1" applyBorder="1" applyAlignment="1" applyProtection="1">
      <alignment horizontal="right"/>
      <protection locked="0"/>
    </xf>
    <xf numFmtId="167" fontId="0" fillId="0" borderId="17" xfId="0" applyNumberFormat="1" applyBorder="1" applyAlignment="1">
      <alignment horizontal="center"/>
    </xf>
    <xf numFmtId="167" fontId="0" fillId="0" borderId="24" xfId="0" applyNumberFormat="1" applyBorder="1" applyAlignment="1">
      <alignment horizontal="center"/>
    </xf>
    <xf numFmtId="167" fontId="0" fillId="0" borderId="137" xfId="0" applyNumberForma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137" xfId="0" applyBorder="1" applyAlignment="1">
      <alignment horizontal="center"/>
    </xf>
    <xf numFmtId="167" fontId="0" fillId="0" borderId="19" xfId="0" applyNumberFormat="1" applyBorder="1"/>
    <xf numFmtId="167" fontId="0" fillId="0" borderId="17" xfId="0" applyNumberFormat="1" applyBorder="1"/>
    <xf numFmtId="167" fontId="0" fillId="0" borderId="132" xfId="0" applyNumberFormat="1" applyBorder="1"/>
    <xf numFmtId="167" fontId="0" fillId="0" borderId="24" xfId="0" applyNumberFormat="1" applyBorder="1"/>
    <xf numFmtId="167" fontId="0" fillId="0" borderId="14" xfId="0" applyNumberFormat="1" applyBorder="1"/>
    <xf numFmtId="167" fontId="0" fillId="0" borderId="137" xfId="0" applyNumberFormat="1" applyBorder="1"/>
    <xf numFmtId="165" fontId="20" fillId="5" borderId="40" xfId="0" applyNumberFormat="1" applyFont="1" applyFill="1" applyBorder="1" applyAlignment="1" applyProtection="1">
      <alignment horizontal="right"/>
      <protection locked="0"/>
    </xf>
    <xf numFmtId="165" fontId="20" fillId="6" borderId="40" xfId="0" applyNumberFormat="1" applyFont="1" applyFill="1" applyBorder="1" applyAlignment="1" applyProtection="1">
      <alignment horizontal="right"/>
      <protection locked="0"/>
    </xf>
    <xf numFmtId="0" fontId="21" fillId="0" borderId="131" xfId="0" applyFont="1" applyBorder="1"/>
    <xf numFmtId="0" fontId="22" fillId="0" borderId="81" xfId="0" applyFont="1" applyBorder="1"/>
    <xf numFmtId="0" fontId="23" fillId="0" borderId="136" xfId="0" applyFont="1" applyBorder="1" applyAlignment="1">
      <alignment horizontal="center"/>
    </xf>
    <xf numFmtId="0" fontId="0" fillId="0" borderId="138" xfId="0" applyBorder="1" applyAlignment="1">
      <alignment horizontal="center"/>
    </xf>
    <xf numFmtId="0" fontId="23" fillId="0" borderId="136" xfId="0" applyFont="1" applyBorder="1"/>
    <xf numFmtId="0" fontId="0" fillId="0" borderId="26" xfId="0" applyBorder="1"/>
    <xf numFmtId="0" fontId="0" fillId="0" borderId="138" xfId="0" applyBorder="1"/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43" xfId="0" applyNumberFormat="1" applyFont="1" applyFill="1" applyBorder="1" applyAlignment="1" applyProtection="1">
      <alignment horizontal="right"/>
      <protection locked="0"/>
    </xf>
    <xf numFmtId="165" fontId="19" fillId="5" borderId="59" xfId="0" applyNumberFormat="1" applyFont="1" applyFill="1" applyBorder="1" applyAlignment="1" applyProtection="1">
      <alignment horizontal="right"/>
      <protection locked="0"/>
    </xf>
    <xf numFmtId="165" fontId="19" fillId="6" borderId="59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165" fontId="19" fillId="6" borderId="43" xfId="0" applyNumberFormat="1" applyFont="1" applyFill="1" applyBorder="1" applyAlignment="1" applyProtection="1">
      <alignment horizontal="right"/>
      <protection locked="0"/>
    </xf>
    <xf numFmtId="0" fontId="2" fillId="0" borderId="29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9" xfId="0" applyFont="1" applyBorder="1" applyAlignment="1">
      <alignment vertical="center"/>
    </xf>
    <xf numFmtId="0" fontId="1" fillId="0" borderId="89" xfId="0" applyFont="1" applyBorder="1" applyAlignment="1">
      <alignment horizontal="center"/>
    </xf>
    <xf numFmtId="0" fontId="0" fillId="8" borderId="146" xfId="0" applyFill="1" applyBorder="1"/>
    <xf numFmtId="0" fontId="2" fillId="5" borderId="147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8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5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6" borderId="152" xfId="0" applyFont="1" applyFill="1" applyBorder="1" applyAlignment="1">
      <alignment horizontal="right"/>
    </xf>
    <xf numFmtId="0" fontId="2" fillId="6" borderId="153" xfId="0" applyFont="1" applyFill="1" applyBorder="1" applyAlignment="1">
      <alignment horizontal="right"/>
    </xf>
    <xf numFmtId="0" fontId="2" fillId="0" borderId="154" xfId="0" applyFont="1" applyBorder="1"/>
    <xf numFmtId="0" fontId="0" fillId="0" borderId="5" xfId="0" applyBorder="1"/>
    <xf numFmtId="49" fontId="0" fillId="0" borderId="158" xfId="0" applyNumberFormat="1" applyBorder="1"/>
    <xf numFmtId="14" fontId="0" fillId="0" borderId="161" xfId="0" applyNumberFormat="1" applyBorder="1"/>
    <xf numFmtId="20" fontId="0" fillId="0" borderId="161" xfId="0" applyNumberFormat="1" applyBorder="1"/>
    <xf numFmtId="49" fontId="0" fillId="0" borderId="162" xfId="0" applyNumberFormat="1" applyBorder="1"/>
    <xf numFmtId="49" fontId="0" fillId="0" borderId="159" xfId="0" applyNumberFormat="1" applyBorder="1"/>
    <xf numFmtId="14" fontId="0" fillId="0" borderId="160" xfId="0" applyNumberFormat="1" applyBorder="1"/>
    <xf numFmtId="20" fontId="0" fillId="0" borderId="160" xfId="0" applyNumberFormat="1" applyBorder="1"/>
    <xf numFmtId="49" fontId="0" fillId="0" borderId="143" xfId="0" applyNumberFormat="1" applyBorder="1"/>
    <xf numFmtId="0" fontId="0" fillId="0" borderId="81" xfId="0" applyBorder="1"/>
    <xf numFmtId="20" fontId="0" fillId="0" borderId="131" xfId="0" applyNumberFormat="1" applyBorder="1" applyAlignment="1">
      <alignment horizontal="center"/>
    </xf>
    <xf numFmtId="0" fontId="0" fillId="0" borderId="163" xfId="0" applyFill="1" applyBorder="1"/>
    <xf numFmtId="0" fontId="0" fillId="0" borderId="164" xfId="0" applyFill="1" applyBorder="1"/>
    <xf numFmtId="14" fontId="0" fillId="0" borderId="164" xfId="0" applyNumberFormat="1" applyFill="1" applyBorder="1"/>
    <xf numFmtId="20" fontId="0" fillId="0" borderId="164" xfId="0" applyNumberFormat="1" applyFill="1" applyBorder="1"/>
    <xf numFmtId="0" fontId="0" fillId="0" borderId="165" xfId="0" applyFill="1" applyBorder="1"/>
    <xf numFmtId="0" fontId="0" fillId="0" borderId="166" xfId="0" applyFill="1" applyBorder="1"/>
    <xf numFmtId="0" fontId="0" fillId="0" borderId="167" xfId="0" applyFill="1" applyBorder="1"/>
    <xf numFmtId="20" fontId="0" fillId="0" borderId="167" xfId="0" applyNumberFormat="1" applyFill="1" applyBorder="1"/>
    <xf numFmtId="0" fontId="0" fillId="0" borderId="168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Border="1"/>
    <xf numFmtId="14" fontId="0" fillId="0" borderId="156" xfId="0" applyNumberFormat="1" applyFill="1" applyBorder="1"/>
    <xf numFmtId="14" fontId="0" fillId="0" borderId="157" xfId="0" applyNumberFormat="1" applyFill="1" applyBorder="1"/>
    <xf numFmtId="20" fontId="0" fillId="0" borderId="157" xfId="0" applyNumberFormat="1" applyFill="1" applyBorder="1"/>
    <xf numFmtId="0" fontId="0" fillId="0" borderId="155" xfId="0" applyFill="1" applyBorder="1"/>
    <xf numFmtId="0" fontId="0" fillId="0" borderId="169" xfId="0" applyFill="1" applyBorder="1"/>
    <xf numFmtId="14" fontId="0" fillId="0" borderId="170" xfId="0" applyNumberFormat="1" applyFill="1" applyBorder="1"/>
    <xf numFmtId="20" fontId="0" fillId="0" borderId="170" xfId="0" applyNumberFormat="1" applyFill="1" applyBorder="1"/>
    <xf numFmtId="0" fontId="0" fillId="0" borderId="171" xfId="0" applyFill="1" applyBorder="1"/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7" fillId="0" borderId="0" xfId="0" applyFont="1" applyAlignment="1">
      <alignment horizontal="center"/>
    </xf>
    <xf numFmtId="0" fontId="1" fillId="0" borderId="9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3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0" fillId="9" borderId="87" xfId="0" applyFill="1" applyBorder="1" applyAlignment="1">
      <alignment horizontal="center"/>
    </xf>
    <xf numFmtId="0" fontId="1" fillId="0" borderId="15" xfId="0" applyFont="1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0" fillId="0" borderId="84" xfId="0" applyBorder="1" applyAlignment="1">
      <alignment horizontal="center" shrinkToFit="1"/>
    </xf>
    <xf numFmtId="0" fontId="1" fillId="0" borderId="8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1" fillId="3" borderId="84" xfId="0" applyFont="1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0" fillId="4" borderId="87" xfId="0" applyFill="1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19" fontId="1" fillId="2" borderId="9" xfId="0" applyNumberFormat="1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2" xfId="0" applyFont="1" applyBorder="1" applyAlignment="1">
      <alignment horizontal="center" vertical="center" textRotation="90" wrapText="1"/>
    </xf>
    <xf numFmtId="0" fontId="13" fillId="0" borderId="25" xfId="0" applyFont="1" applyBorder="1" applyAlignment="1">
      <alignment horizontal="center" vertical="center" textRotation="90" wrapText="1"/>
    </xf>
    <xf numFmtId="0" fontId="13" fillId="0" borderId="144" xfId="0" applyFont="1" applyBorder="1" applyAlignment="1">
      <alignment horizontal="center" vertical="center" textRotation="90" wrapText="1"/>
    </xf>
    <xf numFmtId="0" fontId="2" fillId="0" borderId="17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35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13" fillId="0" borderId="143" xfId="0" applyFont="1" applyBorder="1" applyAlignment="1">
      <alignment horizontal="center" vertical="center" textRotation="90"/>
    </xf>
    <xf numFmtId="0" fontId="13" fillId="0" borderId="134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vertical="center" wrapText="1"/>
    </xf>
    <xf numFmtId="0" fontId="0" fillId="0" borderId="132" xfId="0" applyBorder="1" applyAlignment="1">
      <alignment horizontal="center" vertical="center" wrapText="1"/>
    </xf>
    <xf numFmtId="0" fontId="2" fillId="0" borderId="8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2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145" xfId="0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37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 wrapText="1"/>
    </xf>
    <xf numFmtId="167" fontId="2" fillId="0" borderId="10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0" fontId="0" fillId="0" borderId="139" xfId="0" applyBorder="1"/>
    <xf numFmtId="0" fontId="0" fillId="0" borderId="11" xfId="0" applyBorder="1"/>
    <xf numFmtId="0" fontId="0" fillId="0" borderId="133" xfId="0" applyBorder="1"/>
    <xf numFmtId="0" fontId="0" fillId="0" borderId="114" xfId="0" applyBorder="1"/>
    <xf numFmtId="0" fontId="0" fillId="0" borderId="0" xfId="0"/>
    <xf numFmtId="0" fontId="0" fillId="0" borderId="30" xfId="0" applyBorder="1"/>
    <xf numFmtId="0" fontId="0" fillId="0" borderId="140" xfId="0" applyBorder="1"/>
    <xf numFmtId="0" fontId="0" fillId="0" borderId="141" xfId="0" applyBorder="1"/>
    <xf numFmtId="0" fontId="0" fillId="0" borderId="23" xfId="0" applyBorder="1"/>
    <xf numFmtId="0" fontId="2" fillId="0" borderId="9" xfId="0" applyFont="1" applyBorder="1" applyAlignment="1">
      <alignment horizontal="center"/>
    </xf>
    <xf numFmtId="0" fontId="2" fillId="0" borderId="132" xfId="0" applyFont="1" applyBorder="1" applyAlignment="1">
      <alignment horizontal="center"/>
    </xf>
    <xf numFmtId="0" fontId="2" fillId="1" borderId="9" xfId="0" applyFont="1" applyFill="1" applyBorder="1" applyAlignment="1">
      <alignment horizontal="center"/>
    </xf>
    <xf numFmtId="0" fontId="0" fillId="1" borderId="10" xfId="0" applyFill="1" applyBorder="1" applyAlignment="1">
      <alignment horizontal="center"/>
    </xf>
    <xf numFmtId="0" fontId="0" fillId="1" borderId="13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R14" sqref="R14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5"/>
      <c r="N1" s="305" t="s">
        <v>110</v>
      </c>
      <c r="O1" s="305"/>
      <c r="P1" s="305"/>
      <c r="Q1" s="35"/>
      <c r="S1" s="305">
        <v>2025</v>
      </c>
      <c r="T1" s="305"/>
      <c r="X1" t="s">
        <v>38</v>
      </c>
      <c r="AA1" s="319" t="s">
        <v>118</v>
      </c>
      <c r="AB1" s="319"/>
      <c r="BA1" t="s">
        <v>103</v>
      </c>
    </row>
    <row r="2" spans="3:53" x14ac:dyDescent="0.25">
      <c r="AF2" s="201"/>
      <c r="AG2" s="202"/>
      <c r="AH2" s="202"/>
      <c r="AI2" s="202"/>
      <c r="AJ2" s="202"/>
      <c r="AK2" s="202"/>
      <c r="AL2" s="202"/>
      <c r="AM2" s="202"/>
      <c r="AN2" s="203"/>
      <c r="BA2" t="s">
        <v>77</v>
      </c>
    </row>
    <row r="3" spans="3:53" x14ac:dyDescent="0.25">
      <c r="AF3" s="204"/>
      <c r="AG3" s="319" t="s">
        <v>109</v>
      </c>
      <c r="AH3" s="319"/>
      <c r="AI3" s="319"/>
      <c r="AJ3" s="319"/>
      <c r="AK3" s="319"/>
      <c r="AL3" s="319"/>
      <c r="AM3" s="319"/>
      <c r="AN3" s="205"/>
      <c r="BA3" t="s">
        <v>78</v>
      </c>
    </row>
    <row r="4" spans="3:53" x14ac:dyDescent="0.25">
      <c r="D4" s="289"/>
      <c r="E4" s="289"/>
      <c r="F4" s="289"/>
      <c r="G4" s="289"/>
      <c r="H4" s="289"/>
      <c r="I4" s="289"/>
      <c r="J4" s="290"/>
      <c r="K4" s="289"/>
      <c r="L4" s="289"/>
      <c r="M4" s="289"/>
      <c r="N4" s="289"/>
      <c r="O4" s="289"/>
      <c r="P4" s="289"/>
      <c r="Q4" s="290"/>
      <c r="R4" s="289"/>
      <c r="S4" s="289"/>
      <c r="T4" s="289"/>
      <c r="U4" s="289"/>
      <c r="V4" s="289"/>
      <c r="W4" s="289"/>
      <c r="X4" s="290"/>
      <c r="Y4" s="289"/>
      <c r="Z4" s="289"/>
      <c r="AA4" s="289"/>
      <c r="AB4" s="289"/>
      <c r="AC4" s="289"/>
      <c r="AD4" s="289"/>
      <c r="AF4" s="204"/>
      <c r="AJ4" s="208" t="s">
        <v>66</v>
      </c>
      <c r="AN4" s="205"/>
      <c r="BA4" t="s">
        <v>67</v>
      </c>
    </row>
    <row r="5" spans="3:53" x14ac:dyDescent="0.25">
      <c r="C5" s="7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90"/>
      <c r="R5" s="289"/>
      <c r="S5" s="289"/>
      <c r="T5" s="289"/>
      <c r="U5" s="289"/>
      <c r="V5" s="289"/>
      <c r="W5" s="289"/>
      <c r="X5" s="290"/>
      <c r="Y5" s="289"/>
      <c r="Z5" s="289"/>
      <c r="AA5" s="289"/>
      <c r="AB5" s="289"/>
      <c r="AC5" s="289"/>
      <c r="AD5" s="289"/>
      <c r="AF5" s="204"/>
      <c r="AG5" s="308" t="s">
        <v>67</v>
      </c>
      <c r="AH5" s="309"/>
      <c r="AI5" s="309"/>
      <c r="AJ5" s="309"/>
      <c r="AK5" s="309"/>
      <c r="AL5" s="309"/>
      <c r="AM5" s="310"/>
      <c r="AN5" s="205"/>
      <c r="BA5" t="s">
        <v>104</v>
      </c>
    </row>
    <row r="6" spans="3:53" x14ac:dyDescent="0.25">
      <c r="C6" s="7"/>
      <c r="D6" s="289"/>
      <c r="E6" s="289"/>
      <c r="F6" s="291"/>
      <c r="G6" s="291"/>
      <c r="H6" s="291"/>
      <c r="I6" s="291"/>
      <c r="J6" s="289"/>
      <c r="K6" s="289"/>
      <c r="L6" s="289"/>
      <c r="M6" s="291"/>
      <c r="N6" s="291"/>
      <c r="O6" s="291"/>
      <c r="P6" s="291"/>
      <c r="Q6" s="290"/>
      <c r="R6" s="289"/>
      <c r="S6" s="289"/>
      <c r="T6" s="291"/>
      <c r="U6" s="291"/>
      <c r="V6" s="291"/>
      <c r="W6" s="291"/>
      <c r="X6" s="290"/>
      <c r="Y6" s="289"/>
      <c r="Z6" s="289"/>
      <c r="AA6" s="291"/>
      <c r="AB6" s="291"/>
      <c r="AC6" s="291"/>
      <c r="AD6" s="291"/>
      <c r="AF6" s="204"/>
      <c r="AN6" s="205"/>
      <c r="BA6" t="s">
        <v>79</v>
      </c>
    </row>
    <row r="7" spans="3:53" x14ac:dyDescent="0.25">
      <c r="C7" s="7"/>
      <c r="D7" s="289"/>
      <c r="E7" s="289"/>
      <c r="F7" s="291"/>
      <c r="G7" s="291"/>
      <c r="H7" s="291"/>
      <c r="I7" s="291"/>
      <c r="J7" s="289"/>
      <c r="K7" s="289"/>
      <c r="L7" s="289"/>
      <c r="M7" s="291"/>
      <c r="N7" s="291"/>
      <c r="O7" s="291"/>
      <c r="P7" s="291"/>
      <c r="Q7" s="290"/>
      <c r="R7" s="289"/>
      <c r="S7" s="289"/>
      <c r="T7" s="291"/>
      <c r="U7" s="291"/>
      <c r="V7" s="291"/>
      <c r="W7" s="291"/>
      <c r="X7" s="290"/>
      <c r="Y7" s="289"/>
      <c r="Z7" s="289"/>
      <c r="AA7" s="291"/>
      <c r="AB7" s="291"/>
      <c r="AC7" s="291"/>
      <c r="AD7" s="291"/>
      <c r="AF7" s="204"/>
      <c r="AN7" s="205"/>
      <c r="BA7" t="s">
        <v>105</v>
      </c>
    </row>
    <row r="8" spans="3:53" x14ac:dyDescent="0.25">
      <c r="C8" s="7"/>
      <c r="D8" s="289"/>
      <c r="E8" s="289"/>
      <c r="F8" s="291"/>
      <c r="G8" s="291"/>
      <c r="H8" s="291"/>
      <c r="I8" s="291"/>
      <c r="J8" s="290"/>
      <c r="K8" s="289"/>
      <c r="L8" s="289"/>
      <c r="M8" s="291"/>
      <c r="N8" s="291"/>
      <c r="O8" s="291"/>
      <c r="P8" s="291"/>
      <c r="Q8" s="290"/>
      <c r="R8" s="289"/>
      <c r="S8" s="289"/>
      <c r="T8" s="291"/>
      <c r="U8" s="291"/>
      <c r="V8" s="291"/>
      <c r="W8" s="291"/>
      <c r="X8" s="290"/>
      <c r="Y8" s="289"/>
      <c r="Z8" s="289"/>
      <c r="AA8" s="291"/>
      <c r="AB8" s="291"/>
      <c r="AC8" s="291"/>
      <c r="AD8" s="291"/>
      <c r="AF8" s="204"/>
      <c r="AN8" s="205"/>
      <c r="BA8" t="s">
        <v>106</v>
      </c>
    </row>
    <row r="9" spans="3:53" x14ac:dyDescent="0.25">
      <c r="C9" s="7"/>
      <c r="D9" s="289"/>
      <c r="E9" s="289"/>
      <c r="F9" s="291"/>
      <c r="G9" s="291"/>
      <c r="H9" s="291"/>
      <c r="I9" s="291"/>
      <c r="J9" s="290"/>
      <c r="K9" s="289"/>
      <c r="L9" s="289"/>
      <c r="M9" s="291"/>
      <c r="N9" s="291"/>
      <c r="O9" s="291"/>
      <c r="P9" s="291"/>
      <c r="Q9" s="290"/>
      <c r="R9" s="289"/>
      <c r="S9" s="289"/>
      <c r="T9" s="291"/>
      <c r="U9" s="291"/>
      <c r="V9" s="291"/>
      <c r="W9" s="291"/>
      <c r="X9" s="290"/>
      <c r="Y9" s="289"/>
      <c r="Z9" s="289"/>
      <c r="AA9" s="291"/>
      <c r="AB9" s="291"/>
      <c r="AC9" s="291"/>
      <c r="AD9" s="291"/>
      <c r="AF9" s="204"/>
      <c r="AN9" s="205"/>
      <c r="BA9" t="s">
        <v>107</v>
      </c>
    </row>
    <row r="10" spans="3:53" x14ac:dyDescent="0.25">
      <c r="C10" s="7"/>
      <c r="D10" s="289"/>
      <c r="E10" s="289"/>
      <c r="F10" s="291"/>
      <c r="G10" s="291"/>
      <c r="H10" s="291"/>
      <c r="I10" s="291"/>
      <c r="J10" s="290"/>
      <c r="K10" s="289"/>
      <c r="L10" s="289"/>
      <c r="M10" s="291"/>
      <c r="N10" s="291"/>
      <c r="O10" s="291"/>
      <c r="P10" s="291"/>
      <c r="Q10" s="290"/>
      <c r="R10" s="289"/>
      <c r="S10" s="289"/>
      <c r="T10" s="291"/>
      <c r="U10" s="291"/>
      <c r="V10" s="291"/>
      <c r="W10" s="291"/>
      <c r="X10" s="290"/>
      <c r="Y10" s="289"/>
      <c r="Z10" s="289"/>
      <c r="AA10" s="291"/>
      <c r="AB10" s="291"/>
      <c r="AC10" s="291"/>
      <c r="AD10" s="291"/>
      <c r="AF10" s="204"/>
      <c r="AN10" s="205"/>
    </row>
    <row r="11" spans="3:53" x14ac:dyDescent="0.25">
      <c r="C11" s="7"/>
      <c r="D11" s="289"/>
      <c r="E11" s="289"/>
      <c r="F11" s="291"/>
      <c r="G11" s="291"/>
      <c r="H11" s="291"/>
      <c r="I11" s="291"/>
      <c r="J11" s="290"/>
      <c r="K11" s="289"/>
      <c r="L11" s="289"/>
      <c r="M11" s="291"/>
      <c r="N11" s="291"/>
      <c r="O11" s="291"/>
      <c r="P11" s="291"/>
      <c r="Q11" s="290"/>
      <c r="R11" s="289"/>
      <c r="S11" s="289"/>
      <c r="T11" s="291"/>
      <c r="U11" s="291"/>
      <c r="V11" s="291"/>
      <c r="W11" s="291"/>
      <c r="X11" s="290"/>
      <c r="Y11" s="289"/>
      <c r="Z11" s="289"/>
      <c r="AA11" s="291"/>
      <c r="AB11" s="291"/>
      <c r="AC11" s="291"/>
      <c r="AD11" s="291"/>
      <c r="AF11" s="204"/>
      <c r="AN11" s="205"/>
    </row>
    <row r="12" spans="3:53" x14ac:dyDescent="0.25">
      <c r="C12" s="7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F12" s="204"/>
      <c r="AN12" s="205"/>
    </row>
    <row r="13" spans="3:53" x14ac:dyDescent="0.25">
      <c r="C13" s="7"/>
      <c r="D13" s="289"/>
      <c r="E13" s="289"/>
      <c r="F13" s="289"/>
      <c r="G13" s="289"/>
      <c r="H13" s="289"/>
      <c r="I13" s="289"/>
      <c r="J13" s="290"/>
      <c r="K13" s="289"/>
      <c r="L13" s="289"/>
      <c r="M13" s="289"/>
      <c r="N13" s="289"/>
      <c r="O13" s="289"/>
      <c r="P13" s="289"/>
      <c r="Q13" s="290"/>
      <c r="R13" s="289"/>
      <c r="S13" s="289"/>
      <c r="T13" s="289"/>
      <c r="U13" s="289"/>
      <c r="V13" s="289"/>
      <c r="W13" s="289"/>
      <c r="X13" s="290"/>
      <c r="Y13" s="289"/>
      <c r="Z13" s="289"/>
      <c r="AA13" s="289"/>
      <c r="AB13" s="289"/>
      <c r="AC13" s="289"/>
      <c r="AD13" s="289"/>
      <c r="AF13" s="204"/>
      <c r="AN13" s="205"/>
    </row>
    <row r="14" spans="3:53" ht="15.75" thickBot="1" x14ac:dyDescent="0.3">
      <c r="C14" s="7"/>
      <c r="D14" s="289"/>
      <c r="E14" s="289"/>
      <c r="F14" s="289"/>
      <c r="G14" s="289"/>
      <c r="H14" s="289"/>
      <c r="I14" s="289"/>
      <c r="J14" s="290"/>
      <c r="K14" s="289"/>
      <c r="L14" s="289"/>
      <c r="M14" s="289"/>
      <c r="N14" s="289"/>
      <c r="O14" s="289"/>
      <c r="P14" s="289"/>
      <c r="Q14" s="290"/>
      <c r="R14" s="289"/>
      <c r="S14" s="289"/>
      <c r="T14" s="289"/>
      <c r="U14" s="289"/>
      <c r="V14" s="289"/>
      <c r="W14" s="289"/>
      <c r="X14" s="290"/>
      <c r="Y14" s="289"/>
      <c r="Z14" s="289"/>
      <c r="AA14" s="289"/>
      <c r="AB14" s="289"/>
      <c r="AC14" s="289"/>
      <c r="AD14" s="289"/>
      <c r="AF14" s="238"/>
      <c r="AG14" s="237">
        <v>7</v>
      </c>
      <c r="AH14" s="206"/>
      <c r="AI14" s="206"/>
      <c r="AJ14" s="206"/>
      <c r="AK14" s="206"/>
      <c r="AL14" s="206"/>
      <c r="AM14" s="206"/>
      <c r="AN14" s="207"/>
    </row>
    <row r="15" spans="3:53" x14ac:dyDescent="0.25">
      <c r="C15" s="7"/>
      <c r="D15" s="289"/>
      <c r="E15" s="289"/>
      <c r="F15" s="291"/>
      <c r="G15" s="291"/>
      <c r="H15" s="291"/>
      <c r="I15" s="291"/>
      <c r="J15" s="290"/>
      <c r="K15" s="289"/>
      <c r="L15" s="289"/>
      <c r="M15" s="291"/>
      <c r="N15" s="291"/>
      <c r="O15" s="291"/>
      <c r="P15" s="291"/>
      <c r="Q15" s="290"/>
      <c r="R15" s="289"/>
      <c r="S15" s="289"/>
      <c r="T15" s="291"/>
      <c r="U15" s="291"/>
      <c r="V15" s="291"/>
      <c r="W15" s="291"/>
      <c r="X15" s="290"/>
      <c r="Y15" s="289"/>
      <c r="Z15" s="289"/>
      <c r="AA15" s="291"/>
      <c r="AB15" s="291"/>
      <c r="AC15" s="291"/>
      <c r="AD15" s="291"/>
    </row>
    <row r="16" spans="3:53" x14ac:dyDescent="0.25">
      <c r="C16" s="7"/>
      <c r="D16" s="289"/>
      <c r="E16" s="289"/>
      <c r="F16" s="291"/>
      <c r="G16" s="291"/>
      <c r="H16" s="291"/>
      <c r="I16" s="291"/>
      <c r="J16" s="290"/>
      <c r="K16" s="289"/>
      <c r="L16" s="289"/>
      <c r="M16" s="291"/>
      <c r="N16" s="291"/>
      <c r="O16" s="291"/>
      <c r="P16" s="291"/>
      <c r="Q16" s="290"/>
      <c r="R16" s="289"/>
      <c r="S16" s="289"/>
      <c r="T16" s="291"/>
      <c r="U16" s="291"/>
      <c r="V16" s="291"/>
      <c r="W16" s="291"/>
      <c r="X16" s="290"/>
      <c r="Y16" s="289"/>
      <c r="Z16" s="289"/>
      <c r="AA16" s="291"/>
      <c r="AB16" s="291"/>
      <c r="AC16" s="291"/>
      <c r="AD16" s="291"/>
    </row>
    <row r="17" spans="2:30" x14ac:dyDescent="0.25">
      <c r="C17" s="7"/>
      <c r="D17" s="289"/>
      <c r="E17" s="289"/>
      <c r="F17" s="291"/>
      <c r="G17" s="291"/>
      <c r="H17" s="291"/>
      <c r="I17" s="291"/>
      <c r="J17" s="290"/>
      <c r="K17" s="289"/>
      <c r="L17" s="289"/>
      <c r="M17" s="291"/>
      <c r="N17" s="291"/>
      <c r="O17" s="291"/>
      <c r="P17" s="291"/>
      <c r="Q17" s="290"/>
      <c r="R17" s="289"/>
      <c r="S17" s="289"/>
      <c r="T17" s="291"/>
      <c r="U17" s="291"/>
      <c r="V17" s="291"/>
      <c r="W17" s="291"/>
      <c r="X17" s="290"/>
      <c r="Y17" s="289"/>
      <c r="Z17" s="289"/>
      <c r="AA17" s="291"/>
      <c r="AB17" s="291"/>
      <c r="AC17" s="291"/>
      <c r="AD17" s="291"/>
    </row>
    <row r="18" spans="2:30" x14ac:dyDescent="0.25">
      <c r="C18" s="7"/>
      <c r="D18" s="289"/>
      <c r="E18" s="289"/>
      <c r="F18" s="291"/>
      <c r="G18" s="291"/>
      <c r="H18" s="291"/>
      <c r="I18" s="291"/>
      <c r="J18" s="290"/>
      <c r="K18" s="289"/>
      <c r="L18" s="289"/>
      <c r="M18" s="291"/>
      <c r="N18" s="291"/>
      <c r="O18" s="291"/>
      <c r="P18" s="291"/>
      <c r="Q18" s="290"/>
      <c r="R18" s="289"/>
      <c r="S18" s="289"/>
      <c r="T18" s="291"/>
      <c r="U18" s="291"/>
      <c r="V18" s="291"/>
      <c r="W18" s="291"/>
      <c r="X18" s="290"/>
      <c r="Y18" s="289"/>
      <c r="Z18" s="289"/>
      <c r="AA18" s="291"/>
      <c r="AB18" s="291"/>
      <c r="AC18" s="291"/>
      <c r="AD18" s="291"/>
    </row>
    <row r="19" spans="2:30" x14ac:dyDescent="0.25">
      <c r="C19" s="7"/>
      <c r="D19" s="289"/>
      <c r="E19" s="289"/>
      <c r="F19" s="291"/>
      <c r="G19" s="291"/>
      <c r="H19" s="291"/>
      <c r="I19" s="291"/>
      <c r="J19" s="290"/>
      <c r="K19" s="289"/>
      <c r="L19" s="289"/>
      <c r="M19" s="291"/>
      <c r="N19" s="291"/>
      <c r="O19" s="291"/>
      <c r="P19" s="291"/>
      <c r="Q19" s="290"/>
      <c r="R19" s="289"/>
      <c r="S19" s="289"/>
      <c r="T19" s="291"/>
      <c r="U19" s="291"/>
      <c r="V19" s="291"/>
      <c r="W19" s="291"/>
      <c r="X19" s="290"/>
      <c r="Y19" s="289"/>
      <c r="Z19" s="289"/>
      <c r="AA19" s="291"/>
      <c r="AB19" s="291"/>
      <c r="AC19" s="291"/>
      <c r="AD19" s="291"/>
    </row>
    <row r="20" spans="2:30" x14ac:dyDescent="0.25">
      <c r="C20" s="7"/>
      <c r="D20" s="289"/>
      <c r="E20" s="289"/>
      <c r="F20" s="291"/>
      <c r="G20" s="291"/>
      <c r="H20" s="291"/>
      <c r="I20" s="291"/>
      <c r="J20" s="290"/>
      <c r="K20" s="289"/>
      <c r="L20" s="289"/>
      <c r="M20" s="291"/>
      <c r="N20" s="291"/>
      <c r="O20" s="291"/>
      <c r="P20" s="291"/>
      <c r="Q20" s="290"/>
      <c r="R20" s="289"/>
      <c r="S20" s="289"/>
      <c r="T20" s="291"/>
      <c r="U20" s="291"/>
      <c r="V20" s="291"/>
      <c r="W20" s="291"/>
      <c r="X20" s="290"/>
      <c r="Y20" s="289"/>
      <c r="Z20" s="289"/>
      <c r="AA20" s="291"/>
      <c r="AB20" s="291"/>
      <c r="AC20" s="291"/>
      <c r="AD20" s="291"/>
    </row>
    <row r="21" spans="2:30" x14ac:dyDescent="0.25">
      <c r="C21" s="7"/>
    </row>
    <row r="22" spans="2:30" ht="15.75" thickBot="1" x14ac:dyDescent="0.3">
      <c r="C22" s="7"/>
    </row>
    <row r="23" spans="2:30" ht="15.75" thickBot="1" x14ac:dyDescent="0.3">
      <c r="C23" s="7"/>
      <c r="I23" s="308"/>
      <c r="J23" s="309"/>
      <c r="K23" s="309"/>
      <c r="L23" s="309"/>
      <c r="M23" s="309"/>
      <c r="N23" s="310"/>
      <c r="Q23" s="257"/>
      <c r="R23" s="318" t="s">
        <v>71</v>
      </c>
      <c r="S23" s="309"/>
      <c r="T23" s="309"/>
      <c r="U23" s="309"/>
      <c r="V23" s="310"/>
    </row>
    <row r="24" spans="2:30" ht="15.75" thickBot="1" x14ac:dyDescent="0.3">
      <c r="B24" s="313" t="s">
        <v>4</v>
      </c>
      <c r="C24" s="314"/>
      <c r="D24" s="314"/>
      <c r="E24" s="314"/>
      <c r="F24" s="314"/>
      <c r="G24" s="314"/>
      <c r="H24" s="314"/>
      <c r="I24" s="315"/>
      <c r="J24" s="315"/>
      <c r="K24" s="315"/>
      <c r="L24" s="315"/>
      <c r="M24" s="315"/>
      <c r="N24" s="315"/>
      <c r="O24" s="314"/>
      <c r="P24" s="314"/>
      <c r="Q24" s="315"/>
      <c r="R24" s="314"/>
      <c r="S24" s="314"/>
      <c r="T24" s="314"/>
      <c r="U24" s="314"/>
      <c r="V24" s="314"/>
      <c r="W24" s="316"/>
      <c r="X24" s="11"/>
      <c r="Y24" s="11"/>
      <c r="Z24" s="11"/>
      <c r="AA24" s="12"/>
      <c r="AB24" s="12"/>
      <c r="AC24" s="12"/>
      <c r="AD24" s="10"/>
    </row>
    <row r="25" spans="2:30" ht="15.75" thickBot="1" x14ac:dyDescent="0.3">
      <c r="B25" s="13"/>
      <c r="C25" s="103"/>
      <c r="D25" s="311">
        <v>1</v>
      </c>
      <c r="E25" s="311"/>
      <c r="F25" s="311">
        <v>2</v>
      </c>
      <c r="G25" s="311"/>
      <c r="H25" s="311">
        <v>3</v>
      </c>
      <c r="I25" s="311"/>
      <c r="J25" s="311">
        <v>4</v>
      </c>
      <c r="K25" s="311"/>
      <c r="L25" s="311">
        <v>5</v>
      </c>
      <c r="M25" s="312"/>
      <c r="N25" s="312">
        <v>6</v>
      </c>
      <c r="O25" s="317"/>
      <c r="P25" s="312">
        <v>7</v>
      </c>
      <c r="Q25" s="317"/>
      <c r="R25" s="312">
        <v>8</v>
      </c>
      <c r="S25" s="317"/>
      <c r="T25" s="312">
        <v>9</v>
      </c>
      <c r="U25" s="317"/>
      <c r="V25" s="312">
        <v>10</v>
      </c>
      <c r="W25" s="307"/>
      <c r="X25" s="306" t="s">
        <v>70</v>
      </c>
      <c r="Y25" s="307"/>
      <c r="AA25" s="14"/>
      <c r="AB25" s="14"/>
      <c r="AC25" s="14"/>
      <c r="AD25" s="14"/>
    </row>
    <row r="26" spans="2:30" x14ac:dyDescent="0.25">
      <c r="B26" s="15"/>
      <c r="C26" s="104"/>
      <c r="D26" s="16" t="s">
        <v>6</v>
      </c>
      <c r="E26" s="16" t="s">
        <v>7</v>
      </c>
      <c r="F26" s="16" t="s">
        <v>6</v>
      </c>
      <c r="G26" s="16" t="s">
        <v>7</v>
      </c>
      <c r="H26" s="16" t="s">
        <v>6</v>
      </c>
      <c r="I26" s="16" t="s">
        <v>7</v>
      </c>
      <c r="J26" s="16" t="s">
        <v>6</v>
      </c>
      <c r="K26" s="16" t="s">
        <v>7</v>
      </c>
      <c r="L26" s="16" t="s">
        <v>6</v>
      </c>
      <c r="M26" s="16" t="s">
        <v>7</v>
      </c>
      <c r="N26" s="16" t="s">
        <v>6</v>
      </c>
      <c r="O26" s="16" t="s">
        <v>7</v>
      </c>
      <c r="P26" s="16" t="s">
        <v>6</v>
      </c>
      <c r="Q26" s="16" t="s">
        <v>7</v>
      </c>
      <c r="R26" s="16" t="s">
        <v>6</v>
      </c>
      <c r="S26" s="16" t="s">
        <v>7</v>
      </c>
      <c r="T26" s="16" t="s">
        <v>6</v>
      </c>
      <c r="U26" s="16" t="s">
        <v>7</v>
      </c>
      <c r="V26" s="16" t="s">
        <v>6</v>
      </c>
      <c r="W26" s="16" t="s">
        <v>7</v>
      </c>
      <c r="X26" s="17" t="s">
        <v>69</v>
      </c>
      <c r="Y26" s="19" t="s">
        <v>72</v>
      </c>
      <c r="Z26" s="256"/>
      <c r="AA26" s="306" t="s">
        <v>11</v>
      </c>
      <c r="AB26" s="307"/>
      <c r="AC26" s="306" t="s">
        <v>12</v>
      </c>
      <c r="AD26" s="307"/>
    </row>
    <row r="27" spans="2:30" ht="14.1" customHeight="1" x14ac:dyDescent="0.25">
      <c r="B27" s="21" t="s">
        <v>14</v>
      </c>
      <c r="C27" s="22">
        <v>45649</v>
      </c>
      <c r="D27" s="209"/>
      <c r="E27" s="210"/>
      <c r="F27" s="209"/>
      <c r="G27" s="210"/>
      <c r="H27" s="209"/>
      <c r="I27" s="210"/>
      <c r="J27" s="209"/>
      <c r="K27" s="210"/>
      <c r="L27" s="209"/>
      <c r="M27" s="210"/>
      <c r="N27" s="244"/>
      <c r="O27" s="210"/>
      <c r="P27" s="209"/>
      <c r="Q27" s="210"/>
      <c r="R27" s="209"/>
      <c r="S27" s="210"/>
      <c r="T27" s="209"/>
      <c r="U27" s="210"/>
      <c r="V27" s="209"/>
      <c r="W27" s="245"/>
      <c r="X27" s="151"/>
      <c r="Y27" s="152"/>
      <c r="Z27" s="258"/>
      <c r="AA27" s="153"/>
      <c r="AB27" s="154"/>
      <c r="AC27" s="155"/>
      <c r="AD27" s="155"/>
    </row>
    <row r="28" spans="2:30" ht="14.1" customHeight="1" x14ac:dyDescent="0.25">
      <c r="B28" s="21"/>
      <c r="C28" s="22"/>
      <c r="D28" s="216"/>
      <c r="E28" s="217"/>
      <c r="F28" s="216"/>
      <c r="G28" s="217"/>
      <c r="H28" s="216"/>
      <c r="I28" s="217"/>
      <c r="J28" s="216"/>
      <c r="K28" s="217"/>
      <c r="L28" s="216"/>
      <c r="M28" s="217"/>
      <c r="N28" s="220"/>
      <c r="O28" s="217"/>
      <c r="P28" s="216"/>
      <c r="Q28" s="217"/>
      <c r="R28" s="216"/>
      <c r="S28" s="217"/>
      <c r="T28" s="216"/>
      <c r="U28" s="217"/>
      <c r="V28" s="216"/>
      <c r="W28" s="249"/>
      <c r="X28" s="156"/>
      <c r="Y28" s="157"/>
      <c r="Z28" s="259"/>
      <c r="AA28" s="158"/>
      <c r="AB28" s="159"/>
      <c r="AC28" s="160"/>
      <c r="AD28" s="160"/>
    </row>
    <row r="29" spans="2:30" ht="14.1" customHeight="1" x14ac:dyDescent="0.25">
      <c r="B29" s="21" t="s">
        <v>15</v>
      </c>
      <c r="C29" s="22">
        <v>45650</v>
      </c>
      <c r="D29" s="211"/>
      <c r="E29" s="212"/>
      <c r="F29" s="211"/>
      <c r="G29" s="212"/>
      <c r="H29" s="211"/>
      <c r="I29" s="212"/>
      <c r="J29" s="211"/>
      <c r="K29" s="212"/>
      <c r="L29" s="211"/>
      <c r="M29" s="212"/>
      <c r="N29" s="246"/>
      <c r="O29" s="212"/>
      <c r="P29" s="211"/>
      <c r="Q29" s="212"/>
      <c r="R29" s="211"/>
      <c r="S29" s="212"/>
      <c r="T29" s="211"/>
      <c r="U29" s="212"/>
      <c r="V29" s="211"/>
      <c r="W29" s="247"/>
      <c r="X29" s="161"/>
      <c r="Y29" s="162"/>
      <c r="Z29" s="260"/>
      <c r="AA29" s="163"/>
      <c r="AB29" s="164"/>
      <c r="AC29" s="165"/>
      <c r="AD29" s="165"/>
    </row>
    <row r="30" spans="2:30" ht="14.1" customHeight="1" x14ac:dyDescent="0.25">
      <c r="B30" s="21"/>
      <c r="C30" s="22"/>
      <c r="D30" s="218"/>
      <c r="E30" s="219"/>
      <c r="F30" s="218"/>
      <c r="G30" s="219"/>
      <c r="H30" s="218"/>
      <c r="I30" s="219"/>
      <c r="J30" s="218"/>
      <c r="K30" s="219"/>
      <c r="L30" s="218"/>
      <c r="M30" s="219"/>
      <c r="N30" s="250"/>
      <c r="O30" s="219"/>
      <c r="P30" s="218"/>
      <c r="Q30" s="219"/>
      <c r="R30" s="218"/>
      <c r="S30" s="219"/>
      <c r="T30" s="218"/>
      <c r="U30" s="219"/>
      <c r="V30" s="218"/>
      <c r="W30" s="251"/>
      <c r="X30" s="166"/>
      <c r="Y30" s="167"/>
      <c r="Z30" s="261"/>
      <c r="AA30" s="168"/>
      <c r="AB30" s="169"/>
      <c r="AC30" s="160"/>
      <c r="AD30" s="160"/>
    </row>
    <row r="31" spans="2:30" ht="14.1" customHeight="1" x14ac:dyDescent="0.25">
      <c r="B31" s="21" t="s">
        <v>16</v>
      </c>
      <c r="C31" s="22">
        <v>45651</v>
      </c>
      <c r="D31" s="211"/>
      <c r="E31" s="212"/>
      <c r="F31" s="211"/>
      <c r="G31" s="212"/>
      <c r="H31" s="211"/>
      <c r="I31" s="212"/>
      <c r="J31" s="211"/>
      <c r="K31" s="212"/>
      <c r="L31" s="211"/>
      <c r="M31" s="212"/>
      <c r="N31" s="246"/>
      <c r="O31" s="212"/>
      <c r="P31" s="211"/>
      <c r="Q31" s="212"/>
      <c r="R31" s="211"/>
      <c r="S31" s="212"/>
      <c r="T31" s="211"/>
      <c r="U31" s="212"/>
      <c r="V31" s="211"/>
      <c r="W31" s="247"/>
      <c r="X31" s="161"/>
      <c r="Y31" s="162"/>
      <c r="Z31" s="260"/>
      <c r="AA31" s="163"/>
      <c r="AB31" s="164"/>
      <c r="AC31" s="165"/>
      <c r="AD31" s="165"/>
    </row>
    <row r="32" spans="2:30" ht="14.1" customHeight="1" x14ac:dyDescent="0.25">
      <c r="B32" s="21"/>
      <c r="C32" s="22"/>
      <c r="D32" s="218"/>
      <c r="E32" s="219"/>
      <c r="F32" s="218"/>
      <c r="G32" s="219"/>
      <c r="H32" s="218"/>
      <c r="I32" s="219"/>
      <c r="J32" s="218"/>
      <c r="K32" s="219"/>
      <c r="L32" s="218"/>
      <c r="M32" s="219"/>
      <c r="N32" s="250"/>
      <c r="O32" s="219"/>
      <c r="P32" s="218"/>
      <c r="Q32" s="219"/>
      <c r="R32" s="218"/>
      <c r="S32" s="219"/>
      <c r="T32" s="218"/>
      <c r="U32" s="219"/>
      <c r="V32" s="218"/>
      <c r="W32" s="251"/>
      <c r="X32" s="166"/>
      <c r="Y32" s="167"/>
      <c r="Z32" s="261"/>
      <c r="AA32" s="168"/>
      <c r="AB32" s="169"/>
      <c r="AC32" s="160"/>
      <c r="AD32" s="160"/>
    </row>
    <row r="33" spans="2:30" ht="14.1" customHeight="1" x14ac:dyDescent="0.25">
      <c r="B33" s="21" t="s">
        <v>17</v>
      </c>
      <c r="C33" s="22">
        <v>45652</v>
      </c>
      <c r="D33" s="211"/>
      <c r="E33" s="212"/>
      <c r="F33" s="211"/>
      <c r="G33" s="212"/>
      <c r="H33" s="211"/>
      <c r="I33" s="212"/>
      <c r="J33" s="211"/>
      <c r="K33" s="212"/>
      <c r="L33" s="211"/>
      <c r="M33" s="212"/>
      <c r="N33" s="246"/>
      <c r="O33" s="212"/>
      <c r="P33" s="211"/>
      <c r="Q33" s="212"/>
      <c r="R33" s="211"/>
      <c r="S33" s="212"/>
      <c r="T33" s="211"/>
      <c r="U33" s="212"/>
      <c r="V33" s="211"/>
      <c r="W33" s="247"/>
      <c r="X33" s="161"/>
      <c r="Y33" s="162"/>
      <c r="Z33" s="260"/>
      <c r="AA33" s="163"/>
      <c r="AB33" s="164"/>
      <c r="AC33" s="165"/>
      <c r="AD33" s="165"/>
    </row>
    <row r="34" spans="2:30" ht="14.1" customHeight="1" x14ac:dyDescent="0.25">
      <c r="B34" s="21"/>
      <c r="C34" s="22"/>
      <c r="D34" s="218"/>
      <c r="E34" s="219"/>
      <c r="F34" s="218"/>
      <c r="G34" s="219"/>
      <c r="H34" s="218"/>
      <c r="I34" s="219"/>
      <c r="J34" s="218"/>
      <c r="K34" s="219"/>
      <c r="L34" s="218"/>
      <c r="M34" s="219"/>
      <c r="N34" s="250"/>
      <c r="O34" s="219"/>
      <c r="P34" s="218"/>
      <c r="Q34" s="219"/>
      <c r="R34" s="218"/>
      <c r="S34" s="219"/>
      <c r="T34" s="218"/>
      <c r="U34" s="219"/>
      <c r="V34" s="218"/>
      <c r="W34" s="251"/>
      <c r="X34" s="166"/>
      <c r="Y34" s="167"/>
      <c r="Z34" s="261"/>
      <c r="AA34" s="168"/>
      <c r="AB34" s="169"/>
      <c r="AC34" s="160"/>
      <c r="AD34" s="160"/>
    </row>
    <row r="35" spans="2:30" ht="14.1" customHeight="1" x14ac:dyDescent="0.25">
      <c r="B35" s="21" t="s">
        <v>18</v>
      </c>
      <c r="C35" s="22">
        <v>45653</v>
      </c>
      <c r="D35" s="211"/>
      <c r="E35" s="212"/>
      <c r="F35" s="211"/>
      <c r="G35" s="212"/>
      <c r="H35" s="211"/>
      <c r="I35" s="212"/>
      <c r="J35" s="211"/>
      <c r="K35" s="212"/>
      <c r="L35" s="211"/>
      <c r="M35" s="212"/>
      <c r="N35" s="246"/>
      <c r="O35" s="212"/>
      <c r="P35" s="211"/>
      <c r="Q35" s="212"/>
      <c r="R35" s="211"/>
      <c r="S35" s="212"/>
      <c r="T35" s="211"/>
      <c r="U35" s="212"/>
      <c r="V35" s="211"/>
      <c r="W35" s="247"/>
      <c r="X35" s="161"/>
      <c r="Y35" s="162"/>
      <c r="Z35" s="260"/>
      <c r="AA35" s="163"/>
      <c r="AB35" s="164"/>
      <c r="AC35" s="165"/>
      <c r="AD35" s="165"/>
    </row>
    <row r="36" spans="2:30" ht="14.1" customHeight="1" x14ac:dyDescent="0.25">
      <c r="B36" s="21"/>
      <c r="C36" s="22"/>
      <c r="D36" s="218"/>
      <c r="E36" s="219"/>
      <c r="F36" s="218"/>
      <c r="G36" s="219"/>
      <c r="H36" s="218"/>
      <c r="I36" s="219"/>
      <c r="J36" s="218"/>
      <c r="K36" s="219"/>
      <c r="L36" s="218"/>
      <c r="M36" s="219"/>
      <c r="N36" s="250"/>
      <c r="O36" s="219"/>
      <c r="P36" s="218"/>
      <c r="Q36" s="219"/>
      <c r="R36" s="218"/>
      <c r="S36" s="219"/>
      <c r="T36" s="218"/>
      <c r="U36" s="219"/>
      <c r="V36" s="218"/>
      <c r="W36" s="251"/>
      <c r="X36" s="166"/>
      <c r="Y36" s="167"/>
      <c r="Z36" s="261"/>
      <c r="AA36" s="168"/>
      <c r="AB36" s="169"/>
      <c r="AC36" s="160"/>
      <c r="AD36" s="160"/>
    </row>
    <row r="37" spans="2:30" ht="14.1" customHeight="1" x14ac:dyDescent="0.25">
      <c r="B37" s="21" t="s">
        <v>19</v>
      </c>
      <c r="C37" s="22">
        <v>45654</v>
      </c>
      <c r="D37" s="120"/>
      <c r="E37" s="121"/>
      <c r="F37" s="120"/>
      <c r="G37" s="121"/>
      <c r="H37" s="120"/>
      <c r="I37" s="121"/>
      <c r="J37" s="120"/>
      <c r="K37" s="121"/>
      <c r="L37" s="120"/>
      <c r="M37" s="121"/>
      <c r="N37" s="122"/>
      <c r="O37" s="121"/>
      <c r="P37" s="120"/>
      <c r="Q37" s="121"/>
      <c r="R37" s="120"/>
      <c r="S37" s="121"/>
      <c r="T37" s="120"/>
      <c r="U37" s="121"/>
      <c r="V37" s="120"/>
      <c r="W37" s="123"/>
      <c r="X37" s="161"/>
      <c r="Y37" s="162"/>
      <c r="Z37" s="260"/>
      <c r="AA37" s="163"/>
      <c r="AB37" s="164"/>
      <c r="AC37" s="165"/>
      <c r="AD37" s="165"/>
    </row>
    <row r="38" spans="2:30" ht="14.1" customHeight="1" x14ac:dyDescent="0.25">
      <c r="B38" s="21"/>
      <c r="C38" s="22"/>
      <c r="D38" s="132"/>
      <c r="E38" s="133"/>
      <c r="F38" s="132"/>
      <c r="G38" s="133"/>
      <c r="H38" s="132"/>
      <c r="I38" s="133"/>
      <c r="J38" s="132"/>
      <c r="K38" s="133"/>
      <c r="L38" s="132"/>
      <c r="M38" s="133"/>
      <c r="N38" s="134"/>
      <c r="O38" s="133"/>
      <c r="P38" s="132"/>
      <c r="Q38" s="133"/>
      <c r="R38" s="132"/>
      <c r="S38" s="133"/>
      <c r="T38" s="132"/>
      <c r="U38" s="133"/>
      <c r="V38" s="132"/>
      <c r="W38" s="135"/>
      <c r="X38" s="170"/>
      <c r="Y38" s="171"/>
      <c r="Z38" s="262"/>
      <c r="AA38" s="172"/>
      <c r="AB38" s="173"/>
      <c r="AC38" s="160"/>
      <c r="AD38" s="160"/>
    </row>
    <row r="39" spans="2:30" ht="14.1" customHeight="1" x14ac:dyDescent="0.25">
      <c r="B39" s="21" t="s">
        <v>20</v>
      </c>
      <c r="C39" s="22">
        <v>45655</v>
      </c>
      <c r="D39" s="136"/>
      <c r="E39" s="137"/>
      <c r="F39" s="136"/>
      <c r="G39" s="137"/>
      <c r="H39" s="136"/>
      <c r="I39" s="137"/>
      <c r="J39" s="136"/>
      <c r="K39" s="137"/>
      <c r="L39" s="136"/>
      <c r="M39" s="137"/>
      <c r="N39" s="138"/>
      <c r="O39" s="137"/>
      <c r="P39" s="136"/>
      <c r="Q39" s="137"/>
      <c r="R39" s="136"/>
      <c r="S39" s="137"/>
      <c r="T39" s="136"/>
      <c r="U39" s="137"/>
      <c r="V39" s="136"/>
      <c r="W39" s="139"/>
      <c r="X39" s="174"/>
      <c r="Y39" s="175"/>
      <c r="Z39" s="263"/>
      <c r="AA39" s="176"/>
      <c r="AB39" s="177"/>
      <c r="AC39" s="165" t="str">
        <f>TRUNC(SUM(AA27:AA40)*24,0) &amp; ":" &amp; RIGHT("00"&amp;ROUND(((SUM(AA27:AA40)*24)-TRUNC(SUM(AA27:AA40)*24,0))*60,2),2)</f>
        <v>0:00</v>
      </c>
      <c r="AD39" s="165"/>
    </row>
    <row r="40" spans="2:30" ht="14.1" customHeight="1" x14ac:dyDescent="0.25">
      <c r="B40" s="25"/>
      <c r="C40" s="26"/>
      <c r="D40" s="140"/>
      <c r="E40" s="141"/>
      <c r="F40" s="140"/>
      <c r="G40" s="141"/>
      <c r="H40" s="140"/>
      <c r="I40" s="141"/>
      <c r="J40" s="140"/>
      <c r="K40" s="141"/>
      <c r="L40" s="140"/>
      <c r="M40" s="141"/>
      <c r="N40" s="142"/>
      <c r="O40" s="141"/>
      <c r="P40" s="140"/>
      <c r="Q40" s="141"/>
      <c r="R40" s="140"/>
      <c r="S40" s="141"/>
      <c r="T40" s="140"/>
      <c r="U40" s="141"/>
      <c r="V40" s="140"/>
      <c r="W40" s="143"/>
      <c r="X40" s="178"/>
      <c r="Y40" s="179"/>
      <c r="Z40" s="264"/>
      <c r="AA40" s="180"/>
      <c r="AB40" s="181"/>
      <c r="AC40" s="182"/>
      <c r="AD40" s="18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21" t="s">
        <v>14</v>
      </c>
      <c r="C41" s="22">
        <v>45656</v>
      </c>
      <c r="D41" s="213"/>
      <c r="E41" s="214"/>
      <c r="F41" s="213"/>
      <c r="G41" s="214"/>
      <c r="H41" s="213"/>
      <c r="I41" s="214"/>
      <c r="J41" s="213"/>
      <c r="K41" s="214"/>
      <c r="L41" s="213"/>
      <c r="M41" s="214"/>
      <c r="N41" s="215"/>
      <c r="O41" s="214"/>
      <c r="P41" s="213"/>
      <c r="Q41" s="214"/>
      <c r="R41" s="213"/>
      <c r="S41" s="214"/>
      <c r="T41" s="213"/>
      <c r="U41" s="214"/>
      <c r="V41" s="213"/>
      <c r="W41" s="248"/>
      <c r="X41" s="151"/>
      <c r="Y41" s="152"/>
      <c r="Z41" s="258"/>
      <c r="AA41" s="153"/>
      <c r="AB41" s="154"/>
      <c r="AC41" s="165"/>
      <c r="AD41" s="165"/>
    </row>
    <row r="42" spans="2:30" ht="14.1" customHeight="1" x14ac:dyDescent="0.25">
      <c r="B42" s="21"/>
      <c r="C42" s="22"/>
      <c r="D42" s="216"/>
      <c r="E42" s="217"/>
      <c r="F42" s="216"/>
      <c r="G42" s="217"/>
      <c r="H42" s="216"/>
      <c r="I42" s="217"/>
      <c r="J42" s="216"/>
      <c r="K42" s="217"/>
      <c r="L42" s="216"/>
      <c r="M42" s="217"/>
      <c r="N42" s="220"/>
      <c r="O42" s="217"/>
      <c r="P42" s="216"/>
      <c r="Q42" s="217"/>
      <c r="R42" s="216"/>
      <c r="S42" s="217"/>
      <c r="T42" s="216"/>
      <c r="U42" s="217"/>
      <c r="V42" s="216"/>
      <c r="W42" s="249"/>
      <c r="X42" s="156"/>
      <c r="Y42" s="157"/>
      <c r="Z42" s="259"/>
      <c r="AA42" s="158"/>
      <c r="AB42" s="159"/>
      <c r="AC42" s="160"/>
      <c r="AD42" s="160"/>
    </row>
    <row r="43" spans="2:30" ht="14.1" customHeight="1" x14ac:dyDescent="0.25">
      <c r="B43" s="21" t="s">
        <v>15</v>
      </c>
      <c r="C43" s="22">
        <v>45657</v>
      </c>
      <c r="D43" s="211"/>
      <c r="E43" s="212"/>
      <c r="F43" s="211"/>
      <c r="G43" s="212"/>
      <c r="H43" s="211"/>
      <c r="I43" s="212"/>
      <c r="J43" s="211"/>
      <c r="K43" s="212"/>
      <c r="L43" s="211"/>
      <c r="M43" s="212"/>
      <c r="N43" s="246"/>
      <c r="O43" s="212"/>
      <c r="P43" s="211"/>
      <c r="Q43" s="212"/>
      <c r="R43" s="211"/>
      <c r="S43" s="212"/>
      <c r="T43" s="211"/>
      <c r="U43" s="212"/>
      <c r="V43" s="211"/>
      <c r="W43" s="247"/>
      <c r="X43" s="161"/>
      <c r="Y43" s="162"/>
      <c r="Z43" s="260"/>
      <c r="AA43" s="163"/>
      <c r="AB43" s="164"/>
      <c r="AC43" s="165"/>
      <c r="AD43" s="165"/>
    </row>
    <row r="44" spans="2:30" ht="14.1" customHeight="1" x14ac:dyDescent="0.25">
      <c r="B44" s="21"/>
      <c r="C44" s="22"/>
      <c r="D44" s="218"/>
      <c r="E44" s="219"/>
      <c r="F44" s="218"/>
      <c r="G44" s="219"/>
      <c r="H44" s="218"/>
      <c r="I44" s="219"/>
      <c r="J44" s="218"/>
      <c r="K44" s="219"/>
      <c r="L44" s="218"/>
      <c r="M44" s="219"/>
      <c r="N44" s="250"/>
      <c r="O44" s="219"/>
      <c r="P44" s="218"/>
      <c r="Q44" s="219"/>
      <c r="R44" s="218"/>
      <c r="S44" s="219"/>
      <c r="T44" s="218"/>
      <c r="U44" s="219"/>
      <c r="V44" s="218"/>
      <c r="W44" s="251"/>
      <c r="X44" s="166"/>
      <c r="Y44" s="167"/>
      <c r="Z44" s="261"/>
      <c r="AA44" s="168"/>
      <c r="AB44" s="169"/>
      <c r="AC44" s="160"/>
      <c r="AD44" s="160"/>
    </row>
    <row r="45" spans="2:30" ht="14.1" customHeight="1" x14ac:dyDescent="0.25">
      <c r="B45" s="21" t="s">
        <v>16</v>
      </c>
      <c r="C45" s="22">
        <v>45658</v>
      </c>
      <c r="D45" s="211"/>
      <c r="E45" s="212"/>
      <c r="F45" s="211"/>
      <c r="G45" s="212"/>
      <c r="H45" s="211"/>
      <c r="I45" s="212"/>
      <c r="J45" s="211"/>
      <c r="K45" s="212"/>
      <c r="L45" s="211"/>
      <c r="M45" s="212"/>
      <c r="N45" s="246"/>
      <c r="O45" s="212"/>
      <c r="P45" s="211"/>
      <c r="Q45" s="212"/>
      <c r="R45" s="211"/>
      <c r="S45" s="212"/>
      <c r="T45" s="211"/>
      <c r="U45" s="212"/>
      <c r="V45" s="211"/>
      <c r="W45" s="247"/>
      <c r="X45" s="161"/>
      <c r="Y45" s="162"/>
      <c r="Z45" s="260"/>
      <c r="AA45" s="163"/>
      <c r="AB45" s="164"/>
      <c r="AC45" s="165"/>
      <c r="AD45" s="165"/>
    </row>
    <row r="46" spans="2:30" ht="14.1" customHeight="1" x14ac:dyDescent="0.25">
      <c r="B46" s="21"/>
      <c r="C46" s="22"/>
      <c r="D46" s="218"/>
      <c r="E46" s="219"/>
      <c r="F46" s="218"/>
      <c r="G46" s="219"/>
      <c r="H46" s="218"/>
      <c r="I46" s="219"/>
      <c r="J46" s="218"/>
      <c r="K46" s="219"/>
      <c r="L46" s="218"/>
      <c r="M46" s="219"/>
      <c r="N46" s="250"/>
      <c r="O46" s="219"/>
      <c r="P46" s="218"/>
      <c r="Q46" s="219"/>
      <c r="R46" s="218"/>
      <c r="S46" s="219"/>
      <c r="T46" s="218"/>
      <c r="U46" s="219"/>
      <c r="V46" s="218"/>
      <c r="W46" s="251"/>
      <c r="X46" s="166"/>
      <c r="Y46" s="167"/>
      <c r="Z46" s="261"/>
      <c r="AA46" s="168"/>
      <c r="AB46" s="169"/>
      <c r="AC46" s="160"/>
      <c r="AD46" s="160"/>
    </row>
    <row r="47" spans="2:30" ht="14.1" customHeight="1" x14ac:dyDescent="0.25">
      <c r="B47" s="21" t="s">
        <v>17</v>
      </c>
      <c r="C47" s="22">
        <v>45659</v>
      </c>
      <c r="D47" s="211"/>
      <c r="E47" s="212"/>
      <c r="F47" s="211"/>
      <c r="G47" s="212"/>
      <c r="H47" s="211"/>
      <c r="I47" s="212"/>
      <c r="J47" s="211"/>
      <c r="K47" s="212"/>
      <c r="L47" s="211"/>
      <c r="M47" s="212"/>
      <c r="N47" s="246"/>
      <c r="O47" s="212"/>
      <c r="P47" s="211"/>
      <c r="Q47" s="212"/>
      <c r="R47" s="211"/>
      <c r="S47" s="212"/>
      <c r="T47" s="211"/>
      <c r="U47" s="212"/>
      <c r="V47" s="211"/>
      <c r="W47" s="247"/>
      <c r="X47" s="161"/>
      <c r="Y47" s="162"/>
      <c r="Z47" s="260"/>
      <c r="AA47" s="163"/>
      <c r="AB47" s="164"/>
      <c r="AC47" s="165"/>
      <c r="AD47" s="165"/>
    </row>
    <row r="48" spans="2:30" ht="14.1" customHeight="1" x14ac:dyDescent="0.25">
      <c r="B48" s="21"/>
      <c r="C48" s="22"/>
      <c r="D48" s="218"/>
      <c r="E48" s="219"/>
      <c r="F48" s="218"/>
      <c r="G48" s="219"/>
      <c r="H48" s="218"/>
      <c r="I48" s="219"/>
      <c r="J48" s="218"/>
      <c r="K48" s="219"/>
      <c r="L48" s="218"/>
      <c r="M48" s="219"/>
      <c r="N48" s="250"/>
      <c r="O48" s="219"/>
      <c r="P48" s="218"/>
      <c r="Q48" s="219"/>
      <c r="R48" s="218"/>
      <c r="S48" s="219"/>
      <c r="T48" s="218"/>
      <c r="U48" s="219"/>
      <c r="V48" s="218"/>
      <c r="W48" s="251"/>
      <c r="X48" s="166"/>
      <c r="Y48" s="167"/>
      <c r="Z48" s="261"/>
      <c r="AA48" s="168"/>
      <c r="AB48" s="169"/>
      <c r="AC48" s="160"/>
      <c r="AD48" s="160"/>
    </row>
    <row r="49" spans="2:30" ht="14.1" customHeight="1" x14ac:dyDescent="0.25">
      <c r="B49" s="21" t="s">
        <v>18</v>
      </c>
      <c r="C49" s="22">
        <v>45660</v>
      </c>
      <c r="D49" s="211"/>
      <c r="E49" s="212"/>
      <c r="F49" s="211"/>
      <c r="G49" s="212"/>
      <c r="H49" s="211"/>
      <c r="I49" s="212"/>
      <c r="J49" s="211"/>
      <c r="K49" s="212"/>
      <c r="L49" s="211"/>
      <c r="M49" s="212"/>
      <c r="N49" s="246"/>
      <c r="O49" s="212"/>
      <c r="P49" s="211"/>
      <c r="Q49" s="212"/>
      <c r="R49" s="211"/>
      <c r="S49" s="212"/>
      <c r="T49" s="211"/>
      <c r="U49" s="212"/>
      <c r="V49" s="211"/>
      <c r="W49" s="247"/>
      <c r="X49" s="161"/>
      <c r="Y49" s="162"/>
      <c r="Z49" s="260"/>
      <c r="AA49" s="163"/>
      <c r="AB49" s="164"/>
      <c r="AC49" s="165"/>
      <c r="AD49" s="165"/>
    </row>
    <row r="50" spans="2:30" ht="14.1" customHeight="1" x14ac:dyDescent="0.25">
      <c r="B50" s="21"/>
      <c r="C50" s="22"/>
      <c r="D50" s="218"/>
      <c r="E50" s="219"/>
      <c r="F50" s="218"/>
      <c r="G50" s="219"/>
      <c r="H50" s="218"/>
      <c r="I50" s="219"/>
      <c r="J50" s="218"/>
      <c r="K50" s="219"/>
      <c r="L50" s="218"/>
      <c r="M50" s="219"/>
      <c r="N50" s="250"/>
      <c r="O50" s="219"/>
      <c r="P50" s="218"/>
      <c r="Q50" s="219"/>
      <c r="R50" s="218"/>
      <c r="S50" s="219"/>
      <c r="T50" s="218"/>
      <c r="U50" s="219"/>
      <c r="V50" s="218"/>
      <c r="W50" s="251"/>
      <c r="X50" s="166"/>
      <c r="Y50" s="167"/>
      <c r="Z50" s="261"/>
      <c r="AA50" s="168"/>
      <c r="AB50" s="169"/>
      <c r="AC50" s="160"/>
      <c r="AD50" s="160"/>
    </row>
    <row r="51" spans="2:30" ht="14.1" customHeight="1" x14ac:dyDescent="0.25">
      <c r="B51" s="21" t="s">
        <v>19</v>
      </c>
      <c r="C51" s="22">
        <v>45661</v>
      </c>
      <c r="D51" s="211"/>
      <c r="E51" s="212"/>
      <c r="F51" s="211"/>
      <c r="G51" s="212"/>
      <c r="H51" s="120"/>
      <c r="I51" s="121"/>
      <c r="J51" s="120"/>
      <c r="K51" s="121"/>
      <c r="L51" s="120"/>
      <c r="M51" s="121"/>
      <c r="N51" s="122"/>
      <c r="O51" s="121"/>
      <c r="P51" s="120"/>
      <c r="Q51" s="121"/>
      <c r="R51" s="120"/>
      <c r="S51" s="121"/>
      <c r="T51" s="120"/>
      <c r="U51" s="121"/>
      <c r="V51" s="120"/>
      <c r="W51" s="123"/>
      <c r="X51" s="161"/>
      <c r="Y51" s="162"/>
      <c r="Z51" s="260"/>
      <c r="AA51" s="163"/>
      <c r="AB51" s="164"/>
      <c r="AC51" s="165"/>
      <c r="AD51" s="165"/>
    </row>
    <row r="52" spans="2:30" ht="14.1" customHeight="1" x14ac:dyDescent="0.25">
      <c r="B52" s="21"/>
      <c r="C52" s="22"/>
      <c r="D52" s="132"/>
      <c r="E52" s="133"/>
      <c r="F52" s="132"/>
      <c r="G52" s="133"/>
      <c r="H52" s="132"/>
      <c r="I52" s="133"/>
      <c r="J52" s="132"/>
      <c r="K52" s="133"/>
      <c r="L52" s="132"/>
      <c r="M52" s="133"/>
      <c r="N52" s="134"/>
      <c r="O52" s="133"/>
      <c r="P52" s="132"/>
      <c r="Q52" s="133"/>
      <c r="R52" s="132"/>
      <c r="S52" s="133"/>
      <c r="T52" s="132"/>
      <c r="U52" s="133"/>
      <c r="V52" s="132"/>
      <c r="W52" s="135"/>
      <c r="X52" s="170"/>
      <c r="Y52" s="171"/>
      <c r="Z52" s="262"/>
      <c r="AA52" s="172"/>
      <c r="AB52" s="173"/>
      <c r="AC52" s="160"/>
      <c r="AD52" s="160"/>
    </row>
    <row r="53" spans="2:30" ht="14.1" customHeight="1" x14ac:dyDescent="0.25">
      <c r="B53" s="21" t="s">
        <v>20</v>
      </c>
      <c r="C53" s="22">
        <v>45662</v>
      </c>
      <c r="D53" s="136"/>
      <c r="E53" s="137"/>
      <c r="F53" s="136"/>
      <c r="G53" s="137"/>
      <c r="H53" s="136"/>
      <c r="I53" s="137"/>
      <c r="J53" s="136"/>
      <c r="K53" s="137"/>
      <c r="L53" s="136"/>
      <c r="M53" s="137"/>
      <c r="N53" s="138"/>
      <c r="O53" s="137"/>
      <c r="P53" s="136"/>
      <c r="Q53" s="137"/>
      <c r="R53" s="136"/>
      <c r="S53" s="137"/>
      <c r="T53" s="136"/>
      <c r="U53" s="137"/>
      <c r="V53" s="136"/>
      <c r="W53" s="139"/>
      <c r="X53" s="174"/>
      <c r="Y53" s="175"/>
      <c r="Z53" s="263"/>
      <c r="AA53" s="176"/>
      <c r="AB53" s="177"/>
      <c r="AC53" s="165" t="str">
        <f>TRUNC(SUM(AA41:AA54)*24,0) &amp; ":" &amp; RIGHT("00"&amp;ROUND(((SUM(AA41:AA54)*24)-TRUNC(SUM(AA41:AA54)*24,0))*60,2),2)</f>
        <v>0:00</v>
      </c>
      <c r="AD53" s="165"/>
    </row>
    <row r="54" spans="2:30" ht="14.1" customHeight="1" x14ac:dyDescent="0.25">
      <c r="B54" s="25"/>
      <c r="C54" s="26"/>
      <c r="D54" s="140"/>
      <c r="E54" s="141"/>
      <c r="F54" s="140"/>
      <c r="G54" s="141"/>
      <c r="H54" s="140"/>
      <c r="I54" s="141"/>
      <c r="J54" s="140"/>
      <c r="K54" s="141"/>
      <c r="L54" s="140"/>
      <c r="M54" s="141"/>
      <c r="N54" s="142"/>
      <c r="O54" s="141"/>
      <c r="P54" s="140"/>
      <c r="Q54" s="141"/>
      <c r="R54" s="140"/>
      <c r="S54" s="141"/>
      <c r="T54" s="140"/>
      <c r="U54" s="141"/>
      <c r="V54" s="140"/>
      <c r="W54" s="143"/>
      <c r="X54" s="178"/>
      <c r="Y54" s="179"/>
      <c r="Z54" s="264"/>
      <c r="AA54" s="180"/>
      <c r="AB54" s="181"/>
      <c r="AC54" s="182"/>
      <c r="AD54" s="18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21" t="s">
        <v>14</v>
      </c>
      <c r="C55" s="22">
        <v>45663</v>
      </c>
      <c r="D55" s="213"/>
      <c r="E55" s="214"/>
      <c r="F55" s="213"/>
      <c r="G55" s="214"/>
      <c r="H55" s="213"/>
      <c r="I55" s="214"/>
      <c r="J55" s="213"/>
      <c r="K55" s="214"/>
      <c r="L55" s="213"/>
      <c r="M55" s="214"/>
      <c r="N55" s="215"/>
      <c r="O55" s="214"/>
      <c r="P55" s="213"/>
      <c r="Q55" s="214"/>
      <c r="R55" s="213"/>
      <c r="S55" s="214"/>
      <c r="T55" s="213"/>
      <c r="U55" s="214"/>
      <c r="V55" s="213"/>
      <c r="W55" s="248"/>
      <c r="X55" s="151"/>
      <c r="Y55" s="152"/>
      <c r="Z55" s="258"/>
      <c r="AA55" s="153"/>
      <c r="AB55" s="154"/>
      <c r="AC55" s="165"/>
      <c r="AD55" s="165"/>
    </row>
    <row r="56" spans="2:30" ht="14.1" customHeight="1" x14ac:dyDescent="0.25">
      <c r="B56" s="21"/>
      <c r="C56" s="22"/>
      <c r="D56" s="216"/>
      <c r="E56" s="217"/>
      <c r="F56" s="216"/>
      <c r="G56" s="217"/>
      <c r="H56" s="216"/>
      <c r="I56" s="217"/>
      <c r="J56" s="216"/>
      <c r="K56" s="217"/>
      <c r="L56" s="216"/>
      <c r="M56" s="217"/>
      <c r="N56" s="220"/>
      <c r="O56" s="217"/>
      <c r="P56" s="216"/>
      <c r="Q56" s="217"/>
      <c r="R56" s="216"/>
      <c r="S56" s="217"/>
      <c r="T56" s="216"/>
      <c r="U56" s="217"/>
      <c r="V56" s="216"/>
      <c r="W56" s="249"/>
      <c r="X56" s="156"/>
      <c r="Y56" s="157"/>
      <c r="Z56" s="259"/>
      <c r="AA56" s="158"/>
      <c r="AB56" s="159"/>
      <c r="AC56" s="160"/>
      <c r="AD56" s="160"/>
    </row>
    <row r="57" spans="2:30" ht="14.1" customHeight="1" x14ac:dyDescent="0.25">
      <c r="B57" s="21" t="s">
        <v>15</v>
      </c>
      <c r="C57" s="22">
        <v>45664</v>
      </c>
      <c r="D57" s="211"/>
      <c r="E57" s="212"/>
      <c r="F57" s="211"/>
      <c r="G57" s="212"/>
      <c r="H57" s="211"/>
      <c r="I57" s="212"/>
      <c r="J57" s="211"/>
      <c r="K57" s="212"/>
      <c r="L57" s="211"/>
      <c r="M57" s="212"/>
      <c r="N57" s="246"/>
      <c r="O57" s="212"/>
      <c r="P57" s="211"/>
      <c r="Q57" s="212"/>
      <c r="R57" s="211"/>
      <c r="S57" s="212"/>
      <c r="T57" s="211"/>
      <c r="U57" s="212"/>
      <c r="V57" s="211"/>
      <c r="W57" s="247"/>
      <c r="X57" s="161"/>
      <c r="Y57" s="162"/>
      <c r="Z57" s="260"/>
      <c r="AA57" s="163"/>
      <c r="AB57" s="164"/>
      <c r="AC57" s="165"/>
      <c r="AD57" s="165"/>
    </row>
    <row r="58" spans="2:30" ht="14.1" customHeight="1" x14ac:dyDescent="0.25">
      <c r="B58" s="21"/>
      <c r="C58" s="22"/>
      <c r="D58" s="218"/>
      <c r="E58" s="219"/>
      <c r="F58" s="218"/>
      <c r="G58" s="219"/>
      <c r="H58" s="218"/>
      <c r="I58" s="219"/>
      <c r="J58" s="218"/>
      <c r="K58" s="219"/>
      <c r="L58" s="218"/>
      <c r="M58" s="219"/>
      <c r="N58" s="250"/>
      <c r="O58" s="219"/>
      <c r="P58" s="218"/>
      <c r="Q58" s="219"/>
      <c r="R58" s="218"/>
      <c r="S58" s="219"/>
      <c r="T58" s="218"/>
      <c r="U58" s="219"/>
      <c r="V58" s="218"/>
      <c r="W58" s="251"/>
      <c r="X58" s="166"/>
      <c r="Y58" s="167"/>
      <c r="Z58" s="261"/>
      <c r="AA58" s="168"/>
      <c r="AB58" s="169"/>
      <c r="AC58" s="160"/>
      <c r="AD58" s="160"/>
    </row>
    <row r="59" spans="2:30" ht="14.1" customHeight="1" x14ac:dyDescent="0.25">
      <c r="B59" s="21" t="s">
        <v>16</v>
      </c>
      <c r="C59" s="22">
        <v>45665</v>
      </c>
      <c r="D59" s="211"/>
      <c r="E59" s="212"/>
      <c r="F59" s="211"/>
      <c r="G59" s="212"/>
      <c r="H59" s="211"/>
      <c r="I59" s="212"/>
      <c r="J59" s="211"/>
      <c r="K59" s="212"/>
      <c r="L59" s="211"/>
      <c r="M59" s="212"/>
      <c r="N59" s="246"/>
      <c r="O59" s="212"/>
      <c r="P59" s="211"/>
      <c r="Q59" s="212"/>
      <c r="R59" s="211"/>
      <c r="S59" s="212"/>
      <c r="T59" s="211"/>
      <c r="U59" s="212"/>
      <c r="V59" s="211"/>
      <c r="W59" s="247"/>
      <c r="X59" s="161"/>
      <c r="Y59" s="162"/>
      <c r="Z59" s="260"/>
      <c r="AA59" s="163"/>
      <c r="AB59" s="164"/>
      <c r="AC59" s="165"/>
      <c r="AD59" s="165"/>
    </row>
    <row r="60" spans="2:30" ht="14.1" customHeight="1" x14ac:dyDescent="0.25">
      <c r="B60" s="21"/>
      <c r="C60" s="22"/>
      <c r="D60" s="218"/>
      <c r="E60" s="219"/>
      <c r="F60" s="218"/>
      <c r="G60" s="219"/>
      <c r="H60" s="218"/>
      <c r="I60" s="219"/>
      <c r="J60" s="218"/>
      <c r="K60" s="219"/>
      <c r="L60" s="218"/>
      <c r="M60" s="219"/>
      <c r="N60" s="250"/>
      <c r="O60" s="219"/>
      <c r="P60" s="218"/>
      <c r="Q60" s="219"/>
      <c r="R60" s="218"/>
      <c r="S60" s="219"/>
      <c r="T60" s="218"/>
      <c r="U60" s="219"/>
      <c r="V60" s="218"/>
      <c r="W60" s="251"/>
      <c r="X60" s="166"/>
      <c r="Y60" s="167"/>
      <c r="Z60" s="261"/>
      <c r="AA60" s="168"/>
      <c r="AB60" s="169"/>
      <c r="AC60" s="160"/>
      <c r="AD60" s="160"/>
    </row>
    <row r="61" spans="2:30" ht="14.1" customHeight="1" x14ac:dyDescent="0.25">
      <c r="B61" s="21" t="s">
        <v>17</v>
      </c>
      <c r="C61" s="22">
        <v>45666</v>
      </c>
      <c r="D61" s="211"/>
      <c r="E61" s="212"/>
      <c r="F61" s="211"/>
      <c r="G61" s="212"/>
      <c r="H61" s="211"/>
      <c r="I61" s="212"/>
      <c r="J61" s="211"/>
      <c r="K61" s="212"/>
      <c r="L61" s="211"/>
      <c r="M61" s="212"/>
      <c r="N61" s="246"/>
      <c r="O61" s="212"/>
      <c r="P61" s="211"/>
      <c r="Q61" s="212"/>
      <c r="R61" s="211"/>
      <c r="S61" s="212"/>
      <c r="T61" s="211"/>
      <c r="U61" s="212"/>
      <c r="V61" s="211"/>
      <c r="W61" s="247"/>
      <c r="X61" s="161"/>
      <c r="Y61" s="162"/>
      <c r="Z61" s="260"/>
      <c r="AA61" s="163"/>
      <c r="AB61" s="164"/>
      <c r="AC61" s="165"/>
      <c r="AD61" s="165"/>
    </row>
    <row r="62" spans="2:30" ht="14.1" customHeight="1" x14ac:dyDescent="0.25">
      <c r="B62" s="21"/>
      <c r="C62" s="22"/>
      <c r="D62" s="218"/>
      <c r="E62" s="219"/>
      <c r="F62" s="218"/>
      <c r="G62" s="219"/>
      <c r="H62" s="218"/>
      <c r="I62" s="219"/>
      <c r="J62" s="218"/>
      <c r="K62" s="219"/>
      <c r="L62" s="218"/>
      <c r="M62" s="219"/>
      <c r="N62" s="250"/>
      <c r="O62" s="219"/>
      <c r="P62" s="218"/>
      <c r="Q62" s="219"/>
      <c r="R62" s="218"/>
      <c r="S62" s="219"/>
      <c r="T62" s="218"/>
      <c r="U62" s="219"/>
      <c r="V62" s="218"/>
      <c r="W62" s="251"/>
      <c r="X62" s="166"/>
      <c r="Y62" s="167"/>
      <c r="Z62" s="261"/>
      <c r="AA62" s="168"/>
      <c r="AB62" s="169"/>
      <c r="AC62" s="160"/>
      <c r="AD62" s="160"/>
    </row>
    <row r="63" spans="2:30" ht="14.1" customHeight="1" x14ac:dyDescent="0.25">
      <c r="B63" s="21" t="s">
        <v>18</v>
      </c>
      <c r="C63" s="22">
        <v>45667</v>
      </c>
      <c r="D63" s="211"/>
      <c r="E63" s="212"/>
      <c r="F63" s="211"/>
      <c r="G63" s="212"/>
      <c r="H63" s="211"/>
      <c r="I63" s="212"/>
      <c r="J63" s="235"/>
      <c r="K63" s="222"/>
      <c r="L63" s="211"/>
      <c r="M63" s="212"/>
      <c r="N63" s="246"/>
      <c r="O63" s="212"/>
      <c r="P63" s="211"/>
      <c r="Q63" s="212"/>
      <c r="R63" s="211"/>
      <c r="S63" s="212"/>
      <c r="T63" s="211"/>
      <c r="U63" s="212"/>
      <c r="V63" s="211"/>
      <c r="W63" s="247"/>
      <c r="X63" s="161"/>
      <c r="Y63" s="162"/>
      <c r="Z63" s="260"/>
      <c r="AA63" s="163"/>
      <c r="AB63" s="164"/>
      <c r="AC63" s="165"/>
      <c r="AD63" s="165"/>
    </row>
    <row r="64" spans="2:30" ht="14.1" customHeight="1" x14ac:dyDescent="0.25">
      <c r="B64" s="21"/>
      <c r="C64" s="221"/>
      <c r="D64" s="218"/>
      <c r="E64" s="219"/>
      <c r="F64" s="218"/>
      <c r="G64" s="219"/>
      <c r="H64" s="218"/>
      <c r="I64" s="219"/>
      <c r="J64" s="236"/>
      <c r="K64" s="223"/>
      <c r="L64" s="218"/>
      <c r="M64" s="219"/>
      <c r="N64" s="250"/>
      <c r="O64" s="219"/>
      <c r="P64" s="218"/>
      <c r="Q64" s="219"/>
      <c r="R64" s="218"/>
      <c r="S64" s="219"/>
      <c r="T64" s="218"/>
      <c r="U64" s="219"/>
      <c r="V64" s="218"/>
      <c r="W64" s="251"/>
      <c r="X64" s="166"/>
      <c r="Y64" s="167"/>
      <c r="Z64" s="261"/>
      <c r="AA64" s="168"/>
      <c r="AB64" s="169"/>
      <c r="AC64" s="160"/>
      <c r="AD64" s="160"/>
    </row>
    <row r="65" spans="2:30" ht="14.1" customHeight="1" x14ac:dyDescent="0.25">
      <c r="B65" s="21" t="s">
        <v>19</v>
      </c>
      <c r="C65" s="22">
        <v>45668</v>
      </c>
      <c r="D65" s="120"/>
      <c r="E65" s="121"/>
      <c r="F65" s="120"/>
      <c r="G65" s="121"/>
      <c r="H65" s="120"/>
      <c r="I65" s="121"/>
      <c r="J65" s="120"/>
      <c r="K65" s="121"/>
      <c r="L65" s="120"/>
      <c r="M65" s="121"/>
      <c r="N65" s="122"/>
      <c r="O65" s="121"/>
      <c r="P65" s="120"/>
      <c r="Q65" s="121"/>
      <c r="R65" s="120"/>
      <c r="S65" s="121"/>
      <c r="T65" s="120"/>
      <c r="U65" s="121"/>
      <c r="V65" s="120"/>
      <c r="W65" s="123"/>
      <c r="X65" s="161"/>
      <c r="Y65" s="162"/>
      <c r="Z65" s="260"/>
      <c r="AA65" s="163"/>
      <c r="AB65" s="164"/>
      <c r="AC65" s="165"/>
      <c r="AD65" s="165"/>
    </row>
    <row r="66" spans="2:30" ht="14.1" customHeight="1" x14ac:dyDescent="0.25">
      <c r="B66" s="21"/>
      <c r="C66" s="22"/>
      <c r="D66" s="132"/>
      <c r="E66" s="133"/>
      <c r="F66" s="132"/>
      <c r="G66" s="133"/>
      <c r="H66" s="132"/>
      <c r="I66" s="133"/>
      <c r="J66" s="132"/>
      <c r="K66" s="133"/>
      <c r="L66" s="132"/>
      <c r="M66" s="133"/>
      <c r="N66" s="134"/>
      <c r="O66" s="133"/>
      <c r="P66" s="132"/>
      <c r="Q66" s="133"/>
      <c r="R66" s="132"/>
      <c r="S66" s="133"/>
      <c r="T66" s="132"/>
      <c r="U66" s="133"/>
      <c r="V66" s="132"/>
      <c r="W66" s="135"/>
      <c r="X66" s="170"/>
      <c r="Y66" s="171"/>
      <c r="Z66" s="262"/>
      <c r="AA66" s="172"/>
      <c r="AB66" s="173"/>
      <c r="AC66" s="160"/>
      <c r="AD66" s="160"/>
    </row>
    <row r="67" spans="2:30" ht="14.1" customHeight="1" x14ac:dyDescent="0.25">
      <c r="B67" s="21" t="s">
        <v>20</v>
      </c>
      <c r="C67" s="22">
        <v>45669</v>
      </c>
      <c r="D67" s="136"/>
      <c r="E67" s="137"/>
      <c r="F67" s="136"/>
      <c r="G67" s="137"/>
      <c r="H67" s="136"/>
      <c r="I67" s="137"/>
      <c r="J67" s="136"/>
      <c r="K67" s="137"/>
      <c r="L67" s="136"/>
      <c r="M67" s="137"/>
      <c r="N67" s="138"/>
      <c r="O67" s="137"/>
      <c r="P67" s="136"/>
      <c r="Q67" s="137"/>
      <c r="R67" s="136"/>
      <c r="S67" s="137"/>
      <c r="T67" s="136"/>
      <c r="U67" s="137"/>
      <c r="V67" s="136"/>
      <c r="W67" s="139"/>
      <c r="X67" s="174"/>
      <c r="Y67" s="175"/>
      <c r="Z67" s="263"/>
      <c r="AA67" s="176"/>
      <c r="AB67" s="177"/>
      <c r="AC67" s="165" t="str">
        <f>TRUNC(SUM(AA55:AA68)*24,0) &amp; ":" &amp; RIGHT("00"&amp;ROUND(((SUM(AA55:AA68)*24)-TRUNC(SUM(AA55:AA68)*24,0))*60,2),2)</f>
        <v>0:00</v>
      </c>
      <c r="AD67" s="165"/>
    </row>
    <row r="68" spans="2:30" ht="14.1" customHeight="1" x14ac:dyDescent="0.25">
      <c r="B68" s="25"/>
      <c r="C68" s="26"/>
      <c r="D68" s="140"/>
      <c r="E68" s="141"/>
      <c r="F68" s="140"/>
      <c r="G68" s="141"/>
      <c r="H68" s="140"/>
      <c r="I68" s="141"/>
      <c r="J68" s="140"/>
      <c r="K68" s="141"/>
      <c r="L68" s="140"/>
      <c r="M68" s="141"/>
      <c r="N68" s="142"/>
      <c r="O68" s="141"/>
      <c r="P68" s="140"/>
      <c r="Q68" s="141"/>
      <c r="R68" s="140"/>
      <c r="S68" s="141"/>
      <c r="T68" s="140"/>
      <c r="U68" s="141"/>
      <c r="V68" s="140"/>
      <c r="W68" s="143"/>
      <c r="X68" s="178"/>
      <c r="Y68" s="179"/>
      <c r="Z68" s="264"/>
      <c r="AA68" s="180"/>
      <c r="AB68" s="181"/>
      <c r="AC68" s="182"/>
      <c r="AD68" s="18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21" t="s">
        <v>14</v>
      </c>
      <c r="C69" s="22">
        <v>45670</v>
      </c>
      <c r="D69" s="213"/>
      <c r="E69" s="214"/>
      <c r="F69" s="213"/>
      <c r="G69" s="214"/>
      <c r="H69" s="213"/>
      <c r="I69" s="214"/>
      <c r="J69" s="213"/>
      <c r="K69" s="214"/>
      <c r="L69" s="213"/>
      <c r="M69" s="214"/>
      <c r="N69" s="215"/>
      <c r="O69" s="214"/>
      <c r="P69" s="213"/>
      <c r="Q69" s="214"/>
      <c r="R69" s="213"/>
      <c r="S69" s="214"/>
      <c r="T69" s="213"/>
      <c r="U69" s="214"/>
      <c r="V69" s="213"/>
      <c r="W69" s="248"/>
      <c r="X69" s="151"/>
      <c r="Y69" s="152"/>
      <c r="Z69" s="258"/>
      <c r="AA69" s="153"/>
      <c r="AB69" s="154"/>
      <c r="AC69" s="165"/>
      <c r="AD69" s="165"/>
    </row>
    <row r="70" spans="2:30" ht="14.1" customHeight="1" x14ac:dyDescent="0.25">
      <c r="B70" s="21"/>
      <c r="C70" s="22"/>
      <c r="D70" s="216"/>
      <c r="E70" s="217"/>
      <c r="F70" s="216"/>
      <c r="G70" s="217"/>
      <c r="H70" s="216"/>
      <c r="I70" s="217"/>
      <c r="J70" s="216"/>
      <c r="K70" s="217"/>
      <c r="L70" s="216"/>
      <c r="M70" s="217"/>
      <c r="N70" s="220"/>
      <c r="O70" s="217"/>
      <c r="P70" s="216"/>
      <c r="Q70" s="217"/>
      <c r="R70" s="216"/>
      <c r="S70" s="217"/>
      <c r="T70" s="216"/>
      <c r="U70" s="217"/>
      <c r="V70" s="216"/>
      <c r="W70" s="249"/>
      <c r="X70" s="156"/>
      <c r="Y70" s="157"/>
      <c r="Z70" s="259"/>
      <c r="AA70" s="158"/>
      <c r="AB70" s="159"/>
      <c r="AC70" s="160"/>
      <c r="AD70" s="160"/>
    </row>
    <row r="71" spans="2:30" ht="14.1" customHeight="1" x14ac:dyDescent="0.25">
      <c r="B71" s="21" t="s">
        <v>15</v>
      </c>
      <c r="C71" s="22">
        <v>45671</v>
      </c>
      <c r="D71" s="211"/>
      <c r="E71" s="212"/>
      <c r="F71" s="211"/>
      <c r="G71" s="212"/>
      <c r="H71" s="211"/>
      <c r="I71" s="212"/>
      <c r="J71" s="211"/>
      <c r="K71" s="212"/>
      <c r="L71" s="211"/>
      <c r="M71" s="212"/>
      <c r="N71" s="246"/>
      <c r="O71" s="212"/>
      <c r="P71" s="211"/>
      <c r="Q71" s="212"/>
      <c r="R71" s="211"/>
      <c r="S71" s="212"/>
      <c r="T71" s="211"/>
      <c r="U71" s="212"/>
      <c r="V71" s="211"/>
      <c r="W71" s="247"/>
      <c r="X71" s="161"/>
      <c r="Y71" s="162"/>
      <c r="Z71" s="260"/>
      <c r="AA71" s="163"/>
      <c r="AB71" s="164"/>
      <c r="AC71" s="165"/>
      <c r="AD71" s="165"/>
    </row>
    <row r="72" spans="2:30" ht="14.1" customHeight="1" x14ac:dyDescent="0.25">
      <c r="B72" s="21"/>
      <c r="C72" s="22"/>
      <c r="D72" s="218"/>
      <c r="E72" s="219"/>
      <c r="F72" s="218"/>
      <c r="G72" s="219"/>
      <c r="H72" s="218"/>
      <c r="I72" s="219"/>
      <c r="J72" s="218"/>
      <c r="K72" s="219"/>
      <c r="L72" s="218"/>
      <c r="M72" s="219"/>
      <c r="N72" s="250"/>
      <c r="O72" s="219"/>
      <c r="P72" s="218"/>
      <c r="Q72" s="219"/>
      <c r="R72" s="218"/>
      <c r="S72" s="219"/>
      <c r="T72" s="218"/>
      <c r="U72" s="219"/>
      <c r="V72" s="218"/>
      <c r="W72" s="251"/>
      <c r="X72" s="166"/>
      <c r="Y72" s="167"/>
      <c r="Z72" s="261"/>
      <c r="AA72" s="168"/>
      <c r="AB72" s="169"/>
      <c r="AC72" s="160"/>
      <c r="AD72" s="160"/>
    </row>
    <row r="73" spans="2:30" ht="14.1" customHeight="1" x14ac:dyDescent="0.25">
      <c r="B73" s="21" t="s">
        <v>16</v>
      </c>
      <c r="C73" s="22">
        <v>45672</v>
      </c>
      <c r="D73" s="211"/>
      <c r="E73" s="212"/>
      <c r="F73" s="211"/>
      <c r="G73" s="212"/>
      <c r="H73" s="211"/>
      <c r="I73" s="212"/>
      <c r="J73" s="211"/>
      <c r="K73" s="212"/>
      <c r="L73" s="211"/>
      <c r="M73" s="212"/>
      <c r="N73" s="246"/>
      <c r="O73" s="212"/>
      <c r="P73" s="211"/>
      <c r="Q73" s="212"/>
      <c r="R73" s="211"/>
      <c r="S73" s="212"/>
      <c r="T73" s="211"/>
      <c r="U73" s="212"/>
      <c r="V73" s="211"/>
      <c r="W73" s="247"/>
      <c r="X73" s="161"/>
      <c r="Y73" s="162"/>
      <c r="Z73" s="260"/>
      <c r="AA73" s="163"/>
      <c r="AB73" s="164"/>
      <c r="AC73" s="165"/>
      <c r="AD73" s="165"/>
    </row>
    <row r="74" spans="2:30" ht="14.1" customHeight="1" x14ac:dyDescent="0.25">
      <c r="B74" s="21"/>
      <c r="C74" s="22"/>
      <c r="D74" s="218"/>
      <c r="E74" s="219"/>
      <c r="F74" s="218"/>
      <c r="G74" s="219"/>
      <c r="H74" s="218"/>
      <c r="I74" s="219"/>
      <c r="J74" s="218"/>
      <c r="K74" s="219"/>
      <c r="L74" s="218"/>
      <c r="M74" s="219"/>
      <c r="N74" s="250"/>
      <c r="O74" s="219"/>
      <c r="P74" s="218"/>
      <c r="Q74" s="219"/>
      <c r="R74" s="218"/>
      <c r="S74" s="219"/>
      <c r="T74" s="218"/>
      <c r="U74" s="219"/>
      <c r="V74" s="218"/>
      <c r="W74" s="251"/>
      <c r="X74" s="166"/>
      <c r="Y74" s="167"/>
      <c r="Z74" s="261"/>
      <c r="AA74" s="168"/>
      <c r="AB74" s="169"/>
      <c r="AC74" s="160"/>
      <c r="AD74" s="160"/>
    </row>
    <row r="75" spans="2:30" ht="14.1" customHeight="1" x14ac:dyDescent="0.25">
      <c r="B75" s="21" t="s">
        <v>17</v>
      </c>
      <c r="C75" s="22">
        <v>45673</v>
      </c>
      <c r="D75" s="211"/>
      <c r="E75" s="212"/>
      <c r="F75" s="211"/>
      <c r="G75" s="212"/>
      <c r="H75" s="211"/>
      <c r="I75" s="212"/>
      <c r="J75" s="211"/>
      <c r="K75" s="212"/>
      <c r="L75" s="211"/>
      <c r="M75" s="212"/>
      <c r="N75" s="246"/>
      <c r="O75" s="212"/>
      <c r="P75" s="211"/>
      <c r="Q75" s="212"/>
      <c r="R75" s="211"/>
      <c r="S75" s="212"/>
      <c r="T75" s="211"/>
      <c r="U75" s="212"/>
      <c r="V75" s="211"/>
      <c r="W75" s="247"/>
      <c r="X75" s="161"/>
      <c r="Y75" s="162"/>
      <c r="Z75" s="260"/>
      <c r="AA75" s="163"/>
      <c r="AB75" s="164"/>
      <c r="AC75" s="165"/>
      <c r="AD75" s="165"/>
    </row>
    <row r="76" spans="2:30" ht="14.1" customHeight="1" x14ac:dyDescent="0.25">
      <c r="B76" s="21"/>
      <c r="C76" s="22"/>
      <c r="D76" s="218"/>
      <c r="E76" s="219"/>
      <c r="F76" s="218"/>
      <c r="G76" s="219"/>
      <c r="H76" s="218"/>
      <c r="I76" s="219"/>
      <c r="J76" s="218"/>
      <c r="K76" s="219"/>
      <c r="L76" s="218"/>
      <c r="M76" s="219"/>
      <c r="N76" s="250"/>
      <c r="O76" s="219"/>
      <c r="P76" s="218"/>
      <c r="Q76" s="219"/>
      <c r="R76" s="218"/>
      <c r="S76" s="219"/>
      <c r="T76" s="218"/>
      <c r="U76" s="219"/>
      <c r="V76" s="218"/>
      <c r="W76" s="251"/>
      <c r="X76" s="166"/>
      <c r="Y76" s="167"/>
      <c r="Z76" s="261"/>
      <c r="AA76" s="168"/>
      <c r="AB76" s="169"/>
      <c r="AC76" s="160"/>
      <c r="AD76" s="160"/>
    </row>
    <row r="77" spans="2:30" ht="14.1" customHeight="1" x14ac:dyDescent="0.25">
      <c r="B77" s="21" t="s">
        <v>18</v>
      </c>
      <c r="C77" s="22">
        <v>45674</v>
      </c>
      <c r="D77" s="211"/>
      <c r="E77" s="212"/>
      <c r="F77" s="211"/>
      <c r="G77" s="212"/>
      <c r="H77" s="211"/>
      <c r="I77" s="212"/>
      <c r="J77" s="211"/>
      <c r="K77" s="212"/>
      <c r="L77" s="211"/>
      <c r="M77" s="212"/>
      <c r="N77" s="246"/>
      <c r="O77" s="212"/>
      <c r="P77" s="211"/>
      <c r="Q77" s="212"/>
      <c r="R77" s="211"/>
      <c r="S77" s="212"/>
      <c r="T77" s="211"/>
      <c r="U77" s="212"/>
      <c r="V77" s="211"/>
      <c r="W77" s="247"/>
      <c r="X77" s="161"/>
      <c r="Y77" s="162"/>
      <c r="Z77" s="260"/>
      <c r="AA77" s="163"/>
      <c r="AB77" s="164"/>
      <c r="AC77" s="165"/>
      <c r="AD77" s="165"/>
    </row>
    <row r="78" spans="2:30" ht="14.1" customHeight="1" x14ac:dyDescent="0.25">
      <c r="B78" s="21"/>
      <c r="C78" s="22"/>
      <c r="D78" s="218"/>
      <c r="E78" s="219"/>
      <c r="F78" s="218"/>
      <c r="G78" s="219"/>
      <c r="H78" s="218"/>
      <c r="I78" s="219"/>
      <c r="J78" s="218"/>
      <c r="K78" s="219"/>
      <c r="L78" s="218"/>
      <c r="M78" s="219"/>
      <c r="N78" s="250"/>
      <c r="O78" s="219"/>
      <c r="P78" s="218"/>
      <c r="Q78" s="219"/>
      <c r="R78" s="218"/>
      <c r="S78" s="219"/>
      <c r="T78" s="218"/>
      <c r="U78" s="219"/>
      <c r="V78" s="218"/>
      <c r="W78" s="251"/>
      <c r="X78" s="166"/>
      <c r="Y78" s="167"/>
      <c r="Z78" s="261"/>
      <c r="AA78" s="168"/>
      <c r="AB78" s="169"/>
      <c r="AC78" s="160"/>
      <c r="AD78" s="160"/>
    </row>
    <row r="79" spans="2:30" ht="14.1" customHeight="1" x14ac:dyDescent="0.25">
      <c r="B79" s="21" t="s">
        <v>19</v>
      </c>
      <c r="C79" s="22">
        <v>45675</v>
      </c>
      <c r="D79" s="120"/>
      <c r="E79" s="121"/>
      <c r="F79" s="120"/>
      <c r="G79" s="121"/>
      <c r="H79" s="120"/>
      <c r="I79" s="121"/>
      <c r="J79" s="120"/>
      <c r="K79" s="121"/>
      <c r="L79" s="120"/>
      <c r="M79" s="121"/>
      <c r="N79" s="122"/>
      <c r="O79" s="121"/>
      <c r="P79" s="120"/>
      <c r="Q79" s="121"/>
      <c r="R79" s="120"/>
      <c r="S79" s="121"/>
      <c r="T79" s="120"/>
      <c r="U79" s="121"/>
      <c r="V79" s="120"/>
      <c r="W79" s="123"/>
      <c r="X79" s="161"/>
      <c r="Y79" s="162"/>
      <c r="Z79" s="260"/>
      <c r="AA79" s="163"/>
      <c r="AB79" s="164"/>
      <c r="AC79" s="165"/>
      <c r="AD79" s="165"/>
    </row>
    <row r="80" spans="2:30" ht="14.1" customHeight="1" x14ac:dyDescent="0.25">
      <c r="B80" s="21"/>
      <c r="C80" s="22"/>
      <c r="D80" s="128"/>
      <c r="E80" s="129"/>
      <c r="F80" s="128"/>
      <c r="G80" s="129"/>
      <c r="H80" s="128"/>
      <c r="I80" s="129"/>
      <c r="J80" s="128"/>
      <c r="K80" s="129"/>
      <c r="L80" s="128"/>
      <c r="M80" s="129"/>
      <c r="N80" s="130"/>
      <c r="O80" s="129"/>
      <c r="P80" s="128"/>
      <c r="Q80" s="129"/>
      <c r="R80" s="128"/>
      <c r="S80" s="129"/>
      <c r="T80" s="128"/>
      <c r="U80" s="129"/>
      <c r="V80" s="128"/>
      <c r="W80" s="131"/>
      <c r="X80" s="166"/>
      <c r="Y80" s="167"/>
      <c r="Z80" s="261"/>
      <c r="AA80" s="168"/>
      <c r="AB80" s="169"/>
      <c r="AC80" s="160"/>
      <c r="AD80" s="160"/>
    </row>
    <row r="81" spans="2:30" ht="14.1" customHeight="1" x14ac:dyDescent="0.25">
      <c r="B81" s="21" t="s">
        <v>20</v>
      </c>
      <c r="C81" s="22">
        <v>45676</v>
      </c>
      <c r="D81" s="120"/>
      <c r="E81" s="121"/>
      <c r="F81" s="120"/>
      <c r="G81" s="121"/>
      <c r="H81" s="120"/>
      <c r="I81" s="121"/>
      <c r="J81" s="120"/>
      <c r="K81" s="121"/>
      <c r="L81" s="120"/>
      <c r="M81" s="121"/>
      <c r="N81" s="122"/>
      <c r="O81" s="121"/>
      <c r="P81" s="120"/>
      <c r="Q81" s="121"/>
      <c r="R81" s="120"/>
      <c r="S81" s="121"/>
      <c r="T81" s="120"/>
      <c r="U81" s="121"/>
      <c r="V81" s="120"/>
      <c r="W81" s="123"/>
      <c r="X81" s="161"/>
      <c r="Y81" s="162"/>
      <c r="Z81" s="260"/>
      <c r="AA81" s="163"/>
      <c r="AB81" s="164"/>
      <c r="AC81" s="165" t="str">
        <f>TRUNC(SUM(AA69:AA82)*24,0) &amp; ":" &amp; RIGHT("00"&amp;ROUND(((SUM(AA69:AA82)*24)-TRUNC(SUM(AA69:AA82)*24,0))*60,2),2)</f>
        <v>0:00</v>
      </c>
      <c r="AD81" s="165"/>
    </row>
    <row r="82" spans="2:30" ht="14.1" customHeight="1" x14ac:dyDescent="0.25">
      <c r="B82" s="25"/>
      <c r="C82" s="26"/>
      <c r="D82" s="140"/>
      <c r="E82" s="141"/>
      <c r="F82" s="140"/>
      <c r="G82" s="141"/>
      <c r="H82" s="140"/>
      <c r="I82" s="141"/>
      <c r="J82" s="140"/>
      <c r="K82" s="141"/>
      <c r="L82" s="140"/>
      <c r="M82" s="141"/>
      <c r="N82" s="142"/>
      <c r="O82" s="141"/>
      <c r="P82" s="140"/>
      <c r="Q82" s="141"/>
      <c r="R82" s="140"/>
      <c r="S82" s="141"/>
      <c r="T82" s="140"/>
      <c r="U82" s="141"/>
      <c r="V82" s="140"/>
      <c r="W82" s="143"/>
      <c r="X82" s="178"/>
      <c r="Y82" s="179"/>
      <c r="Z82" s="264"/>
      <c r="AA82" s="180"/>
      <c r="AB82" s="181"/>
      <c r="AC82" s="182"/>
      <c r="AD82" s="18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21" t="s">
        <v>14</v>
      </c>
      <c r="C83" s="22">
        <v>45677</v>
      </c>
      <c r="D83" s="213"/>
      <c r="E83" s="214"/>
      <c r="F83" s="213"/>
      <c r="G83" s="214"/>
      <c r="H83" s="116"/>
      <c r="I83" s="117"/>
      <c r="J83" s="116"/>
      <c r="K83" s="117"/>
      <c r="L83" s="116"/>
      <c r="M83" s="117"/>
      <c r="N83" s="118"/>
      <c r="O83" s="117"/>
      <c r="P83" s="116"/>
      <c r="Q83" s="117"/>
      <c r="R83" s="116"/>
      <c r="S83" s="117"/>
      <c r="T83" s="116"/>
      <c r="U83" s="117"/>
      <c r="V83" s="116"/>
      <c r="W83" s="119"/>
      <c r="X83" s="151"/>
      <c r="Y83" s="152"/>
      <c r="Z83" s="258"/>
      <c r="AA83" s="153"/>
      <c r="AB83" s="154"/>
      <c r="AC83" s="165"/>
      <c r="AD83" s="165"/>
    </row>
    <row r="84" spans="2:30" ht="14.1" customHeight="1" x14ac:dyDescent="0.25">
      <c r="B84" s="21"/>
      <c r="C84" s="22"/>
      <c r="D84" s="124"/>
      <c r="E84" s="125"/>
      <c r="F84" s="124"/>
      <c r="G84" s="125"/>
      <c r="H84" s="124"/>
      <c r="I84" s="125"/>
      <c r="J84" s="124"/>
      <c r="K84" s="125"/>
      <c r="L84" s="124"/>
      <c r="M84" s="125"/>
      <c r="N84" s="126"/>
      <c r="O84" s="125"/>
      <c r="P84" s="124"/>
      <c r="Q84" s="125"/>
      <c r="R84" s="124"/>
      <c r="S84" s="125"/>
      <c r="T84" s="124"/>
      <c r="U84" s="125"/>
      <c r="V84" s="124"/>
      <c r="W84" s="127"/>
      <c r="X84" s="156"/>
      <c r="Y84" s="157"/>
      <c r="Z84" s="259"/>
      <c r="AA84" s="158"/>
      <c r="AB84" s="159"/>
      <c r="AC84" s="160"/>
      <c r="AD84" s="160"/>
    </row>
    <row r="85" spans="2:30" ht="14.1" customHeight="1" x14ac:dyDescent="0.25">
      <c r="B85" s="21" t="s">
        <v>15</v>
      </c>
      <c r="C85" s="22">
        <v>45678</v>
      </c>
      <c r="D85" s="213"/>
      <c r="E85" s="214"/>
      <c r="F85" s="213"/>
      <c r="G85" s="214"/>
      <c r="H85" s="213"/>
      <c r="I85" s="214"/>
      <c r="J85" s="213"/>
      <c r="K85" s="214"/>
      <c r="L85" s="116"/>
      <c r="M85" s="117"/>
      <c r="N85" s="118"/>
      <c r="O85" s="117"/>
      <c r="P85" s="116"/>
      <c r="Q85" s="117"/>
      <c r="R85" s="116"/>
      <c r="S85" s="117"/>
      <c r="T85" s="116"/>
      <c r="U85" s="117"/>
      <c r="V85" s="116"/>
      <c r="W85" s="119"/>
      <c r="X85" s="151"/>
      <c r="Y85" s="152"/>
      <c r="Z85" s="258"/>
      <c r="AA85" s="153"/>
      <c r="AB85" s="154"/>
      <c r="AC85" s="165"/>
      <c r="AD85" s="165"/>
    </row>
    <row r="86" spans="2:30" ht="14.1" customHeight="1" x14ac:dyDescent="0.25">
      <c r="B86" s="21"/>
      <c r="C86" s="22"/>
      <c r="D86" s="124"/>
      <c r="E86" s="125"/>
      <c r="F86" s="124"/>
      <c r="G86" s="125"/>
      <c r="H86" s="124"/>
      <c r="I86" s="125"/>
      <c r="J86" s="124"/>
      <c r="K86" s="125"/>
      <c r="L86" s="124"/>
      <c r="M86" s="125"/>
      <c r="N86" s="126"/>
      <c r="O86" s="125"/>
      <c r="P86" s="124"/>
      <c r="Q86" s="125"/>
      <c r="R86" s="124"/>
      <c r="S86" s="125"/>
      <c r="T86" s="124"/>
      <c r="U86" s="125"/>
      <c r="V86" s="124"/>
      <c r="W86" s="127"/>
      <c r="X86" s="156"/>
      <c r="Y86" s="157"/>
      <c r="Z86" s="259"/>
      <c r="AA86" s="158"/>
      <c r="AB86" s="159"/>
      <c r="AC86" s="160"/>
      <c r="AD86" s="160"/>
    </row>
    <row r="87" spans="2:30" ht="14.1" customHeight="1" x14ac:dyDescent="0.25">
      <c r="B87" s="21" t="s">
        <v>16</v>
      </c>
      <c r="C87" s="22">
        <v>45679</v>
      </c>
      <c r="D87" s="213"/>
      <c r="E87" s="214"/>
      <c r="F87" s="213"/>
      <c r="G87" s="214"/>
      <c r="H87" s="213"/>
      <c r="I87" s="214"/>
      <c r="J87" s="116"/>
      <c r="K87" s="117"/>
      <c r="L87" s="116"/>
      <c r="M87" s="117"/>
      <c r="N87" s="118"/>
      <c r="O87" s="117"/>
      <c r="P87" s="116"/>
      <c r="Q87" s="117"/>
      <c r="R87" s="116"/>
      <c r="S87" s="117"/>
      <c r="T87" s="116"/>
      <c r="U87" s="117"/>
      <c r="V87" s="116"/>
      <c r="W87" s="119"/>
      <c r="X87" s="151"/>
      <c r="Y87" s="152"/>
      <c r="Z87" s="258"/>
      <c r="AA87" s="153"/>
      <c r="AB87" s="154"/>
      <c r="AC87" s="165"/>
      <c r="AD87" s="165"/>
    </row>
    <row r="88" spans="2:30" ht="14.1" customHeight="1" x14ac:dyDescent="0.25">
      <c r="B88" s="21"/>
      <c r="C88" s="22"/>
      <c r="D88" s="124"/>
      <c r="E88" s="125"/>
      <c r="F88" s="124"/>
      <c r="G88" s="125"/>
      <c r="H88" s="124"/>
      <c r="I88" s="125"/>
      <c r="J88" s="124"/>
      <c r="K88" s="125"/>
      <c r="L88" s="124"/>
      <c r="M88" s="125"/>
      <c r="N88" s="126"/>
      <c r="O88" s="125"/>
      <c r="P88" s="124"/>
      <c r="Q88" s="125"/>
      <c r="R88" s="124"/>
      <c r="S88" s="125"/>
      <c r="T88" s="124"/>
      <c r="U88" s="125"/>
      <c r="V88" s="124"/>
      <c r="W88" s="127"/>
      <c r="X88" s="156"/>
      <c r="Y88" s="157"/>
      <c r="Z88" s="259"/>
      <c r="AA88" s="158"/>
      <c r="AB88" s="159"/>
      <c r="AC88" s="160"/>
      <c r="AD88" s="160"/>
    </row>
    <row r="89" spans="2:30" ht="14.1" customHeight="1" x14ac:dyDescent="0.25">
      <c r="B89" s="21" t="s">
        <v>17</v>
      </c>
      <c r="C89" s="22">
        <v>45680</v>
      </c>
      <c r="D89" s="116"/>
      <c r="E89" s="117"/>
      <c r="F89" s="116"/>
      <c r="G89" s="117"/>
      <c r="H89" s="116"/>
      <c r="I89" s="117"/>
      <c r="J89" s="116"/>
      <c r="K89" s="117"/>
      <c r="L89" s="116"/>
      <c r="M89" s="117"/>
      <c r="N89" s="118"/>
      <c r="O89" s="117"/>
      <c r="P89" s="116"/>
      <c r="Q89" s="117"/>
      <c r="R89" s="116"/>
      <c r="S89" s="117"/>
      <c r="T89" s="116"/>
      <c r="U89" s="117"/>
      <c r="V89" s="116"/>
      <c r="W89" s="119"/>
      <c r="X89" s="151"/>
      <c r="Y89" s="152"/>
      <c r="Z89" s="258"/>
      <c r="AA89" s="153"/>
      <c r="AB89" s="154"/>
      <c r="AC89" s="165"/>
      <c r="AD89" s="165"/>
    </row>
    <row r="90" spans="2:30" ht="14.1" customHeight="1" x14ac:dyDescent="0.25">
      <c r="B90" s="21"/>
      <c r="C90" s="22"/>
      <c r="D90" s="124"/>
      <c r="E90" s="125"/>
      <c r="F90" s="124"/>
      <c r="G90" s="125"/>
      <c r="H90" s="124"/>
      <c r="I90" s="125"/>
      <c r="J90" s="124"/>
      <c r="K90" s="125"/>
      <c r="L90" s="124"/>
      <c r="M90" s="125"/>
      <c r="N90" s="126"/>
      <c r="O90" s="125"/>
      <c r="P90" s="124"/>
      <c r="Q90" s="125"/>
      <c r="R90" s="124"/>
      <c r="S90" s="125"/>
      <c r="T90" s="124"/>
      <c r="U90" s="125"/>
      <c r="V90" s="124"/>
      <c r="W90" s="127"/>
      <c r="X90" s="156"/>
      <c r="Y90" s="157"/>
      <c r="Z90" s="259"/>
      <c r="AA90" s="158"/>
      <c r="AB90" s="159"/>
      <c r="AC90" s="160"/>
      <c r="AD90" s="160"/>
    </row>
    <row r="91" spans="2:30" ht="14.1" customHeight="1" x14ac:dyDescent="0.25">
      <c r="B91" s="21" t="s">
        <v>18</v>
      </c>
      <c r="C91" s="22">
        <v>45681</v>
      </c>
      <c r="D91" s="211"/>
      <c r="E91" s="212"/>
      <c r="F91" s="211"/>
      <c r="G91" s="212"/>
      <c r="H91" s="120"/>
      <c r="I91" s="121"/>
      <c r="J91" s="120"/>
      <c r="K91" s="121"/>
      <c r="L91" s="120"/>
      <c r="M91" s="121"/>
      <c r="N91" s="122"/>
      <c r="O91" s="121"/>
      <c r="P91" s="120"/>
      <c r="Q91" s="121"/>
      <c r="R91" s="120"/>
      <c r="S91" s="121"/>
      <c r="T91" s="120"/>
      <c r="U91" s="121"/>
      <c r="V91" s="120"/>
      <c r="W91" s="123"/>
      <c r="X91" s="161"/>
      <c r="Y91" s="162"/>
      <c r="Z91" s="260"/>
      <c r="AA91" s="163"/>
      <c r="AB91" s="164"/>
      <c r="AC91" s="165"/>
      <c r="AD91" s="165"/>
    </row>
    <row r="92" spans="2:30" ht="14.1" customHeight="1" x14ac:dyDescent="0.25">
      <c r="B92" s="21"/>
      <c r="C92" s="22"/>
      <c r="D92" s="132"/>
      <c r="E92" s="133"/>
      <c r="F92" s="132"/>
      <c r="G92" s="133"/>
      <c r="H92" s="132"/>
      <c r="I92" s="133"/>
      <c r="J92" s="132"/>
      <c r="K92" s="133"/>
      <c r="L92" s="132"/>
      <c r="M92" s="133"/>
      <c r="N92" s="134"/>
      <c r="O92" s="133"/>
      <c r="P92" s="132"/>
      <c r="Q92" s="133"/>
      <c r="R92" s="132"/>
      <c r="S92" s="133"/>
      <c r="T92" s="132"/>
      <c r="U92" s="133"/>
      <c r="V92" s="132"/>
      <c r="W92" s="135"/>
      <c r="X92" s="170"/>
      <c r="Y92" s="171"/>
      <c r="Z92" s="262"/>
      <c r="AA92" s="172"/>
      <c r="AB92" s="173"/>
      <c r="AC92" s="160"/>
      <c r="AD92" s="160"/>
    </row>
    <row r="93" spans="2:30" ht="14.1" customHeight="1" x14ac:dyDescent="0.25">
      <c r="B93" s="21" t="s">
        <v>19</v>
      </c>
      <c r="C93" s="22">
        <v>45682</v>
      </c>
      <c r="D93" s="136"/>
      <c r="E93" s="137"/>
      <c r="F93" s="136"/>
      <c r="G93" s="137"/>
      <c r="H93" s="136"/>
      <c r="I93" s="137"/>
      <c r="J93" s="136"/>
      <c r="K93" s="137"/>
      <c r="L93" s="136"/>
      <c r="M93" s="137"/>
      <c r="N93" s="138"/>
      <c r="O93" s="137"/>
      <c r="P93" s="136"/>
      <c r="Q93" s="137"/>
      <c r="R93" s="136"/>
      <c r="S93" s="137"/>
      <c r="T93" s="136"/>
      <c r="U93" s="137"/>
      <c r="V93" s="136"/>
      <c r="W93" s="139"/>
      <c r="X93" s="174"/>
      <c r="Y93" s="175"/>
      <c r="Z93" s="263"/>
      <c r="AA93" s="176"/>
      <c r="AB93" s="177"/>
      <c r="AC93" s="165"/>
      <c r="AD93" s="165"/>
    </row>
    <row r="94" spans="2:30" ht="14.1" customHeight="1" x14ac:dyDescent="0.25">
      <c r="B94" s="21"/>
      <c r="C94" s="22"/>
      <c r="D94" s="132"/>
      <c r="E94" s="133"/>
      <c r="F94" s="132"/>
      <c r="G94" s="133"/>
      <c r="H94" s="132"/>
      <c r="I94" s="133"/>
      <c r="J94" s="132"/>
      <c r="K94" s="133"/>
      <c r="L94" s="132"/>
      <c r="M94" s="133"/>
      <c r="N94" s="134"/>
      <c r="O94" s="133"/>
      <c r="P94" s="132"/>
      <c r="Q94" s="133"/>
      <c r="R94" s="132"/>
      <c r="S94" s="133"/>
      <c r="T94" s="132"/>
      <c r="U94" s="133"/>
      <c r="V94" s="132"/>
      <c r="W94" s="135"/>
      <c r="X94" s="170"/>
      <c r="Y94" s="171"/>
      <c r="Z94" s="262"/>
      <c r="AA94" s="172"/>
      <c r="AB94" s="173"/>
      <c r="AC94" s="160"/>
      <c r="AD94" s="160"/>
    </row>
    <row r="95" spans="2:30" ht="14.1" customHeight="1" x14ac:dyDescent="0.25">
      <c r="B95" s="21" t="s">
        <v>20</v>
      </c>
      <c r="C95" s="22">
        <v>45683</v>
      </c>
      <c r="D95" s="136"/>
      <c r="E95" s="137"/>
      <c r="F95" s="136"/>
      <c r="G95" s="137"/>
      <c r="H95" s="136"/>
      <c r="I95" s="137"/>
      <c r="J95" s="136"/>
      <c r="K95" s="137"/>
      <c r="L95" s="136"/>
      <c r="M95" s="137"/>
      <c r="N95" s="138"/>
      <c r="O95" s="137"/>
      <c r="P95" s="136"/>
      <c r="Q95" s="137"/>
      <c r="R95" s="136"/>
      <c r="S95" s="137"/>
      <c r="T95" s="136"/>
      <c r="U95" s="137"/>
      <c r="V95" s="136"/>
      <c r="W95" s="139"/>
      <c r="X95" s="174"/>
      <c r="Y95" s="175"/>
      <c r="Z95" s="263"/>
      <c r="AA95" s="176"/>
      <c r="AB95" s="177"/>
      <c r="AC95" s="165" t="str">
        <f>TRUNC(SUM(AA83:AA96)*24,0) &amp; ":" &amp; RIGHT("00"&amp;ROUND(((SUM(AA83:AA96)*24)-TRUNC(SUM(AA83:AA96)*24,0))*60,2),2)</f>
        <v>0:00</v>
      </c>
      <c r="AD95" s="165"/>
    </row>
    <row r="96" spans="2:30" ht="14.1" customHeight="1" thickBot="1" x14ac:dyDescent="0.3">
      <c r="B96" s="33"/>
      <c r="C96" s="34"/>
      <c r="D96" s="144"/>
      <c r="E96" s="145"/>
      <c r="F96" s="144"/>
      <c r="G96" s="145"/>
      <c r="H96" s="144"/>
      <c r="I96" s="145"/>
      <c r="J96" s="144"/>
      <c r="K96" s="145"/>
      <c r="L96" s="144"/>
      <c r="M96" s="145"/>
      <c r="N96" s="146"/>
      <c r="O96" s="145"/>
      <c r="P96" s="144"/>
      <c r="Q96" s="145"/>
      <c r="R96" s="144"/>
      <c r="S96" s="145"/>
      <c r="T96" s="144"/>
      <c r="U96" s="145"/>
      <c r="V96" s="144"/>
      <c r="W96" s="147"/>
      <c r="X96" s="266"/>
      <c r="Y96" s="267"/>
      <c r="Z96" s="265"/>
      <c r="AA96" s="183"/>
      <c r="AB96" s="184"/>
      <c r="AC96" s="185"/>
      <c r="AD96" s="18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29"/>
      <c r="Y97" s="30"/>
      <c r="Z97" s="268"/>
      <c r="AA97" s="149" t="str">
        <f>TRUNC(SUM(AA27:AA96)*24,0) &amp; ":" &amp; RIGHT("00"&amp;ROUND(((SUM(AA27:AA96)*24)-TRUNC(SUM(AA27:AA96)*24,0))*60,2),2)</f>
        <v>0:00</v>
      </c>
      <c r="AB97" s="150" t="str">
        <f>TRUNC(SUM(AB27:AB96)*24,0) &amp; ":" &amp; RIGHT("00"&amp;ROUND(((SUM(AB27:AB96)*24)-TRUNC(SUM(AB27:AB96)*24,0))*60,2),2)</f>
        <v>0:00</v>
      </c>
      <c r="AC97" s="148"/>
      <c r="AD97" s="32"/>
    </row>
  </sheetData>
  <mergeCells count="21">
    <mergeCell ref="X25:Y25"/>
    <mergeCell ref="R23:V23"/>
    <mergeCell ref="AG3:AM3"/>
    <mergeCell ref="AG5:AM5"/>
    <mergeCell ref="AA1:AB1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3"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H20" sqref="H20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94</v>
      </c>
      <c r="P1" t="s">
        <v>97</v>
      </c>
      <c r="Q1" t="s">
        <v>100</v>
      </c>
      <c r="Z1" t="s">
        <v>102</v>
      </c>
      <c r="AA1" t="s">
        <v>108</v>
      </c>
      <c r="AB1" t="s">
        <v>80</v>
      </c>
    </row>
    <row r="2" spans="3:28" x14ac:dyDescent="0.25">
      <c r="D2" t="s">
        <v>75</v>
      </c>
      <c r="E2" s="319" t="s">
        <v>115</v>
      </c>
      <c r="F2" s="319"/>
      <c r="G2" s="319"/>
      <c r="P2" t="s">
        <v>96</v>
      </c>
      <c r="Q2" t="s">
        <v>95</v>
      </c>
      <c r="AA2" t="s">
        <v>81</v>
      </c>
      <c r="AB2" t="s">
        <v>81</v>
      </c>
    </row>
    <row r="3" spans="3:28" x14ac:dyDescent="0.25">
      <c r="P3" t="s">
        <v>99</v>
      </c>
      <c r="Q3" t="s">
        <v>98</v>
      </c>
      <c r="AA3" t="s">
        <v>30</v>
      </c>
      <c r="AB3" t="s">
        <v>30</v>
      </c>
    </row>
    <row r="4" spans="3:28" x14ac:dyDescent="0.25">
      <c r="D4" t="s">
        <v>76</v>
      </c>
      <c r="E4" s="320"/>
      <c r="F4" s="320"/>
      <c r="G4" s="320"/>
      <c r="AA4" t="s">
        <v>85</v>
      </c>
      <c r="AB4" t="s">
        <v>85</v>
      </c>
    </row>
    <row r="7" spans="3:28" ht="15.75" thickBot="1" x14ac:dyDescent="0.3"/>
    <row r="8" spans="3:28" ht="15.75" thickBot="1" x14ac:dyDescent="0.3">
      <c r="O8" s="274" t="s">
        <v>73</v>
      </c>
      <c r="P8" s="275" t="s">
        <v>2</v>
      </c>
      <c r="Q8" s="276" t="s">
        <v>3</v>
      </c>
      <c r="R8" s="277" t="s">
        <v>74</v>
      </c>
    </row>
    <row r="9" spans="3:28" ht="16.5" thickTop="1" thickBot="1" x14ac:dyDescent="0.3">
      <c r="E9" s="270" t="s">
        <v>73</v>
      </c>
      <c r="F9" s="271" t="s">
        <v>2</v>
      </c>
      <c r="G9" s="272" t="s">
        <v>3</v>
      </c>
      <c r="H9" s="273" t="s">
        <v>74</v>
      </c>
      <c r="O9" s="298"/>
      <c r="P9" s="299"/>
      <c r="Q9" s="300"/>
      <c r="R9" s="301"/>
    </row>
    <row r="10" spans="3:28" ht="15.75" thickBot="1" x14ac:dyDescent="0.3">
      <c r="C10" s="293"/>
      <c r="D10" s="292"/>
      <c r="E10" s="294"/>
      <c r="F10" s="295"/>
      <c r="G10" s="296"/>
      <c r="H10" s="297"/>
      <c r="O10" s="280"/>
      <c r="P10" s="282"/>
      <c r="Q10" s="283"/>
      <c r="R10" s="284"/>
    </row>
    <row r="11" spans="3:28" x14ac:dyDescent="0.25">
      <c r="O11" s="280"/>
      <c r="P11" s="282"/>
      <c r="Q11" s="283"/>
      <c r="R11" s="284"/>
    </row>
    <row r="12" spans="3:28" x14ac:dyDescent="0.25">
      <c r="O12" s="280"/>
      <c r="P12" s="282"/>
      <c r="Q12" s="283"/>
      <c r="R12" s="284"/>
    </row>
    <row r="13" spans="3:28" x14ac:dyDescent="0.25">
      <c r="O13" s="280"/>
      <c r="P13" s="282"/>
      <c r="Q13" s="283"/>
      <c r="R13" s="284"/>
    </row>
    <row r="14" spans="3:28" x14ac:dyDescent="0.25">
      <c r="O14" s="280"/>
      <c r="P14" s="282"/>
      <c r="Q14" s="283"/>
      <c r="R14" s="284"/>
    </row>
    <row r="15" spans="3:28" x14ac:dyDescent="0.25">
      <c r="O15" s="280"/>
      <c r="P15" s="282"/>
      <c r="Q15" s="283"/>
      <c r="R15" s="284"/>
    </row>
    <row r="16" spans="3:28" ht="15.75" thickBot="1" x14ac:dyDescent="0.3">
      <c r="O16" s="280"/>
      <c r="P16" s="282"/>
      <c r="Q16" s="283"/>
      <c r="R16" s="284"/>
    </row>
    <row r="17" spans="4:18" ht="15.75" thickBot="1" x14ac:dyDescent="0.3">
      <c r="D17" s="321" t="s">
        <v>82</v>
      </c>
      <c r="E17" s="322"/>
      <c r="F17" s="322"/>
      <c r="G17" s="323"/>
      <c r="O17" s="280"/>
      <c r="P17" s="282"/>
      <c r="Q17" s="283"/>
      <c r="R17" s="284"/>
    </row>
    <row r="18" spans="4:18" x14ac:dyDescent="0.25">
      <c r="D18" s="204"/>
      <c r="G18" s="205"/>
      <c r="O18" s="280"/>
      <c r="P18" s="282"/>
      <c r="Q18" s="283"/>
      <c r="R18" s="284"/>
    </row>
    <row r="19" spans="4:18" x14ac:dyDescent="0.25">
      <c r="D19" s="204" t="s">
        <v>83</v>
      </c>
      <c r="E19" s="43"/>
      <c r="G19" s="205"/>
      <c r="O19" s="280"/>
      <c r="P19" s="282"/>
      <c r="Q19" s="283"/>
      <c r="R19" s="284"/>
    </row>
    <row r="20" spans="4:18" ht="15.75" thickBot="1" x14ac:dyDescent="0.3">
      <c r="D20" s="278" t="s">
        <v>84</v>
      </c>
      <c r="E20" s="279"/>
      <c r="F20" s="206"/>
      <c r="G20" s="207"/>
      <c r="O20" s="280"/>
      <c r="P20" s="282"/>
      <c r="Q20" s="283"/>
      <c r="R20" s="284"/>
    </row>
    <row r="21" spans="4:18" x14ac:dyDescent="0.25">
      <c r="O21" s="280"/>
      <c r="P21" s="282"/>
      <c r="Q21" s="283"/>
      <c r="R21" s="284"/>
    </row>
    <row r="22" spans="4:18" x14ac:dyDescent="0.25">
      <c r="O22" s="280"/>
      <c r="P22" s="282"/>
      <c r="Q22" s="283"/>
      <c r="R22" s="284"/>
    </row>
    <row r="23" spans="4:18" x14ac:dyDescent="0.25">
      <c r="O23" s="280"/>
      <c r="P23" s="282"/>
      <c r="Q23" s="283"/>
      <c r="R23" s="284"/>
    </row>
    <row r="24" spans="4:18" x14ac:dyDescent="0.25">
      <c r="O24" s="280"/>
      <c r="P24" s="282"/>
      <c r="Q24" s="283"/>
      <c r="R24" s="284"/>
    </row>
    <row r="25" spans="4:18" x14ac:dyDescent="0.25">
      <c r="O25" s="280"/>
      <c r="P25" s="282"/>
      <c r="Q25" s="283"/>
      <c r="R25" s="284"/>
    </row>
    <row r="26" spans="4:18" x14ac:dyDescent="0.25">
      <c r="O26" s="280"/>
      <c r="P26" s="282"/>
      <c r="Q26" s="283"/>
      <c r="R26" s="284"/>
    </row>
    <row r="27" spans="4:18" x14ac:dyDescent="0.25">
      <c r="O27" s="280"/>
      <c r="P27" s="282"/>
      <c r="Q27" s="283"/>
      <c r="R27" s="284"/>
    </row>
    <row r="28" spans="4:18" x14ac:dyDescent="0.25">
      <c r="O28" s="280"/>
      <c r="P28" s="282"/>
      <c r="Q28" s="283"/>
      <c r="R28" s="284"/>
    </row>
    <row r="29" spans="4:18" x14ac:dyDescent="0.25">
      <c r="O29" s="280"/>
      <c r="P29" s="281"/>
      <c r="Q29" s="283"/>
      <c r="R29" s="284"/>
    </row>
    <row r="30" spans="4:18" x14ac:dyDescent="0.25">
      <c r="O30" s="280"/>
      <c r="P30" s="281"/>
      <c r="Q30" s="283"/>
      <c r="R30" s="284"/>
    </row>
    <row r="31" spans="4:18" x14ac:dyDescent="0.25">
      <c r="O31" s="280"/>
      <c r="P31" s="281"/>
      <c r="Q31" s="283"/>
      <c r="R31" s="284"/>
    </row>
    <row r="32" spans="4:18" x14ac:dyDescent="0.25">
      <c r="O32" s="280"/>
      <c r="P32" s="281"/>
      <c r="Q32" s="283"/>
      <c r="R32" s="284"/>
    </row>
    <row r="33" spans="15:18" x14ac:dyDescent="0.25">
      <c r="O33" s="280"/>
      <c r="P33" s="281"/>
      <c r="Q33" s="283"/>
      <c r="R33" s="284"/>
    </row>
    <row r="34" spans="15:18" x14ac:dyDescent="0.25">
      <c r="O34" s="280"/>
      <c r="P34" s="281"/>
      <c r="Q34" s="283"/>
      <c r="R34" s="284"/>
    </row>
    <row r="35" spans="15:18" x14ac:dyDescent="0.25">
      <c r="O35" s="280"/>
      <c r="P35" s="281"/>
      <c r="Q35" s="283"/>
      <c r="R35" s="284"/>
    </row>
    <row r="36" spans="15:18" x14ac:dyDescent="0.25">
      <c r="O36" s="280"/>
      <c r="P36" s="281"/>
      <c r="Q36" s="283"/>
      <c r="R36" s="284"/>
    </row>
    <row r="37" spans="15:18" x14ac:dyDescent="0.25">
      <c r="O37" s="280"/>
      <c r="P37" s="281"/>
      <c r="Q37" s="283"/>
      <c r="R37" s="284"/>
    </row>
    <row r="38" spans="15:18" x14ac:dyDescent="0.25">
      <c r="O38" s="280"/>
      <c r="P38" s="281"/>
      <c r="Q38" s="283"/>
      <c r="R38" s="284"/>
    </row>
    <row r="39" spans="15:18" x14ac:dyDescent="0.25">
      <c r="O39" s="280"/>
      <c r="P39" s="281"/>
      <c r="Q39" s="283"/>
      <c r="R39" s="284"/>
    </row>
    <row r="40" spans="15:18" x14ac:dyDescent="0.25">
      <c r="O40" s="280"/>
      <c r="P40" s="281"/>
      <c r="Q40" s="283"/>
      <c r="R40" s="284"/>
    </row>
    <row r="41" spans="15:18" x14ac:dyDescent="0.25">
      <c r="O41" s="280"/>
      <c r="P41" s="281"/>
      <c r="Q41" s="283"/>
      <c r="R41" s="284"/>
    </row>
    <row r="42" spans="15:18" x14ac:dyDescent="0.25">
      <c r="O42" s="280"/>
      <c r="P42" s="281"/>
      <c r="Q42" s="283"/>
      <c r="R42" s="284"/>
    </row>
    <row r="43" spans="15:18" x14ac:dyDescent="0.25">
      <c r="O43" s="280"/>
      <c r="P43" s="281"/>
      <c r="Q43" s="283"/>
      <c r="R43" s="284"/>
    </row>
    <row r="44" spans="15:18" x14ac:dyDescent="0.25">
      <c r="O44" s="280"/>
      <c r="P44" s="281"/>
      <c r="Q44" s="283"/>
      <c r="R44" s="284"/>
    </row>
    <row r="45" spans="15:18" x14ac:dyDescent="0.25">
      <c r="O45" s="280"/>
      <c r="P45" s="281"/>
      <c r="Q45" s="283"/>
      <c r="R45" s="284"/>
    </row>
    <row r="46" spans="15:18" x14ac:dyDescent="0.25">
      <c r="O46" s="280"/>
      <c r="P46" s="281"/>
      <c r="Q46" s="283"/>
      <c r="R46" s="284"/>
    </row>
    <row r="47" spans="15:18" x14ac:dyDescent="0.25">
      <c r="O47" s="280"/>
      <c r="P47" s="281"/>
      <c r="Q47" s="283"/>
      <c r="R47" s="284"/>
    </row>
    <row r="48" spans="15:18" x14ac:dyDescent="0.25">
      <c r="O48" s="280"/>
      <c r="P48" s="281"/>
      <c r="Q48" s="283"/>
      <c r="R48" s="284"/>
    </row>
    <row r="49" spans="15:18" ht="15.75" thickBot="1" x14ac:dyDescent="0.3">
      <c r="O49" s="285"/>
      <c r="P49" s="286"/>
      <c r="Q49" s="287"/>
      <c r="R49" s="288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9" r:id="rId3" name="NewPtBtn">
          <controlPr defaultSize="0" disabled="1" autoLine="0" r:id="rId4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3" name="NewPtBtn"/>
      </mc:Fallback>
    </mc:AlternateContent>
    <mc:AlternateContent xmlns:mc="http://schemas.openxmlformats.org/markup-compatibility/2006">
      <mc:Choice Requires="x14">
        <control shapeId="10248" r:id="rId5" name="DelBtn">
          <controlPr defaultSize="0" disabled="1" autoLine="0" r:id="rId6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5" name="Del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3" r:id="rId9" name="DisableBtn">
          <controlPr defaultSize="0" disabled="1" autoLine="0" r:id="rId10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9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Pointages'!$A$2:$A$4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O44"/>
  <sheetViews>
    <sheetView tabSelected="1" topLeftCell="A7" workbookViewId="0">
      <selection activeCell="I35" sqref="I35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5" t="s">
        <v>0</v>
      </c>
      <c r="B1" s="105" t="s">
        <v>1</v>
      </c>
      <c r="C1" s="6" t="s">
        <v>36</v>
      </c>
      <c r="M1" t="s">
        <v>68</v>
      </c>
    </row>
    <row r="2" spans="1:14" ht="15.75" thickTop="1" x14ac:dyDescent="0.25">
      <c r="A2" s="269" t="s">
        <v>115</v>
      </c>
      <c r="B2" s="106">
        <v>1894</v>
      </c>
      <c r="C2" s="109">
        <v>1.3888888888888888E-2</v>
      </c>
    </row>
    <row r="3" spans="1:14" x14ac:dyDescent="0.25">
      <c r="A3" s="1" t="s">
        <v>116</v>
      </c>
      <c r="B3" s="107">
        <v>1895</v>
      </c>
      <c r="C3" s="109">
        <v>1.3888888888888888E-2</v>
      </c>
    </row>
    <row r="4" spans="1:14" x14ac:dyDescent="0.25">
      <c r="A4" s="1" t="s">
        <v>117</v>
      </c>
      <c r="B4" s="107">
        <v>1896</v>
      </c>
      <c r="C4" s="109">
        <v>1.3888888888888888E-2</v>
      </c>
    </row>
    <row r="5" spans="1:14" x14ac:dyDescent="0.25">
      <c r="A5" s="1"/>
      <c r="B5" s="107"/>
      <c r="C5" s="109"/>
    </row>
    <row r="6" spans="1:14" x14ac:dyDescent="0.25">
      <c r="A6" s="1"/>
      <c r="B6" s="107"/>
      <c r="C6" s="109"/>
    </row>
    <row r="7" spans="1:14" x14ac:dyDescent="0.25">
      <c r="A7" s="1"/>
      <c r="B7" s="107"/>
      <c r="C7" s="109"/>
    </row>
    <row r="8" spans="1:14" x14ac:dyDescent="0.25">
      <c r="A8" s="1"/>
      <c r="B8" s="107"/>
      <c r="C8" s="109"/>
    </row>
    <row r="9" spans="1:14" x14ac:dyDescent="0.25">
      <c r="A9" s="1"/>
      <c r="B9" s="107"/>
      <c r="C9" s="109"/>
    </row>
    <row r="10" spans="1:14" x14ac:dyDescent="0.25">
      <c r="A10" s="1"/>
      <c r="B10" s="107"/>
      <c r="C10" s="109"/>
    </row>
    <row r="11" spans="1:14" x14ac:dyDescent="0.25">
      <c r="A11" s="1"/>
      <c r="B11" s="107"/>
      <c r="C11" s="109"/>
    </row>
    <row r="12" spans="1:14" x14ac:dyDescent="0.25">
      <c r="A12" s="1"/>
      <c r="B12" s="107"/>
      <c r="C12" s="109"/>
      <c r="M12" t="s">
        <v>86</v>
      </c>
    </row>
    <row r="13" spans="1:14" x14ac:dyDescent="0.25">
      <c r="A13" s="1"/>
      <c r="B13" s="107"/>
      <c r="C13" s="2"/>
      <c r="N13" t="s">
        <v>87</v>
      </c>
    </row>
    <row r="14" spans="1:14" x14ac:dyDescent="0.25">
      <c r="A14" s="1"/>
      <c r="B14" s="107"/>
      <c r="C14" s="2"/>
      <c r="N14" t="s">
        <v>101</v>
      </c>
    </row>
    <row r="15" spans="1:14" x14ac:dyDescent="0.25">
      <c r="A15" s="1"/>
      <c r="B15" s="107"/>
      <c r="C15" s="2"/>
      <c r="N15" t="s">
        <v>88</v>
      </c>
    </row>
    <row r="16" spans="1:14" x14ac:dyDescent="0.25">
      <c r="A16" s="1"/>
      <c r="B16" s="107"/>
      <c r="C16" s="2"/>
      <c r="N16" t="s">
        <v>89</v>
      </c>
    </row>
    <row r="17" spans="1:15" x14ac:dyDescent="0.25">
      <c r="A17" s="1"/>
      <c r="B17" s="107"/>
      <c r="C17" s="2"/>
      <c r="O17" t="s">
        <v>90</v>
      </c>
    </row>
    <row r="18" spans="1:15" x14ac:dyDescent="0.25">
      <c r="A18" s="1"/>
      <c r="B18" s="107"/>
      <c r="C18" s="2"/>
      <c r="O18" t="s">
        <v>93</v>
      </c>
    </row>
    <row r="19" spans="1:15" x14ac:dyDescent="0.25">
      <c r="A19" s="1"/>
      <c r="B19" s="107"/>
      <c r="C19" s="2"/>
      <c r="O19" t="s">
        <v>92</v>
      </c>
    </row>
    <row r="20" spans="1:15" x14ac:dyDescent="0.25">
      <c r="A20" s="1"/>
      <c r="B20" s="107"/>
      <c r="C20" s="2"/>
      <c r="O20" t="s">
        <v>91</v>
      </c>
    </row>
    <row r="21" spans="1:15" x14ac:dyDescent="0.25">
      <c r="A21" s="1"/>
      <c r="B21" s="107"/>
      <c r="C21" s="2"/>
    </row>
    <row r="22" spans="1:15" x14ac:dyDescent="0.25">
      <c r="A22" s="1"/>
      <c r="B22" s="107"/>
      <c r="C22" s="2"/>
    </row>
    <row r="23" spans="1:15" x14ac:dyDescent="0.25">
      <c r="A23" s="1"/>
      <c r="B23" s="107"/>
      <c r="C23" s="2"/>
    </row>
    <row r="24" spans="1:15" x14ac:dyDescent="0.25">
      <c r="A24" s="1"/>
      <c r="B24" s="107"/>
      <c r="C24" s="2"/>
    </row>
    <row r="25" spans="1:15" x14ac:dyDescent="0.25">
      <c r="A25" s="1"/>
      <c r="B25" s="107"/>
      <c r="C25" s="2"/>
    </row>
    <row r="26" spans="1:15" x14ac:dyDescent="0.25">
      <c r="A26" s="1"/>
      <c r="B26" s="107"/>
      <c r="C26" s="2"/>
    </row>
    <row r="27" spans="1:15" x14ac:dyDescent="0.25">
      <c r="A27" s="1"/>
      <c r="B27" s="107"/>
      <c r="C27" s="2"/>
    </row>
    <row r="28" spans="1:15" x14ac:dyDescent="0.25">
      <c r="A28" s="1"/>
      <c r="B28" s="107"/>
      <c r="C28" s="2"/>
    </row>
    <row r="29" spans="1:15" x14ac:dyDescent="0.25">
      <c r="A29" s="1"/>
      <c r="B29" s="107"/>
      <c r="C29" s="2"/>
    </row>
    <row r="30" spans="1:15" ht="15.75" thickBot="1" x14ac:dyDescent="0.3">
      <c r="A30" s="3"/>
      <c r="B30" s="108"/>
      <c r="C30" s="4"/>
    </row>
    <row r="31" spans="1:15" ht="15.75" thickTop="1" x14ac:dyDescent="0.25"/>
    <row r="37" spans="1:5" x14ac:dyDescent="0.25">
      <c r="A37" t="s">
        <v>39</v>
      </c>
    </row>
    <row r="39" spans="1:5" ht="15.75" x14ac:dyDescent="0.25">
      <c r="B39" t="s">
        <v>40</v>
      </c>
      <c r="C39" s="319" t="s">
        <v>119</v>
      </c>
      <c r="D39" s="319"/>
      <c r="E39" s="188" t="s">
        <v>45</v>
      </c>
    </row>
    <row r="41" spans="1:5" ht="15" customHeight="1" x14ac:dyDescent="0.25">
      <c r="B41" s="186" t="s">
        <v>41</v>
      </c>
      <c r="C41" s="187" t="s">
        <v>111</v>
      </c>
      <c r="E41" s="189" t="s">
        <v>46</v>
      </c>
    </row>
    <row r="42" spans="1:5" x14ac:dyDescent="0.25">
      <c r="B42" s="186" t="s">
        <v>42</v>
      </c>
      <c r="C42" s="302" t="s">
        <v>112</v>
      </c>
      <c r="E42" s="189" t="s">
        <v>47</v>
      </c>
    </row>
    <row r="43" spans="1:5" x14ac:dyDescent="0.25">
      <c r="B43" s="186" t="s">
        <v>43</v>
      </c>
      <c r="C43" s="303" t="s">
        <v>113</v>
      </c>
    </row>
    <row r="44" spans="1:5" x14ac:dyDescent="0.25">
      <c r="B44" s="186" t="s">
        <v>44</v>
      </c>
      <c r="C44" s="304" t="s">
        <v>114</v>
      </c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DL_Pointages">
          <controlPr defaultSize="0" autoLine="0" r:id="rId5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4" name="DL_Pointages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autoPict="0" r:id="rId13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2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>
        <v>0</v>
      </c>
      <c r="V1" s="37">
        <v>0</v>
      </c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</row>
    <row r="2" spans="1:65" ht="13.5" customHeight="1" thickBot="1" x14ac:dyDescent="0.3">
      <c r="A2" s="313"/>
      <c r="B2" s="314"/>
      <c r="C2" s="314"/>
      <c r="D2" s="314"/>
      <c r="E2" s="314"/>
      <c r="F2" s="314"/>
      <c r="G2" s="314"/>
      <c r="H2" s="337" t="s">
        <v>21</v>
      </c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8"/>
      <c r="U2" s="339">
        <v>0</v>
      </c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31" t="s">
        <v>22</v>
      </c>
      <c r="AP2" s="332"/>
      <c r="AQ2" s="332"/>
      <c r="AR2" s="332"/>
      <c r="AS2" s="332"/>
      <c r="AT2" s="332"/>
      <c r="AU2" s="332"/>
      <c r="AV2" s="332"/>
      <c r="AW2" s="332"/>
      <c r="AX2" s="332"/>
      <c r="AY2" s="332"/>
      <c r="AZ2" s="332"/>
      <c r="BA2" s="333"/>
      <c r="BB2" s="334"/>
      <c r="BC2" s="335"/>
      <c r="BD2" s="335"/>
      <c r="BE2" s="335"/>
      <c r="BF2" s="335"/>
      <c r="BG2" s="335"/>
      <c r="BH2" s="335"/>
      <c r="BI2" s="335"/>
      <c r="BJ2" s="335"/>
      <c r="BK2" s="335"/>
      <c r="BL2" s="336"/>
    </row>
    <row r="3" spans="1:65" ht="13.5" customHeight="1" thickBot="1" x14ac:dyDescent="0.3">
      <c r="A3" s="311">
        <v>1</v>
      </c>
      <c r="B3" s="311"/>
      <c r="C3" s="311">
        <v>2</v>
      </c>
      <c r="D3" s="311"/>
      <c r="E3" s="311">
        <v>3</v>
      </c>
      <c r="F3" s="311"/>
      <c r="G3" s="311">
        <v>4</v>
      </c>
      <c r="H3" s="311"/>
      <c r="I3" s="312">
        <v>5</v>
      </c>
      <c r="J3" s="317"/>
      <c r="K3" s="312">
        <v>6</v>
      </c>
      <c r="L3" s="317"/>
      <c r="M3" s="312">
        <v>7</v>
      </c>
      <c r="N3" s="317"/>
      <c r="O3" s="312">
        <v>8</v>
      </c>
      <c r="P3" s="317"/>
      <c r="Q3" s="312">
        <v>9</v>
      </c>
      <c r="R3" s="317"/>
      <c r="S3" s="312">
        <v>10</v>
      </c>
      <c r="T3" s="307"/>
      <c r="U3" s="306">
        <v>1</v>
      </c>
      <c r="V3" s="317"/>
      <c r="W3" s="312">
        <v>2</v>
      </c>
      <c r="X3" s="317"/>
      <c r="Y3" s="312">
        <v>3</v>
      </c>
      <c r="Z3" s="317"/>
      <c r="AA3" s="312">
        <v>4</v>
      </c>
      <c r="AB3" s="317"/>
      <c r="AC3" s="312">
        <v>5</v>
      </c>
      <c r="AD3" s="317"/>
      <c r="AE3" s="312">
        <v>6</v>
      </c>
      <c r="AF3" s="317"/>
      <c r="AG3" s="312">
        <v>7</v>
      </c>
      <c r="AH3" s="317"/>
      <c r="AI3" s="312">
        <v>8</v>
      </c>
      <c r="AJ3" s="317"/>
      <c r="AK3" s="312">
        <v>9</v>
      </c>
      <c r="AL3" s="317"/>
      <c r="AM3" s="312">
        <v>10</v>
      </c>
      <c r="AN3" s="307"/>
      <c r="AO3" s="327" t="s">
        <v>23</v>
      </c>
      <c r="AP3" s="328"/>
      <c r="AQ3" s="328"/>
      <c r="AR3" s="329"/>
      <c r="AS3" s="327" t="s">
        <v>24</v>
      </c>
      <c r="AT3" s="328"/>
      <c r="AU3" s="328"/>
      <c r="AV3" s="328"/>
      <c r="AW3" s="328"/>
      <c r="AX3" s="328"/>
      <c r="AY3" s="306" t="s">
        <v>5</v>
      </c>
      <c r="AZ3" s="330"/>
      <c r="BA3" s="307"/>
      <c r="BB3" s="324" t="s">
        <v>25</v>
      </c>
      <c r="BC3" s="325"/>
      <c r="BD3" s="325"/>
      <c r="BE3" s="325"/>
      <c r="BF3" s="325"/>
      <c r="BG3" s="325"/>
      <c r="BH3" s="325"/>
      <c r="BI3" s="325"/>
      <c r="BJ3" s="325"/>
      <c r="BK3" s="325"/>
      <c r="BL3" s="326"/>
    </row>
    <row r="4" spans="1:65" ht="12.75" customHeight="1" x14ac:dyDescent="0.25">
      <c r="A4" s="38" t="s">
        <v>6</v>
      </c>
      <c r="B4" s="38" t="s">
        <v>7</v>
      </c>
      <c r="C4" s="38" t="s">
        <v>6</v>
      </c>
      <c r="D4" s="38" t="s">
        <v>7</v>
      </c>
      <c r="E4" s="38" t="s">
        <v>6</v>
      </c>
      <c r="F4" s="38" t="s">
        <v>7</v>
      </c>
      <c r="G4" s="38" t="s">
        <v>6</v>
      </c>
      <c r="H4" s="38" t="s">
        <v>7</v>
      </c>
      <c r="I4" s="38" t="s">
        <v>6</v>
      </c>
      <c r="J4" s="38" t="s">
        <v>7</v>
      </c>
      <c r="K4" s="38" t="s">
        <v>6</v>
      </c>
      <c r="L4" s="38" t="s">
        <v>7</v>
      </c>
      <c r="M4" s="38" t="s">
        <v>6</v>
      </c>
      <c r="N4" s="38" t="s">
        <v>7</v>
      </c>
      <c r="O4" s="38" t="s">
        <v>6</v>
      </c>
      <c r="P4" s="38" t="s">
        <v>7</v>
      </c>
      <c r="Q4" s="38" t="s">
        <v>6</v>
      </c>
      <c r="R4" s="38" t="s">
        <v>7</v>
      </c>
      <c r="S4" s="38" t="s">
        <v>6</v>
      </c>
      <c r="T4" s="39" t="s">
        <v>7</v>
      </c>
      <c r="U4" s="38" t="s">
        <v>6</v>
      </c>
      <c r="V4" s="38" t="s">
        <v>7</v>
      </c>
      <c r="W4" s="38" t="s">
        <v>6</v>
      </c>
      <c r="X4" s="38" t="s">
        <v>7</v>
      </c>
      <c r="Y4" s="38" t="s">
        <v>6</v>
      </c>
      <c r="Z4" s="38" t="s">
        <v>7</v>
      </c>
      <c r="AA4" s="38" t="s">
        <v>6</v>
      </c>
      <c r="AB4" s="38" t="s">
        <v>7</v>
      </c>
      <c r="AC4" s="38" t="s">
        <v>6</v>
      </c>
      <c r="AD4" s="38" t="s">
        <v>7</v>
      </c>
      <c r="AE4" s="38" t="s">
        <v>6</v>
      </c>
      <c r="AF4" s="38" t="s">
        <v>7</v>
      </c>
      <c r="AG4" s="38" t="s">
        <v>6</v>
      </c>
      <c r="AH4" s="38" t="s">
        <v>7</v>
      </c>
      <c r="AI4" s="38" t="s">
        <v>6</v>
      </c>
      <c r="AJ4" s="38" t="s">
        <v>7</v>
      </c>
      <c r="AK4" s="38" t="s">
        <v>6</v>
      </c>
      <c r="AL4" s="38" t="s">
        <v>7</v>
      </c>
      <c r="AM4" s="38" t="s">
        <v>6</v>
      </c>
      <c r="AN4" s="39" t="s">
        <v>7</v>
      </c>
      <c r="AO4" s="40" t="s">
        <v>26</v>
      </c>
      <c r="AP4" s="41" t="s">
        <v>27</v>
      </c>
      <c r="AQ4" s="41" t="s">
        <v>28</v>
      </c>
      <c r="AR4" s="42" t="s">
        <v>29</v>
      </c>
      <c r="AS4" s="17" t="s">
        <v>6</v>
      </c>
      <c r="AT4" s="18" t="s">
        <v>30</v>
      </c>
      <c r="AU4" s="18" t="s">
        <v>31</v>
      </c>
      <c r="AV4" s="18" t="s">
        <v>30</v>
      </c>
      <c r="AW4" s="18" t="s">
        <v>32</v>
      </c>
      <c r="AX4" s="18" t="s">
        <v>7</v>
      </c>
      <c r="AY4" s="17" t="s">
        <v>8</v>
      </c>
      <c r="AZ4" s="18" t="s">
        <v>9</v>
      </c>
      <c r="BA4" s="19" t="s">
        <v>10</v>
      </c>
      <c r="BB4" s="43">
        <v>1</v>
      </c>
      <c r="BC4" s="43">
        <v>2</v>
      </c>
      <c r="BD4" s="43">
        <v>3</v>
      </c>
      <c r="BE4" s="43">
        <v>4</v>
      </c>
      <c r="BF4" s="43">
        <v>5</v>
      </c>
      <c r="BG4" s="43">
        <v>6</v>
      </c>
      <c r="BH4" s="43">
        <v>7</v>
      </c>
      <c r="BI4" s="43">
        <v>8</v>
      </c>
      <c r="BJ4" s="43">
        <v>9</v>
      </c>
      <c r="BK4" s="43">
        <v>10</v>
      </c>
      <c r="BL4" s="20" t="s">
        <v>11</v>
      </c>
      <c r="BM4" s="110" t="s">
        <v>37</v>
      </c>
    </row>
    <row r="5" spans="1:65" x14ac:dyDescent="0.25">
      <c r="A5" s="44">
        <v>0</v>
      </c>
      <c r="B5" s="45">
        <v>0</v>
      </c>
      <c r="C5" s="44">
        <v>0</v>
      </c>
      <c r="D5" s="45">
        <v>0</v>
      </c>
      <c r="E5" s="44">
        <v>0</v>
      </c>
      <c r="F5" s="45">
        <v>0</v>
      </c>
      <c r="G5" s="44">
        <v>0</v>
      </c>
      <c r="H5" s="45">
        <v>0</v>
      </c>
      <c r="I5" s="44">
        <v>0</v>
      </c>
      <c r="J5" s="45">
        <v>0</v>
      </c>
      <c r="K5" s="44">
        <v>0</v>
      </c>
      <c r="L5" s="45">
        <v>0</v>
      </c>
      <c r="M5" s="44">
        <v>0</v>
      </c>
      <c r="N5" s="45">
        <v>0</v>
      </c>
      <c r="O5" s="44">
        <v>0</v>
      </c>
      <c r="P5" s="45">
        <v>0</v>
      </c>
      <c r="Q5" s="44">
        <v>0</v>
      </c>
      <c r="R5" s="45">
        <v>0</v>
      </c>
      <c r="S5" s="44">
        <v>0</v>
      </c>
      <c r="T5" s="45">
        <v>0</v>
      </c>
      <c r="U5" s="46">
        <v>0</v>
      </c>
      <c r="V5" s="45">
        <v>0</v>
      </c>
      <c r="W5" s="44">
        <v>0</v>
      </c>
      <c r="X5" s="45">
        <v>0</v>
      </c>
      <c r="Y5" s="44">
        <v>0</v>
      </c>
      <c r="Z5" s="45">
        <v>0</v>
      </c>
      <c r="AA5" s="44">
        <v>0</v>
      </c>
      <c r="AB5" s="45">
        <v>0</v>
      </c>
      <c r="AC5" s="44">
        <v>0</v>
      </c>
      <c r="AD5" s="45">
        <v>0</v>
      </c>
      <c r="AE5" s="44">
        <v>0</v>
      </c>
      <c r="AF5" s="45">
        <v>0</v>
      </c>
      <c r="AG5" s="44">
        <v>0</v>
      </c>
      <c r="AH5" s="45">
        <v>0</v>
      </c>
      <c r="AI5" s="44">
        <v>0</v>
      </c>
      <c r="AJ5" s="45">
        <v>0</v>
      </c>
      <c r="AK5" s="44">
        <v>0</v>
      </c>
      <c r="AL5" s="45">
        <v>0</v>
      </c>
      <c r="AM5" s="47">
        <v>0</v>
      </c>
      <c r="AN5" s="48">
        <v>0</v>
      </c>
      <c r="AO5" s="49">
        <f t="shared" ref="AO5:AO42" si="0">IF(AND(V5*24&gt;=11,V5*24&lt;=13.5),IF((W5-V5)*24&gt;=1,1,IF(AND(V5*24&gt;=18.5,V5*24&lt;=22),6,0)),0)</f>
        <v>0</v>
      </c>
      <c r="AP5" s="50">
        <f t="shared" ref="AP5:AP42" si="1">IF(AND(X5*24&gt;=11,X5*24&lt;=13.5),IF((Y5-X5)*24&gt;=1,1,IF(AND(X5*24&gt;=18.5,X5*24&lt;=22),6,0)),0)</f>
        <v>0</v>
      </c>
      <c r="AQ5" s="50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51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52">
        <f t="shared" ref="AS5:AS42" si="4">IF(U5*24&gt;11,0,U5)</f>
        <v>0</v>
      </c>
      <c r="AT5" s="53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3">
        <f t="shared" ref="AU5:AU42" si="6">IF(U5&gt;0,IF(AS5&gt;0,IF(AND(AN5&gt;0,AN5=AT5),0,IF(AND(AB5&gt;0,AB5=AT5),AM5,IF(AND(Z5&gt;0,Z5=AT5),AA5,IF(AND(X5&gt;0,X5=AT5),Y5,W5)))),U5),0)</f>
        <v>0</v>
      </c>
      <c r="AV5" s="53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3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3">
        <f t="shared" ref="AX5:AX42" si="9">IF(AW5&gt;0,IF(AND(AN5&gt;0, AN5*24&gt;18.5),AN5,IF(AND(AB5&gt;0,AB5*24&gt;18.5),AB5,IF(AND(Z5&gt;0,Z5*24&gt;18.5),Z5,IF(AND(X5&gt;0,X5*24&gt;18.5),X5,V5)))),0)</f>
        <v>0</v>
      </c>
      <c r="AY5" s="49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4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51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5">
        <f>ROUNDUP((V5 - U5) * 288, 0) / 288</f>
        <v>0</v>
      </c>
      <c r="BC5" s="56">
        <f>ROUNDUP((X5 - W5) * 288, 0) / 288</f>
        <v>0</v>
      </c>
      <c r="BD5" s="56">
        <f>ROUNDUP((Z5 - Y5) * 288, 0) / 288</f>
        <v>0</v>
      </c>
      <c r="BE5" s="56">
        <f>ROUNDUP((AB5 - AA5) * 288, 0) / 288</f>
        <v>0</v>
      </c>
      <c r="BF5" s="56">
        <f>ROUNDUP((AD5 - AC5) * 288, 0) / 288</f>
        <v>0</v>
      </c>
      <c r="BG5" s="56">
        <f>ROUNDUP((AF5 - AE5) * 288, 0) / 288</f>
        <v>0</v>
      </c>
      <c r="BH5" s="56">
        <f>ROUNDUP((AH5 - AG5) * 288, 0) / 288</f>
        <v>0</v>
      </c>
      <c r="BI5" s="56">
        <f>ROUNDUP((AJ5 - AI5) * 288, 0) / 288</f>
        <v>0</v>
      </c>
      <c r="BJ5" s="56">
        <f>ROUNDUP((AL5 - AK5) * 288, 0) / 288</f>
        <v>0</v>
      </c>
      <c r="BK5" s="115">
        <f>ROUNDUP((AN5 - AM5) * 288, 0) / 288</f>
        <v>0</v>
      </c>
      <c r="BL5" s="23">
        <f t="shared" ref="BL5:BL42" si="13">SUM(BB5:BK5)</f>
        <v>0</v>
      </c>
      <c r="BM5" s="111">
        <v>0</v>
      </c>
    </row>
    <row r="6" spans="1:65" x14ac:dyDescent="0.25">
      <c r="A6" s="57">
        <v>0</v>
      </c>
      <c r="B6" s="58">
        <v>0</v>
      </c>
      <c r="C6" s="57">
        <v>0</v>
      </c>
      <c r="D6" s="58">
        <v>0</v>
      </c>
      <c r="E6" s="57">
        <v>0</v>
      </c>
      <c r="F6" s="58">
        <v>0</v>
      </c>
      <c r="G6" s="57">
        <v>0</v>
      </c>
      <c r="H6" s="58">
        <v>0</v>
      </c>
      <c r="I6" s="57">
        <v>0</v>
      </c>
      <c r="J6" s="58">
        <v>0</v>
      </c>
      <c r="K6" s="57">
        <v>0</v>
      </c>
      <c r="L6" s="58">
        <v>0</v>
      </c>
      <c r="M6" s="57">
        <v>0</v>
      </c>
      <c r="N6" s="58">
        <v>0</v>
      </c>
      <c r="O6" s="57">
        <v>0</v>
      </c>
      <c r="P6" s="58">
        <v>0</v>
      </c>
      <c r="Q6" s="57">
        <v>0</v>
      </c>
      <c r="R6" s="58">
        <v>0</v>
      </c>
      <c r="S6" s="57">
        <v>0</v>
      </c>
      <c r="T6" s="58">
        <v>0</v>
      </c>
      <c r="U6" s="59">
        <v>0</v>
      </c>
      <c r="V6" s="58">
        <v>0</v>
      </c>
      <c r="W6" s="57">
        <v>0</v>
      </c>
      <c r="X6" s="58">
        <v>0</v>
      </c>
      <c r="Y6" s="57">
        <v>0</v>
      </c>
      <c r="Z6" s="58">
        <v>0</v>
      </c>
      <c r="AA6" s="57">
        <v>0</v>
      </c>
      <c r="AB6" s="58">
        <v>0</v>
      </c>
      <c r="AC6" s="60">
        <v>0</v>
      </c>
      <c r="AD6" s="58">
        <v>0</v>
      </c>
      <c r="AE6" s="60">
        <v>0</v>
      </c>
      <c r="AF6" s="58">
        <v>0</v>
      </c>
      <c r="AG6" s="60">
        <v>0</v>
      </c>
      <c r="AH6" s="58">
        <v>0</v>
      </c>
      <c r="AI6" s="60">
        <v>0</v>
      </c>
      <c r="AJ6" s="58">
        <v>0</v>
      </c>
      <c r="AK6" s="60">
        <v>0</v>
      </c>
      <c r="AL6" s="58">
        <v>0</v>
      </c>
      <c r="AM6" s="57">
        <v>0</v>
      </c>
      <c r="AN6" s="61">
        <v>0</v>
      </c>
      <c r="AO6" s="62">
        <f t="shared" si="0"/>
        <v>0</v>
      </c>
      <c r="AP6" s="63">
        <f t="shared" si="1"/>
        <v>0</v>
      </c>
      <c r="AQ6" s="63">
        <f t="shared" si="2"/>
        <v>0</v>
      </c>
      <c r="AR6" s="64">
        <f t="shared" si="3"/>
        <v>0</v>
      </c>
      <c r="AS6" s="65">
        <f t="shared" si="4"/>
        <v>0</v>
      </c>
      <c r="AT6" s="66">
        <f t="shared" si="5"/>
        <v>0</v>
      </c>
      <c r="AU6" s="66">
        <f t="shared" si="6"/>
        <v>0</v>
      </c>
      <c r="AV6" s="66">
        <f t="shared" si="7"/>
        <v>0</v>
      </c>
      <c r="AW6" s="66">
        <f t="shared" si="8"/>
        <v>0</v>
      </c>
      <c r="AX6" s="66">
        <f t="shared" si="9"/>
        <v>0</v>
      </c>
      <c r="AY6" s="62">
        <f t="shared" si="10"/>
        <v>0</v>
      </c>
      <c r="AZ6" s="67">
        <f t="shared" si="11"/>
        <v>0</v>
      </c>
      <c r="BA6" s="64">
        <f t="shared" si="12"/>
        <v>0</v>
      </c>
      <c r="BB6" s="65">
        <f>ROUNDUP((V6 - U6) * 288, 0) / 288</f>
        <v>0</v>
      </c>
      <c r="BC6" s="68">
        <f>ROUNDUP((X6 - W6) * 288, 0) / 288</f>
        <v>0</v>
      </c>
      <c r="BD6" s="68">
        <f>ROUNDUP((Z6 - Y6) * 288, 0) / 288</f>
        <v>0</v>
      </c>
      <c r="BE6" s="68">
        <f>ROUNDUP((AB6 - AA6) * 288, 0) / 288</f>
        <v>0</v>
      </c>
      <c r="BF6" s="68">
        <f>ROUNDUP((AD6 - AC6) * 288, 0) / 288</f>
        <v>0</v>
      </c>
      <c r="BG6" s="68">
        <f>ROUNDUP((AF6 - AE6) * 288, 0) / 288</f>
        <v>0</v>
      </c>
      <c r="BH6" s="68">
        <f>ROUNDUP((AH6 - AG6) * 288, 0) / 288</f>
        <v>0</v>
      </c>
      <c r="BI6" s="68">
        <f>ROUNDUP((AJ6 - AI6) * 288, 0) / 288</f>
        <v>0</v>
      </c>
      <c r="BJ6" s="68">
        <f>ROUNDUP((AL6 - AK6) * 288, 0) / 288</f>
        <v>0</v>
      </c>
      <c r="BK6" s="68">
        <f>ROUNDUP((AN6 - AM6) * 288, 0) / 288</f>
        <v>0</v>
      </c>
      <c r="BL6" s="24">
        <f t="shared" si="13"/>
        <v>0</v>
      </c>
      <c r="BM6" s="111">
        <v>0</v>
      </c>
    </row>
    <row r="7" spans="1:65" x14ac:dyDescent="0.25">
      <c r="A7" s="57">
        <v>0</v>
      </c>
      <c r="B7" s="58">
        <v>0</v>
      </c>
      <c r="C7" s="57">
        <v>0</v>
      </c>
      <c r="D7" s="58">
        <v>0</v>
      </c>
      <c r="E7" s="57">
        <v>0</v>
      </c>
      <c r="F7" s="58">
        <v>0</v>
      </c>
      <c r="G7" s="57">
        <v>0</v>
      </c>
      <c r="H7" s="58">
        <v>0</v>
      </c>
      <c r="I7" s="57">
        <v>0</v>
      </c>
      <c r="J7" s="58">
        <v>0</v>
      </c>
      <c r="K7" s="57">
        <v>0</v>
      </c>
      <c r="L7" s="58">
        <v>0</v>
      </c>
      <c r="M7" s="57">
        <v>0</v>
      </c>
      <c r="N7" s="58">
        <v>0</v>
      </c>
      <c r="O7" s="57">
        <v>0</v>
      </c>
      <c r="P7" s="58">
        <v>0</v>
      </c>
      <c r="Q7" s="57">
        <v>0</v>
      </c>
      <c r="R7" s="58">
        <v>0</v>
      </c>
      <c r="S7" s="57">
        <v>0</v>
      </c>
      <c r="T7" s="58">
        <v>0</v>
      </c>
      <c r="U7" s="59">
        <v>0</v>
      </c>
      <c r="V7" s="58">
        <v>0</v>
      </c>
      <c r="W7" s="57">
        <v>0</v>
      </c>
      <c r="X7" s="58">
        <v>0</v>
      </c>
      <c r="Y7" s="57">
        <v>0</v>
      </c>
      <c r="Z7" s="58">
        <v>0</v>
      </c>
      <c r="AA7" s="57">
        <v>0</v>
      </c>
      <c r="AB7" s="58">
        <v>0</v>
      </c>
      <c r="AC7" s="60">
        <v>0</v>
      </c>
      <c r="AD7" s="58">
        <v>0</v>
      </c>
      <c r="AE7" s="60">
        <v>0</v>
      </c>
      <c r="AF7" s="58">
        <v>0</v>
      </c>
      <c r="AG7" s="60">
        <v>0</v>
      </c>
      <c r="AH7" s="58">
        <v>0</v>
      </c>
      <c r="AI7" s="60">
        <v>0</v>
      </c>
      <c r="AJ7" s="58">
        <v>0</v>
      </c>
      <c r="AK7" s="60">
        <v>0</v>
      </c>
      <c r="AL7" s="58">
        <v>0</v>
      </c>
      <c r="AM7" s="57">
        <v>0</v>
      </c>
      <c r="AN7" s="61">
        <v>0</v>
      </c>
      <c r="AO7" s="62">
        <f t="shared" si="0"/>
        <v>0</v>
      </c>
      <c r="AP7" s="63">
        <f t="shared" si="1"/>
        <v>0</v>
      </c>
      <c r="AQ7" s="63">
        <f t="shared" si="2"/>
        <v>0</v>
      </c>
      <c r="AR7" s="64">
        <f t="shared" si="3"/>
        <v>0</v>
      </c>
      <c r="AS7" s="65">
        <f t="shared" si="4"/>
        <v>0</v>
      </c>
      <c r="AT7" s="66">
        <f t="shared" si="5"/>
        <v>0</v>
      </c>
      <c r="AU7" s="66">
        <f t="shared" si="6"/>
        <v>0</v>
      </c>
      <c r="AV7" s="66">
        <f t="shared" si="7"/>
        <v>0</v>
      </c>
      <c r="AW7" s="66">
        <f t="shared" si="8"/>
        <v>0</v>
      </c>
      <c r="AX7" s="66">
        <f t="shared" si="9"/>
        <v>0</v>
      </c>
      <c r="AY7" s="62">
        <f t="shared" si="10"/>
        <v>0</v>
      </c>
      <c r="AZ7" s="67">
        <f t="shared" si="11"/>
        <v>0</v>
      </c>
      <c r="BA7" s="64">
        <f t="shared" si="12"/>
        <v>0</v>
      </c>
      <c r="BB7" s="65">
        <f t="shared" ref="BB7:BB42" si="14">ROUNDUP((V7 - U7) * 288, 0) / 288</f>
        <v>0</v>
      </c>
      <c r="BC7" s="68">
        <f t="shared" ref="BC7:BC42" si="15">ROUNDUP((X7 - W7) * 288, 0) / 288</f>
        <v>0</v>
      </c>
      <c r="BD7" s="68">
        <f t="shared" ref="BD7:BD42" si="16">ROUNDUP((Z7 - Y7) * 288, 0) / 288</f>
        <v>0</v>
      </c>
      <c r="BE7" s="68">
        <f t="shared" ref="BE7:BE42" si="17">ROUNDUP((AB7 - AA7) * 288, 0) / 288</f>
        <v>0</v>
      </c>
      <c r="BF7" s="68">
        <f t="shared" ref="BF7:BF42" si="18">ROUNDUP((AD7 - AC7) * 288, 0) / 288</f>
        <v>0</v>
      </c>
      <c r="BG7" s="68">
        <f t="shared" ref="BG7:BG42" si="19">ROUNDUP((AF7 - AE7) * 288, 0) / 288</f>
        <v>0</v>
      </c>
      <c r="BH7" s="68">
        <f t="shared" ref="BH7:BH42" si="20">ROUNDUP((AH7 - AG7) * 288, 0) / 288</f>
        <v>0</v>
      </c>
      <c r="BI7" s="68">
        <f t="shared" ref="BI7:BI42" si="21">ROUNDUP((AJ7 - AI7) * 288, 0) / 288</f>
        <v>0</v>
      </c>
      <c r="BJ7" s="68">
        <f t="shared" ref="BJ7:BJ42" si="22">ROUNDUP((AL7 - AK7) * 288, 0) / 288</f>
        <v>0</v>
      </c>
      <c r="BK7" s="68">
        <f t="shared" ref="BK7:BK42" si="23">ROUNDUP((AN7 - AM7) * 288, 0) / 288</f>
        <v>0</v>
      </c>
      <c r="BL7" s="24">
        <f t="shared" si="13"/>
        <v>0</v>
      </c>
      <c r="BM7" s="111">
        <v>0</v>
      </c>
    </row>
    <row r="8" spans="1:65" x14ac:dyDescent="0.25">
      <c r="A8" s="57">
        <v>0</v>
      </c>
      <c r="B8" s="58">
        <v>0</v>
      </c>
      <c r="C8" s="57">
        <v>0</v>
      </c>
      <c r="D8" s="58">
        <v>0</v>
      </c>
      <c r="E8" s="57">
        <v>0</v>
      </c>
      <c r="F8" s="58">
        <v>0</v>
      </c>
      <c r="G8" s="57">
        <v>0</v>
      </c>
      <c r="H8" s="58">
        <v>0</v>
      </c>
      <c r="I8" s="57">
        <v>0</v>
      </c>
      <c r="J8" s="58">
        <v>0</v>
      </c>
      <c r="K8" s="57">
        <v>0</v>
      </c>
      <c r="L8" s="58">
        <v>0</v>
      </c>
      <c r="M8" s="57">
        <v>0</v>
      </c>
      <c r="N8" s="58">
        <v>0</v>
      </c>
      <c r="O8" s="57">
        <v>0</v>
      </c>
      <c r="P8" s="58">
        <v>0</v>
      </c>
      <c r="Q8" s="57">
        <v>0</v>
      </c>
      <c r="R8" s="58">
        <v>0</v>
      </c>
      <c r="S8" s="57">
        <v>0</v>
      </c>
      <c r="T8" s="58">
        <v>0</v>
      </c>
      <c r="U8" s="59">
        <v>0</v>
      </c>
      <c r="V8" s="58">
        <v>0</v>
      </c>
      <c r="W8" s="57">
        <v>0</v>
      </c>
      <c r="X8" s="58">
        <v>0</v>
      </c>
      <c r="Y8" s="57">
        <v>0</v>
      </c>
      <c r="Z8" s="58">
        <v>0</v>
      </c>
      <c r="AA8" s="57">
        <v>0</v>
      </c>
      <c r="AB8" s="58">
        <v>0</v>
      </c>
      <c r="AC8" s="60">
        <v>0</v>
      </c>
      <c r="AD8" s="58">
        <v>0</v>
      </c>
      <c r="AE8" s="60">
        <v>0</v>
      </c>
      <c r="AF8" s="58">
        <v>0</v>
      </c>
      <c r="AG8" s="60">
        <v>0</v>
      </c>
      <c r="AH8" s="58">
        <v>0</v>
      </c>
      <c r="AI8" s="60">
        <v>0</v>
      </c>
      <c r="AJ8" s="58">
        <v>0</v>
      </c>
      <c r="AK8" s="60">
        <v>0</v>
      </c>
      <c r="AL8" s="58">
        <v>0</v>
      </c>
      <c r="AM8" s="57">
        <v>0</v>
      </c>
      <c r="AN8" s="61">
        <v>0</v>
      </c>
      <c r="AO8" s="62">
        <f t="shared" si="0"/>
        <v>0</v>
      </c>
      <c r="AP8" s="63">
        <f t="shared" si="1"/>
        <v>0</v>
      </c>
      <c r="AQ8" s="63">
        <f t="shared" si="2"/>
        <v>0</v>
      </c>
      <c r="AR8" s="64">
        <f t="shared" si="3"/>
        <v>0</v>
      </c>
      <c r="AS8" s="65">
        <f t="shared" si="4"/>
        <v>0</v>
      </c>
      <c r="AT8" s="66">
        <f t="shared" si="5"/>
        <v>0</v>
      </c>
      <c r="AU8" s="66">
        <f t="shared" si="6"/>
        <v>0</v>
      </c>
      <c r="AV8" s="66">
        <f t="shared" si="7"/>
        <v>0</v>
      </c>
      <c r="AW8" s="66">
        <f t="shared" si="8"/>
        <v>0</v>
      </c>
      <c r="AX8" s="66">
        <f t="shared" si="9"/>
        <v>0</v>
      </c>
      <c r="AY8" s="62">
        <f t="shared" si="10"/>
        <v>0</v>
      </c>
      <c r="AZ8" s="67">
        <f t="shared" si="11"/>
        <v>0</v>
      </c>
      <c r="BA8" s="64">
        <f t="shared" si="12"/>
        <v>0</v>
      </c>
      <c r="BB8" s="65">
        <f t="shared" si="14"/>
        <v>0</v>
      </c>
      <c r="BC8" s="68">
        <f t="shared" si="15"/>
        <v>0</v>
      </c>
      <c r="BD8" s="68">
        <f t="shared" si="16"/>
        <v>0</v>
      </c>
      <c r="BE8" s="68">
        <f t="shared" si="17"/>
        <v>0</v>
      </c>
      <c r="BF8" s="68">
        <f t="shared" si="18"/>
        <v>0</v>
      </c>
      <c r="BG8" s="68">
        <f t="shared" si="19"/>
        <v>0</v>
      </c>
      <c r="BH8" s="68">
        <f t="shared" si="20"/>
        <v>0</v>
      </c>
      <c r="BI8" s="68">
        <f t="shared" si="21"/>
        <v>0</v>
      </c>
      <c r="BJ8" s="68">
        <f t="shared" si="22"/>
        <v>0</v>
      </c>
      <c r="BK8" s="68">
        <f t="shared" si="23"/>
        <v>0</v>
      </c>
      <c r="BL8" s="24">
        <f t="shared" si="13"/>
        <v>0</v>
      </c>
      <c r="BM8" s="111">
        <v>0</v>
      </c>
    </row>
    <row r="9" spans="1:65" x14ac:dyDescent="0.25">
      <c r="A9" s="57">
        <v>0</v>
      </c>
      <c r="B9" s="58">
        <v>0</v>
      </c>
      <c r="C9" s="57">
        <v>0</v>
      </c>
      <c r="D9" s="58">
        <v>0</v>
      </c>
      <c r="E9" s="57">
        <v>0</v>
      </c>
      <c r="F9" s="58">
        <v>0</v>
      </c>
      <c r="G9" s="57">
        <v>0</v>
      </c>
      <c r="H9" s="58">
        <v>0</v>
      </c>
      <c r="I9" s="57">
        <v>0</v>
      </c>
      <c r="J9" s="58">
        <v>0</v>
      </c>
      <c r="K9" s="57">
        <v>0</v>
      </c>
      <c r="L9" s="58">
        <v>0</v>
      </c>
      <c r="M9" s="57">
        <v>0</v>
      </c>
      <c r="N9" s="58">
        <v>0</v>
      </c>
      <c r="O9" s="57">
        <v>0</v>
      </c>
      <c r="P9" s="58">
        <v>0</v>
      </c>
      <c r="Q9" s="57">
        <v>0</v>
      </c>
      <c r="R9" s="58">
        <v>0</v>
      </c>
      <c r="S9" s="57">
        <v>0</v>
      </c>
      <c r="T9" s="58">
        <v>0</v>
      </c>
      <c r="U9" s="59">
        <v>0</v>
      </c>
      <c r="V9" s="58">
        <v>0</v>
      </c>
      <c r="W9" s="57">
        <v>0</v>
      </c>
      <c r="X9" s="58">
        <v>0</v>
      </c>
      <c r="Y9" s="57">
        <v>0</v>
      </c>
      <c r="Z9" s="58">
        <v>0</v>
      </c>
      <c r="AA9" s="57">
        <v>0</v>
      </c>
      <c r="AB9" s="58">
        <v>0</v>
      </c>
      <c r="AC9" s="60">
        <v>0</v>
      </c>
      <c r="AD9" s="58">
        <v>0</v>
      </c>
      <c r="AE9" s="60">
        <v>0</v>
      </c>
      <c r="AF9" s="58">
        <v>0</v>
      </c>
      <c r="AG9" s="60">
        <v>0</v>
      </c>
      <c r="AH9" s="58">
        <v>0</v>
      </c>
      <c r="AI9" s="60">
        <v>0</v>
      </c>
      <c r="AJ9" s="58">
        <v>0</v>
      </c>
      <c r="AK9" s="60">
        <v>0</v>
      </c>
      <c r="AL9" s="58">
        <v>0</v>
      </c>
      <c r="AM9" s="57">
        <v>0</v>
      </c>
      <c r="AN9" s="61">
        <v>0</v>
      </c>
      <c r="AO9" s="62">
        <f t="shared" si="0"/>
        <v>0</v>
      </c>
      <c r="AP9" s="63">
        <f t="shared" si="1"/>
        <v>0</v>
      </c>
      <c r="AQ9" s="63">
        <f t="shared" si="2"/>
        <v>0</v>
      </c>
      <c r="AR9" s="64">
        <f t="shared" si="3"/>
        <v>0</v>
      </c>
      <c r="AS9" s="65">
        <f t="shared" si="4"/>
        <v>0</v>
      </c>
      <c r="AT9" s="66">
        <f t="shared" si="5"/>
        <v>0</v>
      </c>
      <c r="AU9" s="66">
        <f t="shared" si="6"/>
        <v>0</v>
      </c>
      <c r="AV9" s="66">
        <f t="shared" si="7"/>
        <v>0</v>
      </c>
      <c r="AW9" s="66">
        <f t="shared" si="8"/>
        <v>0</v>
      </c>
      <c r="AX9" s="66">
        <f t="shared" si="9"/>
        <v>0</v>
      </c>
      <c r="AY9" s="62">
        <f t="shared" si="10"/>
        <v>0</v>
      </c>
      <c r="AZ9" s="67">
        <f t="shared" si="11"/>
        <v>0</v>
      </c>
      <c r="BA9" s="64">
        <f t="shared" si="12"/>
        <v>0</v>
      </c>
      <c r="BB9" s="65">
        <f t="shared" si="14"/>
        <v>0</v>
      </c>
      <c r="BC9" s="68">
        <f t="shared" si="15"/>
        <v>0</v>
      </c>
      <c r="BD9" s="68">
        <f t="shared" si="16"/>
        <v>0</v>
      </c>
      <c r="BE9" s="68">
        <f t="shared" si="17"/>
        <v>0</v>
      </c>
      <c r="BF9" s="68">
        <f t="shared" si="18"/>
        <v>0</v>
      </c>
      <c r="BG9" s="68">
        <f t="shared" si="19"/>
        <v>0</v>
      </c>
      <c r="BH9" s="68">
        <f t="shared" si="20"/>
        <v>0</v>
      </c>
      <c r="BI9" s="68">
        <f t="shared" si="21"/>
        <v>0</v>
      </c>
      <c r="BJ9" s="68">
        <f t="shared" si="22"/>
        <v>0</v>
      </c>
      <c r="BK9" s="68">
        <f t="shared" si="23"/>
        <v>0</v>
      </c>
      <c r="BL9" s="24">
        <f t="shared" si="13"/>
        <v>0</v>
      </c>
      <c r="BM9" s="111">
        <v>0</v>
      </c>
    </row>
    <row r="10" spans="1:65" x14ac:dyDescent="0.25">
      <c r="A10" s="57">
        <v>0</v>
      </c>
      <c r="B10" s="58">
        <v>0</v>
      </c>
      <c r="C10" s="57">
        <v>0</v>
      </c>
      <c r="D10" s="58">
        <v>0</v>
      </c>
      <c r="E10" s="57">
        <v>0</v>
      </c>
      <c r="F10" s="58">
        <v>0</v>
      </c>
      <c r="G10" s="57">
        <v>0</v>
      </c>
      <c r="H10" s="58">
        <v>0</v>
      </c>
      <c r="I10" s="57">
        <v>0</v>
      </c>
      <c r="J10" s="58">
        <v>0</v>
      </c>
      <c r="K10" s="57">
        <v>0</v>
      </c>
      <c r="L10" s="58">
        <v>0</v>
      </c>
      <c r="M10" s="57">
        <v>0</v>
      </c>
      <c r="N10" s="58">
        <v>0</v>
      </c>
      <c r="O10" s="57">
        <v>0</v>
      </c>
      <c r="P10" s="58">
        <v>0</v>
      </c>
      <c r="Q10" s="57">
        <v>0</v>
      </c>
      <c r="R10" s="58">
        <v>0</v>
      </c>
      <c r="S10" s="57">
        <v>0</v>
      </c>
      <c r="T10" s="58">
        <v>0</v>
      </c>
      <c r="U10" s="59">
        <v>0</v>
      </c>
      <c r="V10" s="58">
        <v>0</v>
      </c>
      <c r="W10" s="57">
        <v>0</v>
      </c>
      <c r="X10" s="58">
        <v>0</v>
      </c>
      <c r="Y10" s="57">
        <v>0</v>
      </c>
      <c r="Z10" s="58">
        <v>0</v>
      </c>
      <c r="AA10" s="57">
        <v>0</v>
      </c>
      <c r="AB10" s="58">
        <v>0</v>
      </c>
      <c r="AC10" s="60">
        <v>0</v>
      </c>
      <c r="AD10" s="58">
        <v>0</v>
      </c>
      <c r="AE10" s="60">
        <v>0</v>
      </c>
      <c r="AF10" s="58">
        <v>0</v>
      </c>
      <c r="AG10" s="60">
        <v>0</v>
      </c>
      <c r="AH10" s="58">
        <v>0</v>
      </c>
      <c r="AI10" s="60">
        <v>0</v>
      </c>
      <c r="AJ10" s="58">
        <v>0</v>
      </c>
      <c r="AK10" s="60">
        <v>0</v>
      </c>
      <c r="AL10" s="58">
        <v>0</v>
      </c>
      <c r="AM10" s="57">
        <v>0</v>
      </c>
      <c r="AN10" s="61">
        <v>0</v>
      </c>
      <c r="AO10" s="62">
        <f t="shared" si="0"/>
        <v>0</v>
      </c>
      <c r="AP10" s="63">
        <f t="shared" si="1"/>
        <v>0</v>
      </c>
      <c r="AQ10" s="63">
        <f t="shared" si="2"/>
        <v>0</v>
      </c>
      <c r="AR10" s="64">
        <f t="shared" si="3"/>
        <v>0</v>
      </c>
      <c r="AS10" s="65">
        <f t="shared" si="4"/>
        <v>0</v>
      </c>
      <c r="AT10" s="66">
        <f t="shared" si="5"/>
        <v>0</v>
      </c>
      <c r="AU10" s="66">
        <f t="shared" si="6"/>
        <v>0</v>
      </c>
      <c r="AV10" s="66">
        <f t="shared" si="7"/>
        <v>0</v>
      </c>
      <c r="AW10" s="66">
        <f t="shared" si="8"/>
        <v>0</v>
      </c>
      <c r="AX10" s="66">
        <f t="shared" si="9"/>
        <v>0</v>
      </c>
      <c r="AY10" s="62">
        <f t="shared" si="10"/>
        <v>0</v>
      </c>
      <c r="AZ10" s="67">
        <f t="shared" si="11"/>
        <v>0</v>
      </c>
      <c r="BA10" s="64">
        <f t="shared" si="12"/>
        <v>0</v>
      </c>
      <c r="BB10" s="65">
        <f t="shared" si="14"/>
        <v>0</v>
      </c>
      <c r="BC10" s="68">
        <f t="shared" si="15"/>
        <v>0</v>
      </c>
      <c r="BD10" s="68">
        <f t="shared" si="16"/>
        <v>0</v>
      </c>
      <c r="BE10" s="68">
        <f t="shared" si="17"/>
        <v>0</v>
      </c>
      <c r="BF10" s="68">
        <f t="shared" si="18"/>
        <v>0</v>
      </c>
      <c r="BG10" s="68">
        <f t="shared" si="19"/>
        <v>0</v>
      </c>
      <c r="BH10" s="68">
        <f t="shared" si="20"/>
        <v>0</v>
      </c>
      <c r="BI10" s="68">
        <f t="shared" si="21"/>
        <v>0</v>
      </c>
      <c r="BJ10" s="68">
        <f t="shared" si="22"/>
        <v>0</v>
      </c>
      <c r="BK10" s="68">
        <f t="shared" si="23"/>
        <v>0</v>
      </c>
      <c r="BL10" s="24">
        <f t="shared" si="13"/>
        <v>0</v>
      </c>
      <c r="BM10" s="111">
        <v>0</v>
      </c>
    </row>
    <row r="11" spans="1:65" x14ac:dyDescent="0.25">
      <c r="A11" s="57">
        <v>0</v>
      </c>
      <c r="B11" s="58">
        <v>0</v>
      </c>
      <c r="C11" s="57">
        <v>0</v>
      </c>
      <c r="D11" s="58">
        <v>0</v>
      </c>
      <c r="E11" s="57">
        <v>0</v>
      </c>
      <c r="F11" s="58">
        <v>0</v>
      </c>
      <c r="G11" s="57">
        <v>0</v>
      </c>
      <c r="H11" s="58">
        <v>0</v>
      </c>
      <c r="I11" s="57">
        <v>0</v>
      </c>
      <c r="J11" s="58">
        <v>0</v>
      </c>
      <c r="K11" s="57">
        <v>0</v>
      </c>
      <c r="L11" s="58">
        <v>0</v>
      </c>
      <c r="M11" s="57">
        <v>0</v>
      </c>
      <c r="N11" s="58">
        <v>0</v>
      </c>
      <c r="O11" s="57">
        <v>0</v>
      </c>
      <c r="P11" s="58">
        <v>0</v>
      </c>
      <c r="Q11" s="57">
        <v>0</v>
      </c>
      <c r="R11" s="58">
        <v>0</v>
      </c>
      <c r="S11" s="57">
        <v>0</v>
      </c>
      <c r="T11" s="58">
        <v>0</v>
      </c>
      <c r="U11" s="59">
        <v>0</v>
      </c>
      <c r="V11" s="58">
        <v>0</v>
      </c>
      <c r="W11" s="57">
        <v>0</v>
      </c>
      <c r="X11" s="58">
        <v>0</v>
      </c>
      <c r="Y11" s="57">
        <v>0</v>
      </c>
      <c r="Z11" s="58">
        <v>0</v>
      </c>
      <c r="AA11" s="57">
        <v>0</v>
      </c>
      <c r="AB11" s="58">
        <v>0</v>
      </c>
      <c r="AC11" s="60">
        <v>0</v>
      </c>
      <c r="AD11" s="58">
        <v>0</v>
      </c>
      <c r="AE11" s="60">
        <v>0</v>
      </c>
      <c r="AF11" s="58">
        <v>0</v>
      </c>
      <c r="AG11" s="60">
        <v>0</v>
      </c>
      <c r="AH11" s="58">
        <v>0</v>
      </c>
      <c r="AI11" s="60">
        <v>0</v>
      </c>
      <c r="AJ11" s="58">
        <v>0</v>
      </c>
      <c r="AK11" s="60">
        <v>0</v>
      </c>
      <c r="AL11" s="58">
        <v>0</v>
      </c>
      <c r="AM11" s="57">
        <v>0</v>
      </c>
      <c r="AN11" s="61">
        <v>0</v>
      </c>
      <c r="AO11" s="62">
        <f t="shared" si="0"/>
        <v>0</v>
      </c>
      <c r="AP11" s="63">
        <f t="shared" si="1"/>
        <v>0</v>
      </c>
      <c r="AQ11" s="63">
        <f t="shared" si="2"/>
        <v>0</v>
      </c>
      <c r="AR11" s="64">
        <f t="shared" si="3"/>
        <v>0</v>
      </c>
      <c r="AS11" s="65">
        <f t="shared" si="4"/>
        <v>0</v>
      </c>
      <c r="AT11" s="66">
        <f t="shared" si="5"/>
        <v>0</v>
      </c>
      <c r="AU11" s="66">
        <f t="shared" si="6"/>
        <v>0</v>
      </c>
      <c r="AV11" s="66">
        <f t="shared" si="7"/>
        <v>0</v>
      </c>
      <c r="AW11" s="66">
        <f t="shared" si="8"/>
        <v>0</v>
      </c>
      <c r="AX11" s="66">
        <f t="shared" si="9"/>
        <v>0</v>
      </c>
      <c r="AY11" s="62">
        <f t="shared" si="10"/>
        <v>0</v>
      </c>
      <c r="AZ11" s="67">
        <f t="shared" si="11"/>
        <v>0</v>
      </c>
      <c r="BA11" s="64">
        <f t="shared" si="12"/>
        <v>0</v>
      </c>
      <c r="BB11" s="65">
        <f t="shared" si="14"/>
        <v>0</v>
      </c>
      <c r="BC11" s="68">
        <f t="shared" si="15"/>
        <v>0</v>
      </c>
      <c r="BD11" s="68">
        <f t="shared" si="16"/>
        <v>0</v>
      </c>
      <c r="BE11" s="68">
        <f t="shared" si="17"/>
        <v>0</v>
      </c>
      <c r="BF11" s="68">
        <f t="shared" si="18"/>
        <v>0</v>
      </c>
      <c r="BG11" s="68">
        <f t="shared" si="19"/>
        <v>0</v>
      </c>
      <c r="BH11" s="68">
        <f t="shared" si="20"/>
        <v>0</v>
      </c>
      <c r="BI11" s="68">
        <f t="shared" si="21"/>
        <v>0</v>
      </c>
      <c r="BJ11" s="68">
        <f t="shared" si="22"/>
        <v>0</v>
      </c>
      <c r="BK11" s="68">
        <f t="shared" si="23"/>
        <v>0</v>
      </c>
      <c r="BL11" s="24">
        <f t="shared" si="13"/>
        <v>0</v>
      </c>
      <c r="BM11" s="111">
        <v>0</v>
      </c>
    </row>
    <row r="12" spans="1:65" x14ac:dyDescent="0.25">
      <c r="A12" s="57">
        <v>0</v>
      </c>
      <c r="B12" s="58">
        <v>0</v>
      </c>
      <c r="C12" s="57">
        <v>0</v>
      </c>
      <c r="D12" s="58">
        <v>0</v>
      </c>
      <c r="E12" s="57">
        <v>0</v>
      </c>
      <c r="F12" s="58">
        <v>0</v>
      </c>
      <c r="G12" s="57">
        <v>0</v>
      </c>
      <c r="H12" s="58">
        <v>0</v>
      </c>
      <c r="I12" s="57">
        <v>0</v>
      </c>
      <c r="J12" s="58">
        <v>0</v>
      </c>
      <c r="K12" s="57">
        <v>0</v>
      </c>
      <c r="L12" s="58">
        <v>0</v>
      </c>
      <c r="M12" s="57">
        <v>0</v>
      </c>
      <c r="N12" s="58">
        <v>0</v>
      </c>
      <c r="O12" s="57">
        <v>0</v>
      </c>
      <c r="P12" s="58">
        <v>0</v>
      </c>
      <c r="Q12" s="57">
        <v>0</v>
      </c>
      <c r="R12" s="58">
        <v>0</v>
      </c>
      <c r="S12" s="57">
        <v>0</v>
      </c>
      <c r="T12" s="58">
        <v>0</v>
      </c>
      <c r="U12" s="59">
        <v>0</v>
      </c>
      <c r="V12" s="58">
        <v>0</v>
      </c>
      <c r="W12" s="57">
        <v>0</v>
      </c>
      <c r="X12" s="58">
        <v>0</v>
      </c>
      <c r="Y12" s="57">
        <v>0</v>
      </c>
      <c r="Z12" s="58">
        <v>0</v>
      </c>
      <c r="AA12" s="57">
        <v>0</v>
      </c>
      <c r="AB12" s="58">
        <v>0</v>
      </c>
      <c r="AC12" s="60">
        <v>0</v>
      </c>
      <c r="AD12" s="58">
        <v>0</v>
      </c>
      <c r="AE12" s="60">
        <v>0</v>
      </c>
      <c r="AF12" s="58">
        <v>0</v>
      </c>
      <c r="AG12" s="60">
        <v>0</v>
      </c>
      <c r="AH12" s="58">
        <v>0</v>
      </c>
      <c r="AI12" s="60">
        <v>0</v>
      </c>
      <c r="AJ12" s="58">
        <v>0</v>
      </c>
      <c r="AK12" s="60">
        <v>0</v>
      </c>
      <c r="AL12" s="58">
        <v>0</v>
      </c>
      <c r="AM12" s="57">
        <v>0</v>
      </c>
      <c r="AN12" s="61">
        <v>0</v>
      </c>
      <c r="AO12" s="62">
        <f t="shared" si="0"/>
        <v>0</v>
      </c>
      <c r="AP12" s="63">
        <f t="shared" si="1"/>
        <v>0</v>
      </c>
      <c r="AQ12" s="63">
        <f t="shared" si="2"/>
        <v>0</v>
      </c>
      <c r="AR12" s="64">
        <f t="shared" si="3"/>
        <v>0</v>
      </c>
      <c r="AS12" s="65">
        <f t="shared" si="4"/>
        <v>0</v>
      </c>
      <c r="AT12" s="66">
        <f t="shared" si="5"/>
        <v>0</v>
      </c>
      <c r="AU12" s="66">
        <f t="shared" si="6"/>
        <v>0</v>
      </c>
      <c r="AV12" s="66">
        <f t="shared" si="7"/>
        <v>0</v>
      </c>
      <c r="AW12" s="66">
        <f t="shared" si="8"/>
        <v>0</v>
      </c>
      <c r="AX12" s="66">
        <f t="shared" si="9"/>
        <v>0</v>
      </c>
      <c r="AY12" s="62">
        <f t="shared" si="10"/>
        <v>0</v>
      </c>
      <c r="AZ12" s="67">
        <f t="shared" si="11"/>
        <v>0</v>
      </c>
      <c r="BA12" s="64">
        <f t="shared" si="12"/>
        <v>0</v>
      </c>
      <c r="BB12" s="65">
        <f t="shared" si="14"/>
        <v>0</v>
      </c>
      <c r="BC12" s="68">
        <f t="shared" si="15"/>
        <v>0</v>
      </c>
      <c r="BD12" s="68">
        <f t="shared" si="16"/>
        <v>0</v>
      </c>
      <c r="BE12" s="68">
        <f t="shared" si="17"/>
        <v>0</v>
      </c>
      <c r="BF12" s="68">
        <f t="shared" si="18"/>
        <v>0</v>
      </c>
      <c r="BG12" s="68">
        <f t="shared" si="19"/>
        <v>0</v>
      </c>
      <c r="BH12" s="68">
        <f t="shared" si="20"/>
        <v>0</v>
      </c>
      <c r="BI12" s="68">
        <f t="shared" si="21"/>
        <v>0</v>
      </c>
      <c r="BJ12" s="68">
        <f t="shared" si="22"/>
        <v>0</v>
      </c>
      <c r="BK12" s="68">
        <f t="shared" si="23"/>
        <v>0</v>
      </c>
      <c r="BL12" s="24">
        <f t="shared" si="13"/>
        <v>0</v>
      </c>
      <c r="BM12" s="111">
        <v>0</v>
      </c>
    </row>
    <row r="13" spans="1:65" x14ac:dyDescent="0.25">
      <c r="A13" s="57">
        <v>0</v>
      </c>
      <c r="B13" s="58">
        <v>0</v>
      </c>
      <c r="C13" s="57">
        <v>0</v>
      </c>
      <c r="D13" s="58">
        <v>0</v>
      </c>
      <c r="E13" s="57">
        <v>0</v>
      </c>
      <c r="F13" s="58">
        <v>0</v>
      </c>
      <c r="G13" s="57">
        <v>0</v>
      </c>
      <c r="H13" s="58">
        <v>0</v>
      </c>
      <c r="I13" s="57">
        <v>0</v>
      </c>
      <c r="J13" s="58">
        <v>0</v>
      </c>
      <c r="K13" s="57">
        <v>0</v>
      </c>
      <c r="L13" s="58">
        <v>0</v>
      </c>
      <c r="M13" s="57">
        <v>0</v>
      </c>
      <c r="N13" s="58">
        <v>0</v>
      </c>
      <c r="O13" s="57">
        <v>0</v>
      </c>
      <c r="P13" s="58">
        <v>0</v>
      </c>
      <c r="Q13" s="57">
        <v>0</v>
      </c>
      <c r="R13" s="58">
        <v>0</v>
      </c>
      <c r="S13" s="57">
        <v>0</v>
      </c>
      <c r="T13" s="58">
        <v>0</v>
      </c>
      <c r="U13" s="59">
        <v>0</v>
      </c>
      <c r="V13" s="58">
        <v>0</v>
      </c>
      <c r="W13" s="57">
        <v>0</v>
      </c>
      <c r="X13" s="58">
        <v>0</v>
      </c>
      <c r="Y13" s="57">
        <v>0</v>
      </c>
      <c r="Z13" s="58">
        <v>0</v>
      </c>
      <c r="AA13" s="57">
        <v>0</v>
      </c>
      <c r="AB13" s="58">
        <v>0</v>
      </c>
      <c r="AC13" s="60">
        <v>0</v>
      </c>
      <c r="AD13" s="58">
        <v>0</v>
      </c>
      <c r="AE13" s="60">
        <v>0</v>
      </c>
      <c r="AF13" s="58">
        <v>0</v>
      </c>
      <c r="AG13" s="60">
        <v>0</v>
      </c>
      <c r="AH13" s="58">
        <v>0</v>
      </c>
      <c r="AI13" s="60">
        <v>0</v>
      </c>
      <c r="AJ13" s="58">
        <v>0</v>
      </c>
      <c r="AK13" s="60">
        <v>0</v>
      </c>
      <c r="AL13" s="58">
        <v>0</v>
      </c>
      <c r="AM13" s="57">
        <v>0</v>
      </c>
      <c r="AN13" s="61">
        <v>0</v>
      </c>
      <c r="AO13" s="62">
        <f t="shared" si="0"/>
        <v>0</v>
      </c>
      <c r="AP13" s="63">
        <f t="shared" si="1"/>
        <v>0</v>
      </c>
      <c r="AQ13" s="63">
        <f t="shared" si="2"/>
        <v>0</v>
      </c>
      <c r="AR13" s="64">
        <f t="shared" si="3"/>
        <v>0</v>
      </c>
      <c r="AS13" s="65">
        <f t="shared" si="4"/>
        <v>0</v>
      </c>
      <c r="AT13" s="66">
        <f t="shared" si="5"/>
        <v>0</v>
      </c>
      <c r="AU13" s="66">
        <f t="shared" si="6"/>
        <v>0</v>
      </c>
      <c r="AV13" s="66">
        <f t="shared" si="7"/>
        <v>0</v>
      </c>
      <c r="AW13" s="66">
        <f t="shared" si="8"/>
        <v>0</v>
      </c>
      <c r="AX13" s="66">
        <f t="shared" si="9"/>
        <v>0</v>
      </c>
      <c r="AY13" s="62">
        <f t="shared" si="10"/>
        <v>0</v>
      </c>
      <c r="AZ13" s="67">
        <f t="shared" si="11"/>
        <v>0</v>
      </c>
      <c r="BA13" s="64">
        <f t="shared" si="12"/>
        <v>0</v>
      </c>
      <c r="BB13" s="65">
        <f t="shared" si="14"/>
        <v>0</v>
      </c>
      <c r="BC13" s="68">
        <f t="shared" si="15"/>
        <v>0</v>
      </c>
      <c r="BD13" s="68">
        <f t="shared" si="16"/>
        <v>0</v>
      </c>
      <c r="BE13" s="68">
        <f t="shared" si="17"/>
        <v>0</v>
      </c>
      <c r="BF13" s="68">
        <f t="shared" si="18"/>
        <v>0</v>
      </c>
      <c r="BG13" s="68">
        <f t="shared" si="19"/>
        <v>0</v>
      </c>
      <c r="BH13" s="68">
        <f t="shared" si="20"/>
        <v>0</v>
      </c>
      <c r="BI13" s="68">
        <f t="shared" si="21"/>
        <v>0</v>
      </c>
      <c r="BJ13" s="68">
        <f t="shared" si="22"/>
        <v>0</v>
      </c>
      <c r="BK13" s="68">
        <f t="shared" si="23"/>
        <v>0</v>
      </c>
      <c r="BL13" s="24">
        <f t="shared" si="13"/>
        <v>0</v>
      </c>
      <c r="BM13" s="111">
        <v>0</v>
      </c>
    </row>
    <row r="14" spans="1:65" x14ac:dyDescent="0.25">
      <c r="A14" s="57">
        <v>0</v>
      </c>
      <c r="B14" s="58">
        <v>0</v>
      </c>
      <c r="C14" s="57">
        <v>0</v>
      </c>
      <c r="D14" s="58">
        <v>0</v>
      </c>
      <c r="E14" s="57">
        <v>0</v>
      </c>
      <c r="F14" s="58">
        <v>0</v>
      </c>
      <c r="G14" s="57">
        <v>0</v>
      </c>
      <c r="H14" s="58">
        <v>0</v>
      </c>
      <c r="I14" s="57">
        <v>0</v>
      </c>
      <c r="J14" s="58">
        <v>0</v>
      </c>
      <c r="K14" s="57">
        <v>0</v>
      </c>
      <c r="L14" s="58">
        <v>0</v>
      </c>
      <c r="M14" s="57">
        <v>0</v>
      </c>
      <c r="N14" s="58">
        <v>0</v>
      </c>
      <c r="O14" s="57">
        <v>0</v>
      </c>
      <c r="P14" s="58">
        <v>0</v>
      </c>
      <c r="Q14" s="57">
        <v>0</v>
      </c>
      <c r="R14" s="58">
        <v>0</v>
      </c>
      <c r="S14" s="57">
        <v>0</v>
      </c>
      <c r="T14" s="58">
        <v>0</v>
      </c>
      <c r="U14" s="59">
        <v>0</v>
      </c>
      <c r="V14" s="58">
        <v>0</v>
      </c>
      <c r="W14" s="57">
        <v>0</v>
      </c>
      <c r="X14" s="58">
        <v>0</v>
      </c>
      <c r="Y14" s="57">
        <v>0</v>
      </c>
      <c r="Z14" s="58">
        <v>0</v>
      </c>
      <c r="AA14" s="57">
        <v>0</v>
      </c>
      <c r="AB14" s="58">
        <v>0</v>
      </c>
      <c r="AC14" s="60">
        <v>0</v>
      </c>
      <c r="AD14" s="58">
        <v>0</v>
      </c>
      <c r="AE14" s="60">
        <v>0</v>
      </c>
      <c r="AF14" s="58">
        <v>0</v>
      </c>
      <c r="AG14" s="60">
        <v>0</v>
      </c>
      <c r="AH14" s="58">
        <v>0</v>
      </c>
      <c r="AI14" s="60">
        <v>0</v>
      </c>
      <c r="AJ14" s="58">
        <v>0</v>
      </c>
      <c r="AK14" s="60">
        <v>0</v>
      </c>
      <c r="AL14" s="58">
        <v>0</v>
      </c>
      <c r="AM14" s="57">
        <v>0</v>
      </c>
      <c r="AN14" s="61">
        <v>0</v>
      </c>
      <c r="AO14" s="62">
        <f t="shared" si="0"/>
        <v>0</v>
      </c>
      <c r="AP14" s="63">
        <f t="shared" si="1"/>
        <v>0</v>
      </c>
      <c r="AQ14" s="63">
        <f t="shared" si="2"/>
        <v>0</v>
      </c>
      <c r="AR14" s="64">
        <f t="shared" si="3"/>
        <v>0</v>
      </c>
      <c r="AS14" s="65">
        <f t="shared" si="4"/>
        <v>0</v>
      </c>
      <c r="AT14" s="66">
        <f t="shared" si="5"/>
        <v>0</v>
      </c>
      <c r="AU14" s="66">
        <f t="shared" si="6"/>
        <v>0</v>
      </c>
      <c r="AV14" s="66">
        <f t="shared" si="7"/>
        <v>0</v>
      </c>
      <c r="AW14" s="66">
        <f t="shared" si="8"/>
        <v>0</v>
      </c>
      <c r="AX14" s="66">
        <f t="shared" si="9"/>
        <v>0</v>
      </c>
      <c r="AY14" s="62">
        <f t="shared" si="10"/>
        <v>0</v>
      </c>
      <c r="AZ14" s="67">
        <f t="shared" si="11"/>
        <v>0</v>
      </c>
      <c r="BA14" s="64">
        <f t="shared" si="12"/>
        <v>0</v>
      </c>
      <c r="BB14" s="65">
        <f t="shared" si="14"/>
        <v>0</v>
      </c>
      <c r="BC14" s="68">
        <f t="shared" si="15"/>
        <v>0</v>
      </c>
      <c r="BD14" s="68">
        <f t="shared" si="16"/>
        <v>0</v>
      </c>
      <c r="BE14" s="68">
        <f t="shared" si="17"/>
        <v>0</v>
      </c>
      <c r="BF14" s="68">
        <f t="shared" si="18"/>
        <v>0</v>
      </c>
      <c r="BG14" s="68">
        <f t="shared" si="19"/>
        <v>0</v>
      </c>
      <c r="BH14" s="68">
        <f t="shared" si="20"/>
        <v>0</v>
      </c>
      <c r="BI14" s="68">
        <f t="shared" si="21"/>
        <v>0</v>
      </c>
      <c r="BJ14" s="68">
        <f t="shared" si="22"/>
        <v>0</v>
      </c>
      <c r="BK14" s="68">
        <f t="shared" si="23"/>
        <v>0</v>
      </c>
      <c r="BL14" s="24">
        <f t="shared" si="13"/>
        <v>0</v>
      </c>
      <c r="BM14" s="111">
        <v>0</v>
      </c>
    </row>
    <row r="15" spans="1:65" x14ac:dyDescent="0.25">
      <c r="A15" s="57">
        <v>0</v>
      </c>
      <c r="B15" s="58">
        <v>0</v>
      </c>
      <c r="C15" s="57">
        <v>0</v>
      </c>
      <c r="D15" s="58">
        <v>0</v>
      </c>
      <c r="E15" s="57">
        <v>0</v>
      </c>
      <c r="F15" s="58">
        <v>0</v>
      </c>
      <c r="G15" s="57">
        <v>0</v>
      </c>
      <c r="H15" s="58">
        <v>0</v>
      </c>
      <c r="I15" s="57">
        <v>0</v>
      </c>
      <c r="J15" s="58">
        <v>0</v>
      </c>
      <c r="K15" s="57">
        <v>0</v>
      </c>
      <c r="L15" s="58">
        <v>0</v>
      </c>
      <c r="M15" s="57">
        <v>0</v>
      </c>
      <c r="N15" s="58">
        <v>0</v>
      </c>
      <c r="O15" s="57">
        <v>0</v>
      </c>
      <c r="P15" s="58">
        <v>0</v>
      </c>
      <c r="Q15" s="57">
        <v>0</v>
      </c>
      <c r="R15" s="58">
        <v>0</v>
      </c>
      <c r="S15" s="57">
        <v>0</v>
      </c>
      <c r="T15" s="58">
        <v>0</v>
      </c>
      <c r="U15" s="59">
        <v>0</v>
      </c>
      <c r="V15" s="58">
        <v>0</v>
      </c>
      <c r="W15" s="57">
        <v>0</v>
      </c>
      <c r="X15" s="58">
        <v>0</v>
      </c>
      <c r="Y15" s="57">
        <v>0</v>
      </c>
      <c r="Z15" s="58">
        <v>0</v>
      </c>
      <c r="AA15" s="57">
        <v>0</v>
      </c>
      <c r="AB15" s="58">
        <v>0</v>
      </c>
      <c r="AC15" s="60">
        <v>0</v>
      </c>
      <c r="AD15" s="58">
        <v>0</v>
      </c>
      <c r="AE15" s="60">
        <v>0</v>
      </c>
      <c r="AF15" s="58">
        <v>0</v>
      </c>
      <c r="AG15" s="60">
        <v>0</v>
      </c>
      <c r="AH15" s="58">
        <v>0</v>
      </c>
      <c r="AI15" s="60">
        <v>0</v>
      </c>
      <c r="AJ15" s="58">
        <v>0</v>
      </c>
      <c r="AK15" s="60">
        <v>0</v>
      </c>
      <c r="AL15" s="58">
        <v>0</v>
      </c>
      <c r="AM15" s="57">
        <v>0</v>
      </c>
      <c r="AN15" s="61">
        <v>0</v>
      </c>
      <c r="AO15" s="62">
        <f t="shared" si="0"/>
        <v>0</v>
      </c>
      <c r="AP15" s="63">
        <f t="shared" si="1"/>
        <v>0</v>
      </c>
      <c r="AQ15" s="63">
        <f t="shared" si="2"/>
        <v>0</v>
      </c>
      <c r="AR15" s="64">
        <f t="shared" si="3"/>
        <v>0</v>
      </c>
      <c r="AS15" s="65">
        <f t="shared" si="4"/>
        <v>0</v>
      </c>
      <c r="AT15" s="66">
        <f t="shared" si="5"/>
        <v>0</v>
      </c>
      <c r="AU15" s="66">
        <f t="shared" si="6"/>
        <v>0</v>
      </c>
      <c r="AV15" s="66">
        <f t="shared" si="7"/>
        <v>0</v>
      </c>
      <c r="AW15" s="66">
        <f t="shared" si="8"/>
        <v>0</v>
      </c>
      <c r="AX15" s="66">
        <f t="shared" si="9"/>
        <v>0</v>
      </c>
      <c r="AY15" s="62">
        <f t="shared" si="10"/>
        <v>0</v>
      </c>
      <c r="AZ15" s="67">
        <f t="shared" si="11"/>
        <v>0</v>
      </c>
      <c r="BA15" s="64">
        <f t="shared" si="12"/>
        <v>0</v>
      </c>
      <c r="BB15" s="65">
        <f t="shared" si="14"/>
        <v>0</v>
      </c>
      <c r="BC15" s="68">
        <f t="shared" si="15"/>
        <v>0</v>
      </c>
      <c r="BD15" s="68">
        <f t="shared" si="16"/>
        <v>0</v>
      </c>
      <c r="BE15" s="68">
        <f t="shared" si="17"/>
        <v>0</v>
      </c>
      <c r="BF15" s="68">
        <f t="shared" si="18"/>
        <v>0</v>
      </c>
      <c r="BG15" s="68">
        <f t="shared" si="19"/>
        <v>0</v>
      </c>
      <c r="BH15" s="68">
        <f t="shared" si="20"/>
        <v>0</v>
      </c>
      <c r="BI15" s="68">
        <f t="shared" si="21"/>
        <v>0</v>
      </c>
      <c r="BJ15" s="68">
        <f t="shared" si="22"/>
        <v>0</v>
      </c>
      <c r="BK15" s="68">
        <f t="shared" si="23"/>
        <v>0</v>
      </c>
      <c r="BL15" s="24">
        <f t="shared" si="13"/>
        <v>0</v>
      </c>
      <c r="BM15" s="111">
        <v>0</v>
      </c>
    </row>
    <row r="16" spans="1:65" x14ac:dyDescent="0.25">
      <c r="A16" s="57">
        <v>0</v>
      </c>
      <c r="B16" s="58">
        <v>0</v>
      </c>
      <c r="C16" s="57">
        <v>0</v>
      </c>
      <c r="D16" s="58">
        <v>0</v>
      </c>
      <c r="E16" s="57">
        <v>0</v>
      </c>
      <c r="F16" s="58">
        <v>0</v>
      </c>
      <c r="G16" s="57">
        <v>0</v>
      </c>
      <c r="H16" s="58">
        <v>0</v>
      </c>
      <c r="I16" s="57">
        <v>0</v>
      </c>
      <c r="J16" s="58">
        <v>0</v>
      </c>
      <c r="K16" s="57">
        <v>0</v>
      </c>
      <c r="L16" s="58">
        <v>0</v>
      </c>
      <c r="M16" s="57">
        <v>0</v>
      </c>
      <c r="N16" s="58">
        <v>0</v>
      </c>
      <c r="O16" s="57">
        <v>0</v>
      </c>
      <c r="P16" s="58">
        <v>0</v>
      </c>
      <c r="Q16" s="57">
        <v>0</v>
      </c>
      <c r="R16" s="58">
        <v>0</v>
      </c>
      <c r="S16" s="57">
        <v>0</v>
      </c>
      <c r="T16" s="58">
        <v>0</v>
      </c>
      <c r="U16" s="59">
        <v>0</v>
      </c>
      <c r="V16" s="58">
        <v>0</v>
      </c>
      <c r="W16" s="57">
        <v>0</v>
      </c>
      <c r="X16" s="58">
        <v>0</v>
      </c>
      <c r="Y16" s="57">
        <v>0</v>
      </c>
      <c r="Z16" s="58">
        <v>0</v>
      </c>
      <c r="AA16" s="57">
        <v>0</v>
      </c>
      <c r="AB16" s="58">
        <v>0</v>
      </c>
      <c r="AC16" s="60">
        <v>0</v>
      </c>
      <c r="AD16" s="58">
        <v>0</v>
      </c>
      <c r="AE16" s="60">
        <v>0</v>
      </c>
      <c r="AF16" s="58">
        <v>0</v>
      </c>
      <c r="AG16" s="60">
        <v>0</v>
      </c>
      <c r="AH16" s="58">
        <v>0</v>
      </c>
      <c r="AI16" s="60">
        <v>0</v>
      </c>
      <c r="AJ16" s="58">
        <v>0</v>
      </c>
      <c r="AK16" s="60">
        <v>0</v>
      </c>
      <c r="AL16" s="58">
        <v>0</v>
      </c>
      <c r="AM16" s="57">
        <v>0</v>
      </c>
      <c r="AN16" s="61">
        <v>0</v>
      </c>
      <c r="AO16" s="62">
        <f t="shared" si="0"/>
        <v>0</v>
      </c>
      <c r="AP16" s="63">
        <f t="shared" si="1"/>
        <v>0</v>
      </c>
      <c r="AQ16" s="63">
        <f t="shared" si="2"/>
        <v>0</v>
      </c>
      <c r="AR16" s="64">
        <f t="shared" si="3"/>
        <v>0</v>
      </c>
      <c r="AS16" s="65">
        <f t="shared" si="4"/>
        <v>0</v>
      </c>
      <c r="AT16" s="66">
        <f t="shared" si="5"/>
        <v>0</v>
      </c>
      <c r="AU16" s="66">
        <f t="shared" si="6"/>
        <v>0</v>
      </c>
      <c r="AV16" s="66">
        <f t="shared" si="7"/>
        <v>0</v>
      </c>
      <c r="AW16" s="66">
        <f t="shared" si="8"/>
        <v>0</v>
      </c>
      <c r="AX16" s="66">
        <f t="shared" si="9"/>
        <v>0</v>
      </c>
      <c r="AY16" s="62">
        <f t="shared" si="10"/>
        <v>0</v>
      </c>
      <c r="AZ16" s="67">
        <f t="shared" si="11"/>
        <v>0</v>
      </c>
      <c r="BA16" s="64">
        <f t="shared" si="12"/>
        <v>0</v>
      </c>
      <c r="BB16" s="65">
        <f t="shared" si="14"/>
        <v>0</v>
      </c>
      <c r="BC16" s="68">
        <f t="shared" si="15"/>
        <v>0</v>
      </c>
      <c r="BD16" s="68">
        <f t="shared" si="16"/>
        <v>0</v>
      </c>
      <c r="BE16" s="68">
        <f t="shared" si="17"/>
        <v>0</v>
      </c>
      <c r="BF16" s="68">
        <f t="shared" si="18"/>
        <v>0</v>
      </c>
      <c r="BG16" s="68">
        <f t="shared" si="19"/>
        <v>0</v>
      </c>
      <c r="BH16" s="68">
        <f t="shared" si="20"/>
        <v>0</v>
      </c>
      <c r="BI16" s="68">
        <f t="shared" si="21"/>
        <v>0</v>
      </c>
      <c r="BJ16" s="68">
        <f t="shared" si="22"/>
        <v>0</v>
      </c>
      <c r="BK16" s="68">
        <f t="shared" si="23"/>
        <v>0</v>
      </c>
      <c r="BL16" s="24">
        <f t="shared" si="13"/>
        <v>0</v>
      </c>
      <c r="BM16" s="111">
        <v>0</v>
      </c>
    </row>
    <row r="17" spans="1:65" x14ac:dyDescent="0.25">
      <c r="A17" s="57">
        <v>0</v>
      </c>
      <c r="B17" s="58">
        <v>0</v>
      </c>
      <c r="C17" s="57">
        <v>0</v>
      </c>
      <c r="D17" s="58">
        <v>0</v>
      </c>
      <c r="E17" s="57">
        <v>0</v>
      </c>
      <c r="F17" s="58">
        <v>0</v>
      </c>
      <c r="G17" s="57">
        <v>0</v>
      </c>
      <c r="H17" s="58">
        <v>0</v>
      </c>
      <c r="I17" s="57">
        <v>0</v>
      </c>
      <c r="J17" s="58">
        <v>0</v>
      </c>
      <c r="K17" s="57">
        <v>0</v>
      </c>
      <c r="L17" s="58">
        <v>0</v>
      </c>
      <c r="M17" s="57">
        <v>0</v>
      </c>
      <c r="N17" s="58">
        <v>0</v>
      </c>
      <c r="O17" s="57">
        <v>0</v>
      </c>
      <c r="P17" s="58">
        <v>0</v>
      </c>
      <c r="Q17" s="57">
        <v>0</v>
      </c>
      <c r="R17" s="58">
        <v>0</v>
      </c>
      <c r="S17" s="57">
        <v>0</v>
      </c>
      <c r="T17" s="58">
        <v>0</v>
      </c>
      <c r="U17" s="59">
        <v>0</v>
      </c>
      <c r="V17" s="58">
        <v>0</v>
      </c>
      <c r="W17" s="57">
        <v>0</v>
      </c>
      <c r="X17" s="58">
        <v>0</v>
      </c>
      <c r="Y17" s="57">
        <v>0</v>
      </c>
      <c r="Z17" s="58">
        <v>0</v>
      </c>
      <c r="AA17" s="57">
        <v>0</v>
      </c>
      <c r="AB17" s="58">
        <v>0</v>
      </c>
      <c r="AC17" s="60">
        <v>0</v>
      </c>
      <c r="AD17" s="58">
        <v>0</v>
      </c>
      <c r="AE17" s="60">
        <v>0</v>
      </c>
      <c r="AF17" s="58">
        <v>0</v>
      </c>
      <c r="AG17" s="60">
        <v>0</v>
      </c>
      <c r="AH17" s="58">
        <v>0</v>
      </c>
      <c r="AI17" s="60">
        <v>0</v>
      </c>
      <c r="AJ17" s="58">
        <v>0</v>
      </c>
      <c r="AK17" s="60">
        <v>0</v>
      </c>
      <c r="AL17" s="58">
        <v>0</v>
      </c>
      <c r="AM17" s="57">
        <v>0</v>
      </c>
      <c r="AN17" s="61">
        <v>0</v>
      </c>
      <c r="AO17" s="62">
        <f t="shared" si="0"/>
        <v>0</v>
      </c>
      <c r="AP17" s="63">
        <f t="shared" si="1"/>
        <v>0</v>
      </c>
      <c r="AQ17" s="63">
        <f t="shared" si="2"/>
        <v>0</v>
      </c>
      <c r="AR17" s="64">
        <f t="shared" si="3"/>
        <v>0</v>
      </c>
      <c r="AS17" s="65">
        <f t="shared" si="4"/>
        <v>0</v>
      </c>
      <c r="AT17" s="66">
        <f t="shared" si="5"/>
        <v>0</v>
      </c>
      <c r="AU17" s="66">
        <f t="shared" si="6"/>
        <v>0</v>
      </c>
      <c r="AV17" s="66">
        <f t="shared" si="7"/>
        <v>0</v>
      </c>
      <c r="AW17" s="66">
        <f t="shared" si="8"/>
        <v>0</v>
      </c>
      <c r="AX17" s="66">
        <f t="shared" si="9"/>
        <v>0</v>
      </c>
      <c r="AY17" s="62">
        <f t="shared" si="10"/>
        <v>0</v>
      </c>
      <c r="AZ17" s="67">
        <f t="shared" si="11"/>
        <v>0</v>
      </c>
      <c r="BA17" s="64">
        <f t="shared" si="12"/>
        <v>0</v>
      </c>
      <c r="BB17" s="65">
        <f t="shared" si="14"/>
        <v>0</v>
      </c>
      <c r="BC17" s="68">
        <f t="shared" si="15"/>
        <v>0</v>
      </c>
      <c r="BD17" s="68">
        <f t="shared" si="16"/>
        <v>0</v>
      </c>
      <c r="BE17" s="68">
        <f t="shared" si="17"/>
        <v>0</v>
      </c>
      <c r="BF17" s="68">
        <f t="shared" si="18"/>
        <v>0</v>
      </c>
      <c r="BG17" s="68">
        <f t="shared" si="19"/>
        <v>0</v>
      </c>
      <c r="BH17" s="68">
        <f t="shared" si="20"/>
        <v>0</v>
      </c>
      <c r="BI17" s="68">
        <f t="shared" si="21"/>
        <v>0</v>
      </c>
      <c r="BJ17" s="68">
        <f t="shared" si="22"/>
        <v>0</v>
      </c>
      <c r="BK17" s="68">
        <f t="shared" si="23"/>
        <v>0</v>
      </c>
      <c r="BL17" s="24">
        <f t="shared" si="13"/>
        <v>0</v>
      </c>
      <c r="BM17" s="111">
        <v>0</v>
      </c>
    </row>
    <row r="18" spans="1:65" x14ac:dyDescent="0.25">
      <c r="A18" s="57">
        <v>0</v>
      </c>
      <c r="B18" s="58">
        <v>0</v>
      </c>
      <c r="C18" s="57">
        <v>0</v>
      </c>
      <c r="D18" s="58">
        <v>0</v>
      </c>
      <c r="E18" s="57">
        <v>0</v>
      </c>
      <c r="F18" s="58">
        <v>0</v>
      </c>
      <c r="G18" s="57">
        <v>0</v>
      </c>
      <c r="H18" s="58">
        <v>0</v>
      </c>
      <c r="I18" s="57">
        <v>0</v>
      </c>
      <c r="J18" s="58">
        <v>0</v>
      </c>
      <c r="K18" s="57">
        <v>0</v>
      </c>
      <c r="L18" s="58">
        <v>0</v>
      </c>
      <c r="M18" s="57">
        <v>0</v>
      </c>
      <c r="N18" s="58">
        <v>0</v>
      </c>
      <c r="O18" s="57">
        <v>0</v>
      </c>
      <c r="P18" s="58">
        <v>0</v>
      </c>
      <c r="Q18" s="57">
        <v>0</v>
      </c>
      <c r="R18" s="58">
        <v>0</v>
      </c>
      <c r="S18" s="57">
        <v>0</v>
      </c>
      <c r="T18" s="58">
        <v>0</v>
      </c>
      <c r="U18" s="59">
        <v>0</v>
      </c>
      <c r="V18" s="58">
        <v>0</v>
      </c>
      <c r="W18" s="57">
        <v>0</v>
      </c>
      <c r="X18" s="58">
        <v>0</v>
      </c>
      <c r="Y18" s="57">
        <v>0</v>
      </c>
      <c r="Z18" s="58">
        <v>0</v>
      </c>
      <c r="AA18" s="57">
        <v>0</v>
      </c>
      <c r="AB18" s="58">
        <v>0</v>
      </c>
      <c r="AC18" s="60">
        <v>0</v>
      </c>
      <c r="AD18" s="58">
        <v>0</v>
      </c>
      <c r="AE18" s="60">
        <v>0</v>
      </c>
      <c r="AF18" s="58">
        <v>0</v>
      </c>
      <c r="AG18" s="60">
        <v>0</v>
      </c>
      <c r="AH18" s="58">
        <v>0</v>
      </c>
      <c r="AI18" s="60">
        <v>0</v>
      </c>
      <c r="AJ18" s="58">
        <v>0</v>
      </c>
      <c r="AK18" s="60">
        <v>0</v>
      </c>
      <c r="AL18" s="58">
        <v>0</v>
      </c>
      <c r="AM18" s="57">
        <v>0</v>
      </c>
      <c r="AN18" s="61">
        <v>0</v>
      </c>
      <c r="AO18" s="62">
        <f t="shared" si="0"/>
        <v>0</v>
      </c>
      <c r="AP18" s="63">
        <f t="shared" si="1"/>
        <v>0</v>
      </c>
      <c r="AQ18" s="63">
        <f t="shared" si="2"/>
        <v>0</v>
      </c>
      <c r="AR18" s="64">
        <f t="shared" si="3"/>
        <v>0</v>
      </c>
      <c r="AS18" s="65">
        <f t="shared" si="4"/>
        <v>0</v>
      </c>
      <c r="AT18" s="66">
        <f t="shared" si="5"/>
        <v>0</v>
      </c>
      <c r="AU18" s="66">
        <f t="shared" si="6"/>
        <v>0</v>
      </c>
      <c r="AV18" s="66">
        <f t="shared" si="7"/>
        <v>0</v>
      </c>
      <c r="AW18" s="66">
        <f t="shared" si="8"/>
        <v>0</v>
      </c>
      <c r="AX18" s="66">
        <f t="shared" si="9"/>
        <v>0</v>
      </c>
      <c r="AY18" s="62">
        <f t="shared" si="10"/>
        <v>0</v>
      </c>
      <c r="AZ18" s="67">
        <f t="shared" si="11"/>
        <v>0</v>
      </c>
      <c r="BA18" s="64">
        <f t="shared" si="12"/>
        <v>0</v>
      </c>
      <c r="BB18" s="65">
        <f t="shared" si="14"/>
        <v>0</v>
      </c>
      <c r="BC18" s="68">
        <f t="shared" si="15"/>
        <v>0</v>
      </c>
      <c r="BD18" s="68">
        <f t="shared" si="16"/>
        <v>0</v>
      </c>
      <c r="BE18" s="68">
        <f t="shared" si="17"/>
        <v>0</v>
      </c>
      <c r="BF18" s="68">
        <f t="shared" si="18"/>
        <v>0</v>
      </c>
      <c r="BG18" s="68">
        <f t="shared" si="19"/>
        <v>0</v>
      </c>
      <c r="BH18" s="68">
        <f t="shared" si="20"/>
        <v>0</v>
      </c>
      <c r="BI18" s="68">
        <f t="shared" si="21"/>
        <v>0</v>
      </c>
      <c r="BJ18" s="68">
        <f t="shared" si="22"/>
        <v>0</v>
      </c>
      <c r="BK18" s="68">
        <f t="shared" si="23"/>
        <v>0</v>
      </c>
      <c r="BL18" s="24">
        <f t="shared" si="13"/>
        <v>0</v>
      </c>
      <c r="BM18" s="111">
        <v>0</v>
      </c>
    </row>
    <row r="19" spans="1:65" x14ac:dyDescent="0.25">
      <c r="A19" s="57">
        <v>0</v>
      </c>
      <c r="B19" s="58">
        <v>0</v>
      </c>
      <c r="C19" s="57">
        <v>0</v>
      </c>
      <c r="D19" s="58">
        <v>0</v>
      </c>
      <c r="E19" s="57">
        <v>0</v>
      </c>
      <c r="F19" s="58">
        <v>0</v>
      </c>
      <c r="G19" s="57">
        <v>0</v>
      </c>
      <c r="H19" s="58">
        <v>0</v>
      </c>
      <c r="I19" s="57">
        <v>0</v>
      </c>
      <c r="J19" s="58">
        <v>0</v>
      </c>
      <c r="K19" s="57">
        <v>0</v>
      </c>
      <c r="L19" s="58">
        <v>0</v>
      </c>
      <c r="M19" s="57">
        <v>0</v>
      </c>
      <c r="N19" s="58">
        <v>0</v>
      </c>
      <c r="O19" s="57">
        <v>0</v>
      </c>
      <c r="P19" s="58">
        <v>0</v>
      </c>
      <c r="Q19" s="57">
        <v>0</v>
      </c>
      <c r="R19" s="58">
        <v>0</v>
      </c>
      <c r="S19" s="57">
        <v>0</v>
      </c>
      <c r="T19" s="58">
        <v>0</v>
      </c>
      <c r="U19" s="59">
        <v>0</v>
      </c>
      <c r="V19" s="58">
        <v>0</v>
      </c>
      <c r="W19" s="57">
        <v>0</v>
      </c>
      <c r="X19" s="58">
        <v>0</v>
      </c>
      <c r="Y19" s="57">
        <v>0</v>
      </c>
      <c r="Z19" s="58">
        <v>0</v>
      </c>
      <c r="AA19" s="57">
        <v>0</v>
      </c>
      <c r="AB19" s="58">
        <v>0</v>
      </c>
      <c r="AC19" s="60">
        <v>0</v>
      </c>
      <c r="AD19" s="58">
        <v>0</v>
      </c>
      <c r="AE19" s="60">
        <v>0</v>
      </c>
      <c r="AF19" s="58">
        <v>0</v>
      </c>
      <c r="AG19" s="60">
        <v>0</v>
      </c>
      <c r="AH19" s="58">
        <v>0</v>
      </c>
      <c r="AI19" s="60">
        <v>0</v>
      </c>
      <c r="AJ19" s="58">
        <v>0</v>
      </c>
      <c r="AK19" s="60">
        <v>0</v>
      </c>
      <c r="AL19" s="58">
        <v>0</v>
      </c>
      <c r="AM19" s="57">
        <v>0</v>
      </c>
      <c r="AN19" s="61">
        <v>0</v>
      </c>
      <c r="AO19" s="62">
        <f t="shared" si="0"/>
        <v>0</v>
      </c>
      <c r="AP19" s="63">
        <f t="shared" si="1"/>
        <v>0</v>
      </c>
      <c r="AQ19" s="63">
        <f t="shared" si="2"/>
        <v>0</v>
      </c>
      <c r="AR19" s="64">
        <f t="shared" si="3"/>
        <v>0</v>
      </c>
      <c r="AS19" s="65">
        <f t="shared" si="4"/>
        <v>0</v>
      </c>
      <c r="AT19" s="66">
        <f t="shared" si="5"/>
        <v>0</v>
      </c>
      <c r="AU19" s="66">
        <f t="shared" si="6"/>
        <v>0</v>
      </c>
      <c r="AV19" s="66">
        <f t="shared" si="7"/>
        <v>0</v>
      </c>
      <c r="AW19" s="66">
        <f t="shared" si="8"/>
        <v>0</v>
      </c>
      <c r="AX19" s="66">
        <f t="shared" si="9"/>
        <v>0</v>
      </c>
      <c r="AY19" s="62">
        <f t="shared" si="10"/>
        <v>0</v>
      </c>
      <c r="AZ19" s="67">
        <f t="shared" si="11"/>
        <v>0</v>
      </c>
      <c r="BA19" s="64">
        <f t="shared" si="12"/>
        <v>0</v>
      </c>
      <c r="BB19" s="65">
        <f t="shared" si="14"/>
        <v>0</v>
      </c>
      <c r="BC19" s="68">
        <f t="shared" si="15"/>
        <v>0</v>
      </c>
      <c r="BD19" s="68">
        <f t="shared" si="16"/>
        <v>0</v>
      </c>
      <c r="BE19" s="68">
        <f t="shared" si="17"/>
        <v>0</v>
      </c>
      <c r="BF19" s="68">
        <f t="shared" si="18"/>
        <v>0</v>
      </c>
      <c r="BG19" s="68">
        <f t="shared" si="19"/>
        <v>0</v>
      </c>
      <c r="BH19" s="68">
        <f t="shared" si="20"/>
        <v>0</v>
      </c>
      <c r="BI19" s="68">
        <f t="shared" si="21"/>
        <v>0</v>
      </c>
      <c r="BJ19" s="68">
        <f t="shared" si="22"/>
        <v>0</v>
      </c>
      <c r="BK19" s="68">
        <f t="shared" si="23"/>
        <v>0</v>
      </c>
      <c r="BL19" s="24">
        <f t="shared" si="13"/>
        <v>0</v>
      </c>
      <c r="BM19" s="111">
        <v>0</v>
      </c>
    </row>
    <row r="20" spans="1:65" x14ac:dyDescent="0.25">
      <c r="A20" s="57">
        <v>0</v>
      </c>
      <c r="B20" s="58">
        <v>0</v>
      </c>
      <c r="C20" s="57">
        <v>0</v>
      </c>
      <c r="D20" s="58">
        <v>0</v>
      </c>
      <c r="E20" s="57">
        <v>0</v>
      </c>
      <c r="F20" s="58">
        <v>0</v>
      </c>
      <c r="G20" s="57">
        <v>0</v>
      </c>
      <c r="H20" s="58">
        <v>0</v>
      </c>
      <c r="I20" s="57">
        <v>0</v>
      </c>
      <c r="J20" s="58">
        <v>0</v>
      </c>
      <c r="K20" s="57">
        <v>0</v>
      </c>
      <c r="L20" s="58">
        <v>0</v>
      </c>
      <c r="M20" s="57">
        <v>0</v>
      </c>
      <c r="N20" s="58">
        <v>0</v>
      </c>
      <c r="O20" s="57">
        <v>0</v>
      </c>
      <c r="P20" s="58">
        <v>0</v>
      </c>
      <c r="Q20" s="57">
        <v>0</v>
      </c>
      <c r="R20" s="58">
        <v>0</v>
      </c>
      <c r="S20" s="57">
        <v>0</v>
      </c>
      <c r="T20" s="58">
        <v>0</v>
      </c>
      <c r="U20" s="59">
        <v>0</v>
      </c>
      <c r="V20" s="58">
        <v>0</v>
      </c>
      <c r="W20" s="57">
        <v>0</v>
      </c>
      <c r="X20" s="58">
        <v>0</v>
      </c>
      <c r="Y20" s="57">
        <v>0</v>
      </c>
      <c r="Z20" s="58">
        <v>0</v>
      </c>
      <c r="AA20" s="57">
        <v>0</v>
      </c>
      <c r="AB20" s="58">
        <v>0</v>
      </c>
      <c r="AC20" s="60">
        <v>0</v>
      </c>
      <c r="AD20" s="58">
        <v>0</v>
      </c>
      <c r="AE20" s="60">
        <v>0</v>
      </c>
      <c r="AF20" s="58">
        <v>0</v>
      </c>
      <c r="AG20" s="60">
        <v>0</v>
      </c>
      <c r="AH20" s="58">
        <v>0</v>
      </c>
      <c r="AI20" s="60">
        <v>0</v>
      </c>
      <c r="AJ20" s="58">
        <v>0</v>
      </c>
      <c r="AK20" s="60">
        <v>0</v>
      </c>
      <c r="AL20" s="58">
        <v>0</v>
      </c>
      <c r="AM20" s="57">
        <v>0</v>
      </c>
      <c r="AN20" s="61">
        <v>0</v>
      </c>
      <c r="AO20" s="62">
        <f t="shared" si="0"/>
        <v>0</v>
      </c>
      <c r="AP20" s="63">
        <f t="shared" si="1"/>
        <v>0</v>
      </c>
      <c r="AQ20" s="63">
        <f t="shared" si="2"/>
        <v>0</v>
      </c>
      <c r="AR20" s="64">
        <f t="shared" si="3"/>
        <v>0</v>
      </c>
      <c r="AS20" s="65">
        <f t="shared" si="4"/>
        <v>0</v>
      </c>
      <c r="AT20" s="66">
        <f t="shared" si="5"/>
        <v>0</v>
      </c>
      <c r="AU20" s="66">
        <f t="shared" si="6"/>
        <v>0</v>
      </c>
      <c r="AV20" s="66">
        <f t="shared" si="7"/>
        <v>0</v>
      </c>
      <c r="AW20" s="66">
        <f t="shared" si="8"/>
        <v>0</v>
      </c>
      <c r="AX20" s="66">
        <f t="shared" si="9"/>
        <v>0</v>
      </c>
      <c r="AY20" s="62">
        <f t="shared" si="10"/>
        <v>0</v>
      </c>
      <c r="AZ20" s="67">
        <f t="shared" si="11"/>
        <v>0</v>
      </c>
      <c r="BA20" s="64">
        <f t="shared" si="12"/>
        <v>0</v>
      </c>
      <c r="BB20" s="65">
        <f t="shared" si="14"/>
        <v>0</v>
      </c>
      <c r="BC20" s="68">
        <f t="shared" si="15"/>
        <v>0</v>
      </c>
      <c r="BD20" s="68">
        <f t="shared" si="16"/>
        <v>0</v>
      </c>
      <c r="BE20" s="68">
        <f t="shared" si="17"/>
        <v>0</v>
      </c>
      <c r="BF20" s="68">
        <f t="shared" si="18"/>
        <v>0</v>
      </c>
      <c r="BG20" s="68">
        <f t="shared" si="19"/>
        <v>0</v>
      </c>
      <c r="BH20" s="68">
        <f t="shared" si="20"/>
        <v>0</v>
      </c>
      <c r="BI20" s="68">
        <f t="shared" si="21"/>
        <v>0</v>
      </c>
      <c r="BJ20" s="68">
        <f t="shared" si="22"/>
        <v>0</v>
      </c>
      <c r="BK20" s="68">
        <f t="shared" si="23"/>
        <v>0</v>
      </c>
      <c r="BL20" s="24">
        <f t="shared" si="13"/>
        <v>0</v>
      </c>
      <c r="BM20" s="111">
        <v>0</v>
      </c>
    </row>
    <row r="21" spans="1:65" x14ac:dyDescent="0.25">
      <c r="A21" s="57">
        <v>0</v>
      </c>
      <c r="B21" s="58">
        <v>0</v>
      </c>
      <c r="C21" s="57">
        <v>0</v>
      </c>
      <c r="D21" s="58">
        <v>0</v>
      </c>
      <c r="E21" s="57">
        <v>0</v>
      </c>
      <c r="F21" s="58">
        <v>0</v>
      </c>
      <c r="G21" s="57">
        <v>0</v>
      </c>
      <c r="H21" s="58">
        <v>0</v>
      </c>
      <c r="I21" s="57">
        <v>0</v>
      </c>
      <c r="J21" s="58">
        <v>0</v>
      </c>
      <c r="K21" s="57">
        <v>0</v>
      </c>
      <c r="L21" s="58">
        <v>0</v>
      </c>
      <c r="M21" s="57">
        <v>0</v>
      </c>
      <c r="N21" s="58">
        <v>0</v>
      </c>
      <c r="O21" s="57">
        <v>0</v>
      </c>
      <c r="P21" s="58">
        <v>0</v>
      </c>
      <c r="Q21" s="57">
        <v>0</v>
      </c>
      <c r="R21" s="58">
        <v>0</v>
      </c>
      <c r="S21" s="57">
        <v>0</v>
      </c>
      <c r="T21" s="58">
        <v>0</v>
      </c>
      <c r="U21" s="59">
        <v>0</v>
      </c>
      <c r="V21" s="58">
        <v>0</v>
      </c>
      <c r="W21" s="57">
        <v>0</v>
      </c>
      <c r="X21" s="58">
        <v>0</v>
      </c>
      <c r="Y21" s="57">
        <v>0</v>
      </c>
      <c r="Z21" s="58">
        <v>0</v>
      </c>
      <c r="AA21" s="57">
        <v>0</v>
      </c>
      <c r="AB21" s="58">
        <v>0</v>
      </c>
      <c r="AC21" s="60">
        <v>0</v>
      </c>
      <c r="AD21" s="58">
        <v>0</v>
      </c>
      <c r="AE21" s="60">
        <v>0</v>
      </c>
      <c r="AF21" s="58">
        <v>0</v>
      </c>
      <c r="AG21" s="60">
        <v>0</v>
      </c>
      <c r="AH21" s="58">
        <v>0</v>
      </c>
      <c r="AI21" s="60">
        <v>0</v>
      </c>
      <c r="AJ21" s="58">
        <v>0</v>
      </c>
      <c r="AK21" s="60">
        <v>0</v>
      </c>
      <c r="AL21" s="58">
        <v>0</v>
      </c>
      <c r="AM21" s="57">
        <v>0</v>
      </c>
      <c r="AN21" s="61">
        <v>0</v>
      </c>
      <c r="AO21" s="62">
        <f t="shared" si="0"/>
        <v>0</v>
      </c>
      <c r="AP21" s="63">
        <f t="shared" si="1"/>
        <v>0</v>
      </c>
      <c r="AQ21" s="63">
        <f t="shared" si="2"/>
        <v>0</v>
      </c>
      <c r="AR21" s="64">
        <f t="shared" si="3"/>
        <v>0</v>
      </c>
      <c r="AS21" s="65">
        <f t="shared" si="4"/>
        <v>0</v>
      </c>
      <c r="AT21" s="66">
        <f t="shared" si="5"/>
        <v>0</v>
      </c>
      <c r="AU21" s="66">
        <f t="shared" si="6"/>
        <v>0</v>
      </c>
      <c r="AV21" s="66">
        <f t="shared" si="7"/>
        <v>0</v>
      </c>
      <c r="AW21" s="66">
        <f t="shared" si="8"/>
        <v>0</v>
      </c>
      <c r="AX21" s="66">
        <f t="shared" si="9"/>
        <v>0</v>
      </c>
      <c r="AY21" s="62">
        <f t="shared" si="10"/>
        <v>0</v>
      </c>
      <c r="AZ21" s="67">
        <f t="shared" si="11"/>
        <v>0</v>
      </c>
      <c r="BA21" s="64">
        <f t="shared" si="12"/>
        <v>0</v>
      </c>
      <c r="BB21" s="65">
        <f t="shared" si="14"/>
        <v>0</v>
      </c>
      <c r="BC21" s="68">
        <f t="shared" si="15"/>
        <v>0</v>
      </c>
      <c r="BD21" s="68">
        <f t="shared" si="16"/>
        <v>0</v>
      </c>
      <c r="BE21" s="68">
        <f t="shared" si="17"/>
        <v>0</v>
      </c>
      <c r="BF21" s="68">
        <f t="shared" si="18"/>
        <v>0</v>
      </c>
      <c r="BG21" s="68">
        <f t="shared" si="19"/>
        <v>0</v>
      </c>
      <c r="BH21" s="68">
        <f t="shared" si="20"/>
        <v>0</v>
      </c>
      <c r="BI21" s="68">
        <f t="shared" si="21"/>
        <v>0</v>
      </c>
      <c r="BJ21" s="68">
        <f t="shared" si="22"/>
        <v>0</v>
      </c>
      <c r="BK21" s="68">
        <f t="shared" si="23"/>
        <v>0</v>
      </c>
      <c r="BL21" s="24">
        <f t="shared" si="13"/>
        <v>0</v>
      </c>
      <c r="BM21" s="111">
        <v>0</v>
      </c>
    </row>
    <row r="22" spans="1:65" x14ac:dyDescent="0.25">
      <c r="A22" s="57">
        <v>0</v>
      </c>
      <c r="B22" s="58">
        <v>0</v>
      </c>
      <c r="C22" s="57">
        <v>0</v>
      </c>
      <c r="D22" s="58">
        <v>0</v>
      </c>
      <c r="E22" s="57">
        <v>0</v>
      </c>
      <c r="F22" s="58">
        <v>0</v>
      </c>
      <c r="G22" s="57">
        <v>0</v>
      </c>
      <c r="H22" s="58">
        <v>0</v>
      </c>
      <c r="I22" s="57">
        <v>0</v>
      </c>
      <c r="J22" s="58">
        <v>0</v>
      </c>
      <c r="K22" s="57">
        <v>0</v>
      </c>
      <c r="L22" s="58">
        <v>0</v>
      </c>
      <c r="M22" s="57">
        <v>0</v>
      </c>
      <c r="N22" s="58">
        <v>0</v>
      </c>
      <c r="O22" s="57">
        <v>0</v>
      </c>
      <c r="P22" s="58">
        <v>0</v>
      </c>
      <c r="Q22" s="57">
        <v>0</v>
      </c>
      <c r="R22" s="58">
        <v>0</v>
      </c>
      <c r="S22" s="57">
        <v>0</v>
      </c>
      <c r="T22" s="58">
        <v>0</v>
      </c>
      <c r="U22" s="59">
        <v>0</v>
      </c>
      <c r="V22" s="58">
        <v>0</v>
      </c>
      <c r="W22" s="57">
        <v>0</v>
      </c>
      <c r="X22" s="58">
        <v>0</v>
      </c>
      <c r="Y22" s="57">
        <v>0</v>
      </c>
      <c r="Z22" s="58">
        <v>0</v>
      </c>
      <c r="AA22" s="57">
        <v>0</v>
      </c>
      <c r="AB22" s="58">
        <v>0</v>
      </c>
      <c r="AC22" s="60">
        <v>0</v>
      </c>
      <c r="AD22" s="58">
        <v>0</v>
      </c>
      <c r="AE22" s="60">
        <v>0</v>
      </c>
      <c r="AF22" s="58">
        <v>0</v>
      </c>
      <c r="AG22" s="60">
        <v>0</v>
      </c>
      <c r="AH22" s="58">
        <v>0</v>
      </c>
      <c r="AI22" s="60">
        <v>0</v>
      </c>
      <c r="AJ22" s="58">
        <v>0</v>
      </c>
      <c r="AK22" s="60">
        <v>0</v>
      </c>
      <c r="AL22" s="58">
        <v>0</v>
      </c>
      <c r="AM22" s="57">
        <v>0</v>
      </c>
      <c r="AN22" s="61">
        <v>0</v>
      </c>
      <c r="AO22" s="62">
        <f t="shared" si="0"/>
        <v>0</v>
      </c>
      <c r="AP22" s="63">
        <f t="shared" si="1"/>
        <v>0</v>
      </c>
      <c r="AQ22" s="63">
        <f t="shared" si="2"/>
        <v>0</v>
      </c>
      <c r="AR22" s="64">
        <f t="shared" si="3"/>
        <v>0</v>
      </c>
      <c r="AS22" s="65">
        <f t="shared" si="4"/>
        <v>0</v>
      </c>
      <c r="AT22" s="66">
        <f t="shared" si="5"/>
        <v>0</v>
      </c>
      <c r="AU22" s="66">
        <f t="shared" si="6"/>
        <v>0</v>
      </c>
      <c r="AV22" s="66">
        <f t="shared" si="7"/>
        <v>0</v>
      </c>
      <c r="AW22" s="66">
        <f t="shared" si="8"/>
        <v>0</v>
      </c>
      <c r="AX22" s="66">
        <f t="shared" si="9"/>
        <v>0</v>
      </c>
      <c r="AY22" s="62">
        <f t="shared" si="10"/>
        <v>0</v>
      </c>
      <c r="AZ22" s="67">
        <f t="shared" si="11"/>
        <v>0</v>
      </c>
      <c r="BA22" s="64">
        <f t="shared" si="12"/>
        <v>0</v>
      </c>
      <c r="BB22" s="65">
        <f t="shared" si="14"/>
        <v>0</v>
      </c>
      <c r="BC22" s="68">
        <f t="shared" si="15"/>
        <v>0</v>
      </c>
      <c r="BD22" s="68">
        <f t="shared" si="16"/>
        <v>0</v>
      </c>
      <c r="BE22" s="68">
        <f t="shared" si="17"/>
        <v>0</v>
      </c>
      <c r="BF22" s="68">
        <f t="shared" si="18"/>
        <v>0</v>
      </c>
      <c r="BG22" s="68">
        <f t="shared" si="19"/>
        <v>0</v>
      </c>
      <c r="BH22" s="68">
        <f t="shared" si="20"/>
        <v>0</v>
      </c>
      <c r="BI22" s="68">
        <f t="shared" si="21"/>
        <v>0</v>
      </c>
      <c r="BJ22" s="68">
        <f t="shared" si="22"/>
        <v>0</v>
      </c>
      <c r="BK22" s="68">
        <f t="shared" si="23"/>
        <v>0</v>
      </c>
      <c r="BL22" s="24">
        <f t="shared" si="13"/>
        <v>0</v>
      </c>
      <c r="BM22" s="111">
        <v>0</v>
      </c>
    </row>
    <row r="23" spans="1:65" x14ac:dyDescent="0.25">
      <c r="A23" s="57">
        <v>0</v>
      </c>
      <c r="B23" s="58">
        <v>0</v>
      </c>
      <c r="C23" s="57">
        <v>0</v>
      </c>
      <c r="D23" s="58">
        <v>0</v>
      </c>
      <c r="E23" s="57">
        <v>0</v>
      </c>
      <c r="F23" s="58">
        <v>0</v>
      </c>
      <c r="G23" s="57">
        <v>0</v>
      </c>
      <c r="H23" s="58">
        <v>0</v>
      </c>
      <c r="I23" s="57">
        <v>0</v>
      </c>
      <c r="J23" s="58">
        <v>0</v>
      </c>
      <c r="K23" s="57">
        <v>0</v>
      </c>
      <c r="L23" s="58">
        <v>0</v>
      </c>
      <c r="M23" s="57">
        <v>0</v>
      </c>
      <c r="N23" s="58">
        <v>0</v>
      </c>
      <c r="O23" s="57">
        <v>0</v>
      </c>
      <c r="P23" s="58">
        <v>0</v>
      </c>
      <c r="Q23" s="57">
        <v>0</v>
      </c>
      <c r="R23" s="58">
        <v>0</v>
      </c>
      <c r="S23" s="57">
        <v>0</v>
      </c>
      <c r="T23" s="58">
        <v>0</v>
      </c>
      <c r="U23" s="59">
        <v>0</v>
      </c>
      <c r="V23" s="58">
        <v>0</v>
      </c>
      <c r="W23" s="57">
        <v>0</v>
      </c>
      <c r="X23" s="58">
        <v>0</v>
      </c>
      <c r="Y23" s="57">
        <v>0</v>
      </c>
      <c r="Z23" s="58">
        <v>0</v>
      </c>
      <c r="AA23" s="57">
        <v>0</v>
      </c>
      <c r="AB23" s="58">
        <v>0</v>
      </c>
      <c r="AC23" s="60">
        <v>0</v>
      </c>
      <c r="AD23" s="58">
        <v>0</v>
      </c>
      <c r="AE23" s="60">
        <v>0</v>
      </c>
      <c r="AF23" s="58">
        <v>0</v>
      </c>
      <c r="AG23" s="60">
        <v>0</v>
      </c>
      <c r="AH23" s="58">
        <v>0</v>
      </c>
      <c r="AI23" s="60">
        <v>0</v>
      </c>
      <c r="AJ23" s="58">
        <v>0</v>
      </c>
      <c r="AK23" s="60">
        <v>0</v>
      </c>
      <c r="AL23" s="58">
        <v>0</v>
      </c>
      <c r="AM23" s="57">
        <v>0</v>
      </c>
      <c r="AN23" s="61">
        <v>0</v>
      </c>
      <c r="AO23" s="62">
        <f t="shared" si="0"/>
        <v>0</v>
      </c>
      <c r="AP23" s="63">
        <f t="shared" si="1"/>
        <v>0</v>
      </c>
      <c r="AQ23" s="63">
        <f t="shared" si="2"/>
        <v>0</v>
      </c>
      <c r="AR23" s="64">
        <f t="shared" si="3"/>
        <v>0</v>
      </c>
      <c r="AS23" s="65">
        <f t="shared" si="4"/>
        <v>0</v>
      </c>
      <c r="AT23" s="66">
        <f t="shared" si="5"/>
        <v>0</v>
      </c>
      <c r="AU23" s="66">
        <f t="shared" si="6"/>
        <v>0</v>
      </c>
      <c r="AV23" s="66">
        <f t="shared" si="7"/>
        <v>0</v>
      </c>
      <c r="AW23" s="66">
        <f t="shared" si="8"/>
        <v>0</v>
      </c>
      <c r="AX23" s="66">
        <f t="shared" si="9"/>
        <v>0</v>
      </c>
      <c r="AY23" s="62">
        <f t="shared" si="10"/>
        <v>0</v>
      </c>
      <c r="AZ23" s="67">
        <f t="shared" si="11"/>
        <v>0</v>
      </c>
      <c r="BA23" s="64">
        <f t="shared" si="12"/>
        <v>0</v>
      </c>
      <c r="BB23" s="65">
        <f t="shared" si="14"/>
        <v>0</v>
      </c>
      <c r="BC23" s="68">
        <f t="shared" si="15"/>
        <v>0</v>
      </c>
      <c r="BD23" s="68">
        <f t="shared" si="16"/>
        <v>0</v>
      </c>
      <c r="BE23" s="68">
        <f t="shared" si="17"/>
        <v>0</v>
      </c>
      <c r="BF23" s="68">
        <f t="shared" si="18"/>
        <v>0</v>
      </c>
      <c r="BG23" s="68">
        <f t="shared" si="19"/>
        <v>0</v>
      </c>
      <c r="BH23" s="68">
        <f t="shared" si="20"/>
        <v>0</v>
      </c>
      <c r="BI23" s="68">
        <f t="shared" si="21"/>
        <v>0</v>
      </c>
      <c r="BJ23" s="68">
        <f t="shared" si="22"/>
        <v>0</v>
      </c>
      <c r="BK23" s="68">
        <f t="shared" si="23"/>
        <v>0</v>
      </c>
      <c r="BL23" s="24">
        <f t="shared" si="13"/>
        <v>0</v>
      </c>
      <c r="BM23" s="111">
        <v>0</v>
      </c>
    </row>
    <row r="24" spans="1:65" x14ac:dyDescent="0.25">
      <c r="A24" s="57">
        <v>0</v>
      </c>
      <c r="B24" s="58">
        <v>0</v>
      </c>
      <c r="C24" s="57">
        <v>0</v>
      </c>
      <c r="D24" s="58">
        <v>0</v>
      </c>
      <c r="E24" s="57">
        <v>0</v>
      </c>
      <c r="F24" s="58">
        <v>0</v>
      </c>
      <c r="G24" s="57">
        <v>0</v>
      </c>
      <c r="H24" s="58">
        <v>0</v>
      </c>
      <c r="I24" s="57">
        <v>0</v>
      </c>
      <c r="J24" s="58">
        <v>0</v>
      </c>
      <c r="K24" s="57">
        <v>0</v>
      </c>
      <c r="L24" s="58">
        <v>0</v>
      </c>
      <c r="M24" s="57">
        <v>0</v>
      </c>
      <c r="N24" s="58">
        <v>0</v>
      </c>
      <c r="O24" s="57">
        <v>0</v>
      </c>
      <c r="P24" s="58">
        <v>0</v>
      </c>
      <c r="Q24" s="57">
        <v>0</v>
      </c>
      <c r="R24" s="58">
        <v>0</v>
      </c>
      <c r="S24" s="57">
        <v>0</v>
      </c>
      <c r="T24" s="58">
        <v>0</v>
      </c>
      <c r="U24" s="59">
        <v>0</v>
      </c>
      <c r="V24" s="58">
        <v>0</v>
      </c>
      <c r="W24" s="57">
        <v>0</v>
      </c>
      <c r="X24" s="58">
        <v>0</v>
      </c>
      <c r="Y24" s="57">
        <v>0</v>
      </c>
      <c r="Z24" s="58">
        <v>0</v>
      </c>
      <c r="AA24" s="57">
        <v>0</v>
      </c>
      <c r="AB24" s="58">
        <v>0</v>
      </c>
      <c r="AC24" s="60">
        <v>0</v>
      </c>
      <c r="AD24" s="58">
        <v>0</v>
      </c>
      <c r="AE24" s="60">
        <v>0</v>
      </c>
      <c r="AF24" s="58">
        <v>0</v>
      </c>
      <c r="AG24" s="60">
        <v>0</v>
      </c>
      <c r="AH24" s="58">
        <v>0</v>
      </c>
      <c r="AI24" s="60">
        <v>0</v>
      </c>
      <c r="AJ24" s="58">
        <v>0</v>
      </c>
      <c r="AK24" s="60">
        <v>0</v>
      </c>
      <c r="AL24" s="58">
        <v>0</v>
      </c>
      <c r="AM24" s="57">
        <v>0</v>
      </c>
      <c r="AN24" s="61">
        <v>0</v>
      </c>
      <c r="AO24" s="62">
        <f t="shared" si="0"/>
        <v>0</v>
      </c>
      <c r="AP24" s="63">
        <f t="shared" si="1"/>
        <v>0</v>
      </c>
      <c r="AQ24" s="63">
        <f t="shared" si="2"/>
        <v>0</v>
      </c>
      <c r="AR24" s="64">
        <f t="shared" si="3"/>
        <v>0</v>
      </c>
      <c r="AS24" s="65">
        <f t="shared" si="4"/>
        <v>0</v>
      </c>
      <c r="AT24" s="66">
        <f t="shared" si="5"/>
        <v>0</v>
      </c>
      <c r="AU24" s="66">
        <f t="shared" si="6"/>
        <v>0</v>
      </c>
      <c r="AV24" s="66">
        <f t="shared" si="7"/>
        <v>0</v>
      </c>
      <c r="AW24" s="66">
        <f t="shared" si="8"/>
        <v>0</v>
      </c>
      <c r="AX24" s="66">
        <f t="shared" si="9"/>
        <v>0</v>
      </c>
      <c r="AY24" s="62">
        <f t="shared" si="10"/>
        <v>0</v>
      </c>
      <c r="AZ24" s="67">
        <f t="shared" si="11"/>
        <v>0</v>
      </c>
      <c r="BA24" s="64">
        <f t="shared" si="12"/>
        <v>0</v>
      </c>
      <c r="BB24" s="65">
        <f t="shared" si="14"/>
        <v>0</v>
      </c>
      <c r="BC24" s="68">
        <f t="shared" si="15"/>
        <v>0</v>
      </c>
      <c r="BD24" s="68">
        <f t="shared" si="16"/>
        <v>0</v>
      </c>
      <c r="BE24" s="68">
        <f t="shared" si="17"/>
        <v>0</v>
      </c>
      <c r="BF24" s="68">
        <f t="shared" si="18"/>
        <v>0</v>
      </c>
      <c r="BG24" s="68">
        <f t="shared" si="19"/>
        <v>0</v>
      </c>
      <c r="BH24" s="68">
        <f t="shared" si="20"/>
        <v>0</v>
      </c>
      <c r="BI24" s="68">
        <f t="shared" si="21"/>
        <v>0</v>
      </c>
      <c r="BJ24" s="68">
        <f t="shared" si="22"/>
        <v>0</v>
      </c>
      <c r="BK24" s="68">
        <f t="shared" si="23"/>
        <v>0</v>
      </c>
      <c r="BL24" s="24">
        <f t="shared" si="13"/>
        <v>0</v>
      </c>
      <c r="BM24" s="111">
        <v>0</v>
      </c>
    </row>
    <row r="25" spans="1:65" x14ac:dyDescent="0.25">
      <c r="A25" s="57">
        <v>0</v>
      </c>
      <c r="B25" s="58">
        <v>0</v>
      </c>
      <c r="C25" s="57">
        <v>0</v>
      </c>
      <c r="D25" s="58">
        <v>0</v>
      </c>
      <c r="E25" s="57">
        <v>0</v>
      </c>
      <c r="F25" s="58">
        <v>0</v>
      </c>
      <c r="G25" s="57">
        <v>0</v>
      </c>
      <c r="H25" s="58">
        <v>0</v>
      </c>
      <c r="I25" s="57">
        <v>0</v>
      </c>
      <c r="J25" s="58">
        <v>0</v>
      </c>
      <c r="K25" s="57">
        <v>0</v>
      </c>
      <c r="L25" s="58">
        <v>0</v>
      </c>
      <c r="M25" s="57">
        <v>0</v>
      </c>
      <c r="N25" s="58">
        <v>0</v>
      </c>
      <c r="O25" s="57">
        <v>0</v>
      </c>
      <c r="P25" s="58">
        <v>0</v>
      </c>
      <c r="Q25" s="57">
        <v>0</v>
      </c>
      <c r="R25" s="58">
        <v>0</v>
      </c>
      <c r="S25" s="57">
        <v>0</v>
      </c>
      <c r="T25" s="58">
        <v>0</v>
      </c>
      <c r="U25" s="59">
        <v>0</v>
      </c>
      <c r="V25" s="58">
        <v>0</v>
      </c>
      <c r="W25" s="57">
        <v>0</v>
      </c>
      <c r="X25" s="58">
        <v>0</v>
      </c>
      <c r="Y25" s="57">
        <v>0</v>
      </c>
      <c r="Z25" s="58">
        <v>0</v>
      </c>
      <c r="AA25" s="57">
        <v>0</v>
      </c>
      <c r="AB25" s="58">
        <v>0</v>
      </c>
      <c r="AC25" s="60">
        <v>0</v>
      </c>
      <c r="AD25" s="58">
        <v>0</v>
      </c>
      <c r="AE25" s="60">
        <v>0</v>
      </c>
      <c r="AF25" s="58">
        <v>0</v>
      </c>
      <c r="AG25" s="60">
        <v>0</v>
      </c>
      <c r="AH25" s="58">
        <v>0</v>
      </c>
      <c r="AI25" s="60">
        <v>0</v>
      </c>
      <c r="AJ25" s="58">
        <v>0</v>
      </c>
      <c r="AK25" s="60">
        <v>0</v>
      </c>
      <c r="AL25" s="58">
        <v>0</v>
      </c>
      <c r="AM25" s="57">
        <v>0</v>
      </c>
      <c r="AN25" s="61">
        <v>0</v>
      </c>
      <c r="AO25" s="62">
        <f t="shared" si="0"/>
        <v>0</v>
      </c>
      <c r="AP25" s="63">
        <f t="shared" si="1"/>
        <v>0</v>
      </c>
      <c r="AQ25" s="63">
        <f t="shared" si="2"/>
        <v>0</v>
      </c>
      <c r="AR25" s="64">
        <f t="shared" si="3"/>
        <v>0</v>
      </c>
      <c r="AS25" s="65">
        <f t="shared" si="4"/>
        <v>0</v>
      </c>
      <c r="AT25" s="66">
        <f t="shared" si="5"/>
        <v>0</v>
      </c>
      <c r="AU25" s="66">
        <f t="shared" si="6"/>
        <v>0</v>
      </c>
      <c r="AV25" s="66">
        <f t="shared" si="7"/>
        <v>0</v>
      </c>
      <c r="AW25" s="66">
        <f t="shared" si="8"/>
        <v>0</v>
      </c>
      <c r="AX25" s="66">
        <f t="shared" si="9"/>
        <v>0</v>
      </c>
      <c r="AY25" s="62">
        <f t="shared" si="10"/>
        <v>0</v>
      </c>
      <c r="AZ25" s="67">
        <f t="shared" si="11"/>
        <v>0</v>
      </c>
      <c r="BA25" s="64">
        <f t="shared" si="12"/>
        <v>0</v>
      </c>
      <c r="BB25" s="65">
        <f t="shared" si="14"/>
        <v>0</v>
      </c>
      <c r="BC25" s="68">
        <f t="shared" si="15"/>
        <v>0</v>
      </c>
      <c r="BD25" s="68">
        <f t="shared" si="16"/>
        <v>0</v>
      </c>
      <c r="BE25" s="68">
        <f t="shared" si="17"/>
        <v>0</v>
      </c>
      <c r="BF25" s="68">
        <f t="shared" si="18"/>
        <v>0</v>
      </c>
      <c r="BG25" s="68">
        <f t="shared" si="19"/>
        <v>0</v>
      </c>
      <c r="BH25" s="68">
        <f t="shared" si="20"/>
        <v>0</v>
      </c>
      <c r="BI25" s="68">
        <f t="shared" si="21"/>
        <v>0</v>
      </c>
      <c r="BJ25" s="68">
        <f t="shared" si="22"/>
        <v>0</v>
      </c>
      <c r="BK25" s="68">
        <f t="shared" si="23"/>
        <v>0</v>
      </c>
      <c r="BL25" s="24">
        <f t="shared" si="13"/>
        <v>0</v>
      </c>
      <c r="BM25" s="111">
        <v>0</v>
      </c>
    </row>
    <row r="26" spans="1:65" x14ac:dyDescent="0.25">
      <c r="A26" s="57">
        <v>0</v>
      </c>
      <c r="B26" s="58">
        <v>0</v>
      </c>
      <c r="C26" s="57">
        <v>0</v>
      </c>
      <c r="D26" s="58">
        <v>0</v>
      </c>
      <c r="E26" s="57">
        <v>0</v>
      </c>
      <c r="F26" s="58">
        <v>0</v>
      </c>
      <c r="G26" s="57">
        <v>0</v>
      </c>
      <c r="H26" s="58">
        <v>0</v>
      </c>
      <c r="I26" s="57">
        <v>0</v>
      </c>
      <c r="J26" s="58">
        <v>0</v>
      </c>
      <c r="K26" s="57">
        <v>0</v>
      </c>
      <c r="L26" s="58">
        <v>0</v>
      </c>
      <c r="M26" s="57">
        <v>0</v>
      </c>
      <c r="N26" s="58">
        <v>0</v>
      </c>
      <c r="O26" s="57">
        <v>0</v>
      </c>
      <c r="P26" s="58">
        <v>0</v>
      </c>
      <c r="Q26" s="57">
        <v>0</v>
      </c>
      <c r="R26" s="58">
        <v>0</v>
      </c>
      <c r="S26" s="57">
        <v>0</v>
      </c>
      <c r="T26" s="58">
        <v>0</v>
      </c>
      <c r="U26" s="59">
        <v>0</v>
      </c>
      <c r="V26" s="58">
        <v>0</v>
      </c>
      <c r="W26" s="57">
        <v>0</v>
      </c>
      <c r="X26" s="58">
        <v>0</v>
      </c>
      <c r="Y26" s="57">
        <v>0</v>
      </c>
      <c r="Z26" s="58">
        <v>0</v>
      </c>
      <c r="AA26" s="57">
        <v>0</v>
      </c>
      <c r="AB26" s="58">
        <v>0</v>
      </c>
      <c r="AC26" s="60">
        <v>0</v>
      </c>
      <c r="AD26" s="58">
        <v>0</v>
      </c>
      <c r="AE26" s="60">
        <v>0</v>
      </c>
      <c r="AF26" s="58">
        <v>0</v>
      </c>
      <c r="AG26" s="60">
        <v>0</v>
      </c>
      <c r="AH26" s="58">
        <v>0</v>
      </c>
      <c r="AI26" s="60">
        <v>0</v>
      </c>
      <c r="AJ26" s="58">
        <v>0</v>
      </c>
      <c r="AK26" s="60">
        <v>0</v>
      </c>
      <c r="AL26" s="58">
        <v>0</v>
      </c>
      <c r="AM26" s="57">
        <v>0</v>
      </c>
      <c r="AN26" s="61">
        <v>0</v>
      </c>
      <c r="AO26" s="62">
        <f t="shared" si="0"/>
        <v>0</v>
      </c>
      <c r="AP26" s="63">
        <f t="shared" si="1"/>
        <v>0</v>
      </c>
      <c r="AQ26" s="63">
        <f t="shared" si="2"/>
        <v>0</v>
      </c>
      <c r="AR26" s="64">
        <f t="shared" si="3"/>
        <v>0</v>
      </c>
      <c r="AS26" s="65">
        <f t="shared" si="4"/>
        <v>0</v>
      </c>
      <c r="AT26" s="66">
        <f t="shared" si="5"/>
        <v>0</v>
      </c>
      <c r="AU26" s="66">
        <f t="shared" si="6"/>
        <v>0</v>
      </c>
      <c r="AV26" s="66">
        <f t="shared" si="7"/>
        <v>0</v>
      </c>
      <c r="AW26" s="66">
        <f t="shared" si="8"/>
        <v>0</v>
      </c>
      <c r="AX26" s="66">
        <f t="shared" si="9"/>
        <v>0</v>
      </c>
      <c r="AY26" s="62">
        <f t="shared" si="10"/>
        <v>0</v>
      </c>
      <c r="AZ26" s="67">
        <f t="shared" si="11"/>
        <v>0</v>
      </c>
      <c r="BA26" s="64">
        <f t="shared" si="12"/>
        <v>0</v>
      </c>
      <c r="BB26" s="65">
        <f t="shared" si="14"/>
        <v>0</v>
      </c>
      <c r="BC26" s="68">
        <f t="shared" si="15"/>
        <v>0</v>
      </c>
      <c r="BD26" s="68">
        <f t="shared" si="16"/>
        <v>0</v>
      </c>
      <c r="BE26" s="68">
        <f t="shared" si="17"/>
        <v>0</v>
      </c>
      <c r="BF26" s="68">
        <f t="shared" si="18"/>
        <v>0</v>
      </c>
      <c r="BG26" s="68">
        <f t="shared" si="19"/>
        <v>0</v>
      </c>
      <c r="BH26" s="68">
        <f t="shared" si="20"/>
        <v>0</v>
      </c>
      <c r="BI26" s="68">
        <f t="shared" si="21"/>
        <v>0</v>
      </c>
      <c r="BJ26" s="68">
        <f t="shared" si="22"/>
        <v>0</v>
      </c>
      <c r="BK26" s="68">
        <f t="shared" si="23"/>
        <v>0</v>
      </c>
      <c r="BL26" s="24">
        <f t="shared" si="13"/>
        <v>0</v>
      </c>
      <c r="BM26" s="111">
        <v>0</v>
      </c>
    </row>
    <row r="27" spans="1:65" x14ac:dyDescent="0.25">
      <c r="A27" s="57">
        <v>0</v>
      </c>
      <c r="B27" s="58">
        <v>0</v>
      </c>
      <c r="C27" s="57">
        <v>0</v>
      </c>
      <c r="D27" s="58">
        <v>0</v>
      </c>
      <c r="E27" s="57">
        <v>0</v>
      </c>
      <c r="F27" s="58">
        <v>0</v>
      </c>
      <c r="G27" s="57">
        <v>0</v>
      </c>
      <c r="H27" s="58">
        <v>0</v>
      </c>
      <c r="I27" s="57">
        <v>0</v>
      </c>
      <c r="J27" s="58">
        <v>0</v>
      </c>
      <c r="K27" s="57">
        <v>0</v>
      </c>
      <c r="L27" s="58">
        <v>0</v>
      </c>
      <c r="M27" s="57">
        <v>0</v>
      </c>
      <c r="N27" s="58">
        <v>0</v>
      </c>
      <c r="O27" s="57">
        <v>0</v>
      </c>
      <c r="P27" s="58">
        <v>0</v>
      </c>
      <c r="Q27" s="57">
        <v>0</v>
      </c>
      <c r="R27" s="58">
        <v>0</v>
      </c>
      <c r="S27" s="57">
        <v>0</v>
      </c>
      <c r="T27" s="58">
        <v>0</v>
      </c>
      <c r="U27" s="59">
        <v>0</v>
      </c>
      <c r="V27" s="58">
        <v>0</v>
      </c>
      <c r="W27" s="57">
        <v>0</v>
      </c>
      <c r="X27" s="58">
        <v>0</v>
      </c>
      <c r="Y27" s="57">
        <v>0</v>
      </c>
      <c r="Z27" s="58">
        <v>0</v>
      </c>
      <c r="AA27" s="57">
        <v>0</v>
      </c>
      <c r="AB27" s="58">
        <v>0</v>
      </c>
      <c r="AC27" s="60">
        <v>0</v>
      </c>
      <c r="AD27" s="58">
        <v>0</v>
      </c>
      <c r="AE27" s="60">
        <v>0</v>
      </c>
      <c r="AF27" s="58">
        <v>0</v>
      </c>
      <c r="AG27" s="60">
        <v>0</v>
      </c>
      <c r="AH27" s="58">
        <v>0</v>
      </c>
      <c r="AI27" s="60">
        <v>0</v>
      </c>
      <c r="AJ27" s="58">
        <v>0</v>
      </c>
      <c r="AK27" s="60">
        <v>0</v>
      </c>
      <c r="AL27" s="58">
        <v>0</v>
      </c>
      <c r="AM27" s="57">
        <v>0</v>
      </c>
      <c r="AN27" s="61">
        <v>0</v>
      </c>
      <c r="AO27" s="62">
        <f t="shared" si="0"/>
        <v>0</v>
      </c>
      <c r="AP27" s="63">
        <f t="shared" si="1"/>
        <v>0</v>
      </c>
      <c r="AQ27" s="63">
        <f t="shared" si="2"/>
        <v>0</v>
      </c>
      <c r="AR27" s="64">
        <f t="shared" si="3"/>
        <v>0</v>
      </c>
      <c r="AS27" s="65">
        <f t="shared" si="4"/>
        <v>0</v>
      </c>
      <c r="AT27" s="66">
        <f t="shared" si="5"/>
        <v>0</v>
      </c>
      <c r="AU27" s="66">
        <f t="shared" si="6"/>
        <v>0</v>
      </c>
      <c r="AV27" s="66">
        <f t="shared" si="7"/>
        <v>0</v>
      </c>
      <c r="AW27" s="66">
        <f t="shared" si="8"/>
        <v>0</v>
      </c>
      <c r="AX27" s="66">
        <f t="shared" si="9"/>
        <v>0</v>
      </c>
      <c r="AY27" s="62">
        <f t="shared" si="10"/>
        <v>0</v>
      </c>
      <c r="AZ27" s="67">
        <f t="shared" si="11"/>
        <v>0</v>
      </c>
      <c r="BA27" s="64">
        <f t="shared" si="12"/>
        <v>0</v>
      </c>
      <c r="BB27" s="65">
        <f t="shared" si="14"/>
        <v>0</v>
      </c>
      <c r="BC27" s="68">
        <f t="shared" si="15"/>
        <v>0</v>
      </c>
      <c r="BD27" s="68">
        <f t="shared" si="16"/>
        <v>0</v>
      </c>
      <c r="BE27" s="68">
        <f t="shared" si="17"/>
        <v>0</v>
      </c>
      <c r="BF27" s="68">
        <f t="shared" si="18"/>
        <v>0</v>
      </c>
      <c r="BG27" s="68">
        <f t="shared" si="19"/>
        <v>0</v>
      </c>
      <c r="BH27" s="68">
        <f t="shared" si="20"/>
        <v>0</v>
      </c>
      <c r="BI27" s="68">
        <f t="shared" si="21"/>
        <v>0</v>
      </c>
      <c r="BJ27" s="68">
        <f t="shared" si="22"/>
        <v>0</v>
      </c>
      <c r="BK27" s="68">
        <f t="shared" si="23"/>
        <v>0</v>
      </c>
      <c r="BL27" s="24">
        <f t="shared" si="13"/>
        <v>0</v>
      </c>
      <c r="BM27" s="111">
        <v>0</v>
      </c>
    </row>
    <row r="28" spans="1:65" x14ac:dyDescent="0.25">
      <c r="A28" s="57">
        <v>0</v>
      </c>
      <c r="B28" s="58">
        <v>0</v>
      </c>
      <c r="C28" s="57">
        <v>0</v>
      </c>
      <c r="D28" s="58">
        <v>0</v>
      </c>
      <c r="E28" s="57">
        <v>0</v>
      </c>
      <c r="F28" s="58">
        <v>0</v>
      </c>
      <c r="G28" s="57">
        <v>0</v>
      </c>
      <c r="H28" s="58">
        <v>0</v>
      </c>
      <c r="I28" s="57">
        <v>0</v>
      </c>
      <c r="J28" s="58">
        <v>0</v>
      </c>
      <c r="K28" s="57">
        <v>0</v>
      </c>
      <c r="L28" s="58">
        <v>0</v>
      </c>
      <c r="M28" s="57">
        <v>0</v>
      </c>
      <c r="N28" s="58">
        <v>0</v>
      </c>
      <c r="O28" s="57">
        <v>0</v>
      </c>
      <c r="P28" s="58">
        <v>0</v>
      </c>
      <c r="Q28" s="57">
        <v>0</v>
      </c>
      <c r="R28" s="58">
        <v>0</v>
      </c>
      <c r="S28" s="57">
        <v>0</v>
      </c>
      <c r="T28" s="58">
        <v>0</v>
      </c>
      <c r="U28" s="59">
        <v>0</v>
      </c>
      <c r="V28" s="58">
        <v>0</v>
      </c>
      <c r="W28" s="57">
        <v>0</v>
      </c>
      <c r="X28" s="58">
        <v>0</v>
      </c>
      <c r="Y28" s="57">
        <v>0</v>
      </c>
      <c r="Z28" s="58">
        <v>0</v>
      </c>
      <c r="AA28" s="57">
        <v>0</v>
      </c>
      <c r="AB28" s="58">
        <v>0</v>
      </c>
      <c r="AC28" s="60">
        <v>0</v>
      </c>
      <c r="AD28" s="58">
        <v>0</v>
      </c>
      <c r="AE28" s="60">
        <v>0</v>
      </c>
      <c r="AF28" s="58">
        <v>0</v>
      </c>
      <c r="AG28" s="60">
        <v>0</v>
      </c>
      <c r="AH28" s="58">
        <v>0</v>
      </c>
      <c r="AI28" s="60">
        <v>0</v>
      </c>
      <c r="AJ28" s="58">
        <v>0</v>
      </c>
      <c r="AK28" s="60">
        <v>0</v>
      </c>
      <c r="AL28" s="58">
        <v>0</v>
      </c>
      <c r="AM28" s="57">
        <v>0</v>
      </c>
      <c r="AN28" s="61">
        <v>0</v>
      </c>
      <c r="AO28" s="62">
        <f t="shared" si="0"/>
        <v>0</v>
      </c>
      <c r="AP28" s="63">
        <f t="shared" si="1"/>
        <v>0</v>
      </c>
      <c r="AQ28" s="63">
        <f t="shared" si="2"/>
        <v>0</v>
      </c>
      <c r="AR28" s="64">
        <f t="shared" si="3"/>
        <v>0</v>
      </c>
      <c r="AS28" s="65">
        <f t="shared" si="4"/>
        <v>0</v>
      </c>
      <c r="AT28" s="66">
        <f t="shared" si="5"/>
        <v>0</v>
      </c>
      <c r="AU28" s="66">
        <f t="shared" si="6"/>
        <v>0</v>
      </c>
      <c r="AV28" s="66">
        <f t="shared" si="7"/>
        <v>0</v>
      </c>
      <c r="AW28" s="66">
        <f t="shared" si="8"/>
        <v>0</v>
      </c>
      <c r="AX28" s="66">
        <f t="shared" si="9"/>
        <v>0</v>
      </c>
      <c r="AY28" s="62">
        <f t="shared" si="10"/>
        <v>0</v>
      </c>
      <c r="AZ28" s="67">
        <f t="shared" si="11"/>
        <v>0</v>
      </c>
      <c r="BA28" s="64">
        <f t="shared" si="12"/>
        <v>0</v>
      </c>
      <c r="BB28" s="65">
        <f t="shared" si="14"/>
        <v>0</v>
      </c>
      <c r="BC28" s="68">
        <f t="shared" si="15"/>
        <v>0</v>
      </c>
      <c r="BD28" s="68">
        <f t="shared" si="16"/>
        <v>0</v>
      </c>
      <c r="BE28" s="68">
        <f t="shared" si="17"/>
        <v>0</v>
      </c>
      <c r="BF28" s="68">
        <f t="shared" si="18"/>
        <v>0</v>
      </c>
      <c r="BG28" s="68">
        <f t="shared" si="19"/>
        <v>0</v>
      </c>
      <c r="BH28" s="68">
        <f t="shared" si="20"/>
        <v>0</v>
      </c>
      <c r="BI28" s="68">
        <f t="shared" si="21"/>
        <v>0</v>
      </c>
      <c r="BJ28" s="68">
        <f t="shared" si="22"/>
        <v>0</v>
      </c>
      <c r="BK28" s="68">
        <f t="shared" si="23"/>
        <v>0</v>
      </c>
      <c r="BL28" s="24">
        <f t="shared" si="13"/>
        <v>0</v>
      </c>
      <c r="BM28" s="111">
        <v>0</v>
      </c>
    </row>
    <row r="29" spans="1:65" x14ac:dyDescent="0.25">
      <c r="A29" s="57">
        <v>0</v>
      </c>
      <c r="B29" s="58">
        <v>0</v>
      </c>
      <c r="C29" s="57">
        <v>0</v>
      </c>
      <c r="D29" s="58">
        <v>0</v>
      </c>
      <c r="E29" s="57">
        <v>0</v>
      </c>
      <c r="F29" s="58">
        <v>0</v>
      </c>
      <c r="G29" s="57">
        <v>0</v>
      </c>
      <c r="H29" s="58">
        <v>0</v>
      </c>
      <c r="I29" s="57">
        <v>0</v>
      </c>
      <c r="J29" s="58">
        <v>0</v>
      </c>
      <c r="K29" s="57">
        <v>0</v>
      </c>
      <c r="L29" s="58">
        <v>0</v>
      </c>
      <c r="M29" s="57">
        <v>0</v>
      </c>
      <c r="N29" s="58">
        <v>0</v>
      </c>
      <c r="O29" s="57">
        <v>0</v>
      </c>
      <c r="P29" s="58">
        <v>0</v>
      </c>
      <c r="Q29" s="57">
        <v>0</v>
      </c>
      <c r="R29" s="58">
        <v>0</v>
      </c>
      <c r="S29" s="57">
        <v>0</v>
      </c>
      <c r="T29" s="58">
        <v>0</v>
      </c>
      <c r="U29" s="59">
        <v>0</v>
      </c>
      <c r="V29" s="58">
        <v>0</v>
      </c>
      <c r="W29" s="57">
        <v>0</v>
      </c>
      <c r="X29" s="58">
        <v>0</v>
      </c>
      <c r="Y29" s="57">
        <v>0</v>
      </c>
      <c r="Z29" s="58">
        <v>0</v>
      </c>
      <c r="AA29" s="57">
        <v>0</v>
      </c>
      <c r="AB29" s="58">
        <v>0</v>
      </c>
      <c r="AC29" s="60">
        <v>0</v>
      </c>
      <c r="AD29" s="58">
        <v>0</v>
      </c>
      <c r="AE29" s="60">
        <v>0</v>
      </c>
      <c r="AF29" s="58">
        <v>0</v>
      </c>
      <c r="AG29" s="60">
        <v>0</v>
      </c>
      <c r="AH29" s="58">
        <v>0</v>
      </c>
      <c r="AI29" s="60">
        <v>0</v>
      </c>
      <c r="AJ29" s="58">
        <v>0</v>
      </c>
      <c r="AK29" s="60">
        <v>0</v>
      </c>
      <c r="AL29" s="58">
        <v>0</v>
      </c>
      <c r="AM29" s="57">
        <v>0</v>
      </c>
      <c r="AN29" s="61">
        <v>0</v>
      </c>
      <c r="AO29" s="62">
        <f t="shared" si="0"/>
        <v>0</v>
      </c>
      <c r="AP29" s="63">
        <f t="shared" si="1"/>
        <v>0</v>
      </c>
      <c r="AQ29" s="63">
        <f t="shared" si="2"/>
        <v>0</v>
      </c>
      <c r="AR29" s="64">
        <f t="shared" si="3"/>
        <v>0</v>
      </c>
      <c r="AS29" s="65">
        <f t="shared" si="4"/>
        <v>0</v>
      </c>
      <c r="AT29" s="66">
        <f t="shared" si="5"/>
        <v>0</v>
      </c>
      <c r="AU29" s="66">
        <f t="shared" si="6"/>
        <v>0</v>
      </c>
      <c r="AV29" s="66">
        <f t="shared" si="7"/>
        <v>0</v>
      </c>
      <c r="AW29" s="66">
        <f t="shared" si="8"/>
        <v>0</v>
      </c>
      <c r="AX29" s="66">
        <f t="shared" si="9"/>
        <v>0</v>
      </c>
      <c r="AY29" s="62">
        <f t="shared" si="10"/>
        <v>0</v>
      </c>
      <c r="AZ29" s="67">
        <f t="shared" si="11"/>
        <v>0</v>
      </c>
      <c r="BA29" s="64">
        <f t="shared" si="12"/>
        <v>0</v>
      </c>
      <c r="BB29" s="65">
        <f t="shared" si="14"/>
        <v>0</v>
      </c>
      <c r="BC29" s="68">
        <f t="shared" si="15"/>
        <v>0</v>
      </c>
      <c r="BD29" s="68">
        <f t="shared" si="16"/>
        <v>0</v>
      </c>
      <c r="BE29" s="68">
        <f t="shared" si="17"/>
        <v>0</v>
      </c>
      <c r="BF29" s="68">
        <f t="shared" si="18"/>
        <v>0</v>
      </c>
      <c r="BG29" s="68">
        <f t="shared" si="19"/>
        <v>0</v>
      </c>
      <c r="BH29" s="68">
        <f t="shared" si="20"/>
        <v>0</v>
      </c>
      <c r="BI29" s="68">
        <f t="shared" si="21"/>
        <v>0</v>
      </c>
      <c r="BJ29" s="68">
        <f t="shared" si="22"/>
        <v>0</v>
      </c>
      <c r="BK29" s="68">
        <f t="shared" si="23"/>
        <v>0</v>
      </c>
      <c r="BL29" s="24">
        <f t="shared" si="13"/>
        <v>0</v>
      </c>
      <c r="BM29" s="111">
        <v>0</v>
      </c>
    </row>
    <row r="30" spans="1:65" x14ac:dyDescent="0.25">
      <c r="A30" s="57">
        <v>0</v>
      </c>
      <c r="B30" s="58">
        <v>0</v>
      </c>
      <c r="C30" s="57">
        <v>0</v>
      </c>
      <c r="D30" s="58">
        <v>0</v>
      </c>
      <c r="E30" s="57">
        <v>0</v>
      </c>
      <c r="F30" s="58">
        <v>0</v>
      </c>
      <c r="G30" s="57">
        <v>0</v>
      </c>
      <c r="H30" s="58">
        <v>0</v>
      </c>
      <c r="I30" s="57">
        <v>0</v>
      </c>
      <c r="J30" s="58">
        <v>0</v>
      </c>
      <c r="K30" s="57">
        <v>0</v>
      </c>
      <c r="L30" s="58">
        <v>0</v>
      </c>
      <c r="M30" s="57">
        <v>0</v>
      </c>
      <c r="N30" s="58">
        <v>0</v>
      </c>
      <c r="O30" s="57">
        <v>0</v>
      </c>
      <c r="P30" s="58">
        <v>0</v>
      </c>
      <c r="Q30" s="57">
        <v>0</v>
      </c>
      <c r="R30" s="58">
        <v>0</v>
      </c>
      <c r="S30" s="57">
        <v>0</v>
      </c>
      <c r="T30" s="58">
        <v>0</v>
      </c>
      <c r="U30" s="59">
        <v>0</v>
      </c>
      <c r="V30" s="58">
        <v>0</v>
      </c>
      <c r="W30" s="57">
        <v>0</v>
      </c>
      <c r="X30" s="58">
        <v>0</v>
      </c>
      <c r="Y30" s="57">
        <v>0</v>
      </c>
      <c r="Z30" s="58">
        <v>0</v>
      </c>
      <c r="AA30" s="57">
        <v>0</v>
      </c>
      <c r="AB30" s="58">
        <v>0</v>
      </c>
      <c r="AC30" s="60">
        <v>0</v>
      </c>
      <c r="AD30" s="58">
        <v>0</v>
      </c>
      <c r="AE30" s="60">
        <v>0</v>
      </c>
      <c r="AF30" s="58">
        <v>0</v>
      </c>
      <c r="AG30" s="60">
        <v>0</v>
      </c>
      <c r="AH30" s="58">
        <v>0</v>
      </c>
      <c r="AI30" s="60">
        <v>0</v>
      </c>
      <c r="AJ30" s="58">
        <v>0</v>
      </c>
      <c r="AK30" s="60">
        <v>0</v>
      </c>
      <c r="AL30" s="58">
        <v>0</v>
      </c>
      <c r="AM30" s="57">
        <v>0</v>
      </c>
      <c r="AN30" s="61">
        <v>0</v>
      </c>
      <c r="AO30" s="62">
        <f t="shared" si="0"/>
        <v>0</v>
      </c>
      <c r="AP30" s="63">
        <f t="shared" si="1"/>
        <v>0</v>
      </c>
      <c r="AQ30" s="63">
        <f t="shared" si="2"/>
        <v>0</v>
      </c>
      <c r="AR30" s="64">
        <f t="shared" si="3"/>
        <v>0</v>
      </c>
      <c r="AS30" s="65">
        <f t="shared" si="4"/>
        <v>0</v>
      </c>
      <c r="AT30" s="66">
        <f t="shared" si="5"/>
        <v>0</v>
      </c>
      <c r="AU30" s="66">
        <f t="shared" si="6"/>
        <v>0</v>
      </c>
      <c r="AV30" s="66">
        <f t="shared" si="7"/>
        <v>0</v>
      </c>
      <c r="AW30" s="66">
        <f t="shared" si="8"/>
        <v>0</v>
      </c>
      <c r="AX30" s="66">
        <f t="shared" si="9"/>
        <v>0</v>
      </c>
      <c r="AY30" s="62">
        <f t="shared" si="10"/>
        <v>0</v>
      </c>
      <c r="AZ30" s="67">
        <f t="shared" si="11"/>
        <v>0</v>
      </c>
      <c r="BA30" s="64">
        <f t="shared" si="12"/>
        <v>0</v>
      </c>
      <c r="BB30" s="65">
        <f t="shared" si="14"/>
        <v>0</v>
      </c>
      <c r="BC30" s="68">
        <f t="shared" si="15"/>
        <v>0</v>
      </c>
      <c r="BD30" s="68">
        <f t="shared" si="16"/>
        <v>0</v>
      </c>
      <c r="BE30" s="68">
        <f t="shared" si="17"/>
        <v>0</v>
      </c>
      <c r="BF30" s="68">
        <f t="shared" si="18"/>
        <v>0</v>
      </c>
      <c r="BG30" s="68">
        <f t="shared" si="19"/>
        <v>0</v>
      </c>
      <c r="BH30" s="68">
        <f t="shared" si="20"/>
        <v>0</v>
      </c>
      <c r="BI30" s="68">
        <f t="shared" si="21"/>
        <v>0</v>
      </c>
      <c r="BJ30" s="68">
        <f t="shared" si="22"/>
        <v>0</v>
      </c>
      <c r="BK30" s="68">
        <f t="shared" si="23"/>
        <v>0</v>
      </c>
      <c r="BL30" s="24">
        <f t="shared" si="13"/>
        <v>0</v>
      </c>
      <c r="BM30" s="111">
        <v>0</v>
      </c>
    </row>
    <row r="31" spans="1:65" x14ac:dyDescent="0.25">
      <c r="A31" s="57">
        <v>0</v>
      </c>
      <c r="B31" s="58">
        <v>0</v>
      </c>
      <c r="C31" s="57">
        <v>0</v>
      </c>
      <c r="D31" s="58">
        <v>0</v>
      </c>
      <c r="E31" s="57">
        <v>0</v>
      </c>
      <c r="F31" s="58">
        <v>0</v>
      </c>
      <c r="G31" s="57">
        <v>0</v>
      </c>
      <c r="H31" s="58">
        <v>0</v>
      </c>
      <c r="I31" s="57">
        <v>0</v>
      </c>
      <c r="J31" s="58">
        <v>0</v>
      </c>
      <c r="K31" s="57">
        <v>0</v>
      </c>
      <c r="L31" s="58">
        <v>0</v>
      </c>
      <c r="M31" s="57">
        <v>0</v>
      </c>
      <c r="N31" s="58">
        <v>0</v>
      </c>
      <c r="O31" s="57">
        <v>0</v>
      </c>
      <c r="P31" s="58">
        <v>0</v>
      </c>
      <c r="Q31" s="57">
        <v>0</v>
      </c>
      <c r="R31" s="58">
        <v>0</v>
      </c>
      <c r="S31" s="57">
        <v>0</v>
      </c>
      <c r="T31" s="58">
        <v>0</v>
      </c>
      <c r="U31" s="59">
        <v>0</v>
      </c>
      <c r="V31" s="58">
        <v>0</v>
      </c>
      <c r="W31" s="57">
        <v>0</v>
      </c>
      <c r="X31" s="58">
        <v>0</v>
      </c>
      <c r="Y31" s="57">
        <v>0</v>
      </c>
      <c r="Z31" s="58">
        <v>0</v>
      </c>
      <c r="AA31" s="57">
        <v>0</v>
      </c>
      <c r="AB31" s="58">
        <v>0</v>
      </c>
      <c r="AC31" s="60">
        <v>0</v>
      </c>
      <c r="AD31" s="58">
        <v>0</v>
      </c>
      <c r="AE31" s="60">
        <v>0</v>
      </c>
      <c r="AF31" s="58">
        <v>0</v>
      </c>
      <c r="AG31" s="60">
        <v>0</v>
      </c>
      <c r="AH31" s="58">
        <v>0</v>
      </c>
      <c r="AI31" s="60">
        <v>0</v>
      </c>
      <c r="AJ31" s="58">
        <v>0</v>
      </c>
      <c r="AK31" s="60">
        <v>0</v>
      </c>
      <c r="AL31" s="58">
        <v>0</v>
      </c>
      <c r="AM31" s="57">
        <v>0</v>
      </c>
      <c r="AN31" s="61">
        <v>0</v>
      </c>
      <c r="AO31" s="62">
        <f t="shared" si="0"/>
        <v>0</v>
      </c>
      <c r="AP31" s="63">
        <f t="shared" si="1"/>
        <v>0</v>
      </c>
      <c r="AQ31" s="63">
        <f t="shared" si="2"/>
        <v>0</v>
      </c>
      <c r="AR31" s="64">
        <f t="shared" si="3"/>
        <v>0</v>
      </c>
      <c r="AS31" s="65">
        <f t="shared" si="4"/>
        <v>0</v>
      </c>
      <c r="AT31" s="66">
        <f t="shared" si="5"/>
        <v>0</v>
      </c>
      <c r="AU31" s="66">
        <f t="shared" si="6"/>
        <v>0</v>
      </c>
      <c r="AV31" s="66">
        <f t="shared" si="7"/>
        <v>0</v>
      </c>
      <c r="AW31" s="66">
        <f t="shared" si="8"/>
        <v>0</v>
      </c>
      <c r="AX31" s="66">
        <f t="shared" si="9"/>
        <v>0</v>
      </c>
      <c r="AY31" s="62">
        <f t="shared" si="10"/>
        <v>0</v>
      </c>
      <c r="AZ31" s="67">
        <f t="shared" si="11"/>
        <v>0</v>
      </c>
      <c r="BA31" s="64">
        <f t="shared" si="12"/>
        <v>0</v>
      </c>
      <c r="BB31" s="65">
        <f>ROUNDUP((V31 - U31) * 288, 0) / 288</f>
        <v>0</v>
      </c>
      <c r="BC31" s="68">
        <f t="shared" si="15"/>
        <v>0</v>
      </c>
      <c r="BD31" s="68">
        <f t="shared" si="16"/>
        <v>0</v>
      </c>
      <c r="BE31" s="68">
        <f t="shared" si="17"/>
        <v>0</v>
      </c>
      <c r="BF31" s="68">
        <f t="shared" si="18"/>
        <v>0</v>
      </c>
      <c r="BG31" s="68">
        <f t="shared" si="19"/>
        <v>0</v>
      </c>
      <c r="BH31" s="68">
        <f t="shared" si="20"/>
        <v>0</v>
      </c>
      <c r="BI31" s="68">
        <f t="shared" si="21"/>
        <v>0</v>
      </c>
      <c r="BJ31" s="68">
        <f t="shared" si="22"/>
        <v>0</v>
      </c>
      <c r="BK31" s="68">
        <f t="shared" si="23"/>
        <v>0</v>
      </c>
      <c r="BL31" s="24">
        <f t="shared" si="13"/>
        <v>0</v>
      </c>
      <c r="BM31" s="111">
        <v>0</v>
      </c>
    </row>
    <row r="32" spans="1:65" x14ac:dyDescent="0.25">
      <c r="A32" s="57">
        <v>0</v>
      </c>
      <c r="B32" s="58">
        <v>0</v>
      </c>
      <c r="C32" s="57">
        <v>0</v>
      </c>
      <c r="D32" s="58">
        <v>0</v>
      </c>
      <c r="E32" s="57">
        <v>0</v>
      </c>
      <c r="F32" s="58">
        <v>0</v>
      </c>
      <c r="G32" s="57">
        <v>0</v>
      </c>
      <c r="H32" s="58">
        <v>0</v>
      </c>
      <c r="I32" s="57">
        <v>0</v>
      </c>
      <c r="J32" s="58">
        <v>0</v>
      </c>
      <c r="K32" s="57">
        <v>0</v>
      </c>
      <c r="L32" s="58">
        <v>0</v>
      </c>
      <c r="M32" s="57">
        <v>0</v>
      </c>
      <c r="N32" s="58">
        <v>0</v>
      </c>
      <c r="O32" s="57">
        <v>0</v>
      </c>
      <c r="P32" s="58">
        <v>0</v>
      </c>
      <c r="Q32" s="57">
        <v>0</v>
      </c>
      <c r="R32" s="58">
        <v>0</v>
      </c>
      <c r="S32" s="57">
        <v>0</v>
      </c>
      <c r="T32" s="58">
        <v>0</v>
      </c>
      <c r="U32" s="59">
        <v>0</v>
      </c>
      <c r="V32" s="58">
        <v>0</v>
      </c>
      <c r="W32" s="57">
        <v>0</v>
      </c>
      <c r="X32" s="58">
        <v>0</v>
      </c>
      <c r="Y32" s="57">
        <v>0</v>
      </c>
      <c r="Z32" s="58">
        <v>0</v>
      </c>
      <c r="AA32" s="57">
        <v>0</v>
      </c>
      <c r="AB32" s="58">
        <v>0</v>
      </c>
      <c r="AC32" s="60">
        <v>0</v>
      </c>
      <c r="AD32" s="58">
        <v>0</v>
      </c>
      <c r="AE32" s="60">
        <v>0</v>
      </c>
      <c r="AF32" s="58">
        <v>0</v>
      </c>
      <c r="AG32" s="60">
        <v>0</v>
      </c>
      <c r="AH32" s="58">
        <v>0</v>
      </c>
      <c r="AI32" s="60">
        <v>0</v>
      </c>
      <c r="AJ32" s="58">
        <v>0</v>
      </c>
      <c r="AK32" s="60">
        <v>0</v>
      </c>
      <c r="AL32" s="58">
        <v>0</v>
      </c>
      <c r="AM32" s="57">
        <v>0</v>
      </c>
      <c r="AN32" s="61">
        <v>0</v>
      </c>
      <c r="AO32" s="62">
        <f t="shared" si="0"/>
        <v>0</v>
      </c>
      <c r="AP32" s="63">
        <f t="shared" si="1"/>
        <v>0</v>
      </c>
      <c r="AQ32" s="63">
        <f t="shared" si="2"/>
        <v>0</v>
      </c>
      <c r="AR32" s="64">
        <f t="shared" si="3"/>
        <v>0</v>
      </c>
      <c r="AS32" s="65">
        <f t="shared" si="4"/>
        <v>0</v>
      </c>
      <c r="AT32" s="66">
        <f t="shared" si="5"/>
        <v>0</v>
      </c>
      <c r="AU32" s="66">
        <f t="shared" si="6"/>
        <v>0</v>
      </c>
      <c r="AV32" s="66">
        <f t="shared" si="7"/>
        <v>0</v>
      </c>
      <c r="AW32" s="66">
        <f t="shared" si="8"/>
        <v>0</v>
      </c>
      <c r="AX32" s="66">
        <f t="shared" si="9"/>
        <v>0</v>
      </c>
      <c r="AY32" s="62">
        <f t="shared" si="10"/>
        <v>0</v>
      </c>
      <c r="AZ32" s="67">
        <f t="shared" si="11"/>
        <v>0</v>
      </c>
      <c r="BA32" s="64">
        <f t="shared" si="12"/>
        <v>0</v>
      </c>
      <c r="BB32" s="65">
        <f t="shared" si="14"/>
        <v>0</v>
      </c>
      <c r="BC32" s="68">
        <f t="shared" si="15"/>
        <v>0</v>
      </c>
      <c r="BD32" s="68">
        <f t="shared" si="16"/>
        <v>0</v>
      </c>
      <c r="BE32" s="68">
        <f t="shared" si="17"/>
        <v>0</v>
      </c>
      <c r="BF32" s="68">
        <f t="shared" si="18"/>
        <v>0</v>
      </c>
      <c r="BG32" s="68">
        <f t="shared" si="19"/>
        <v>0</v>
      </c>
      <c r="BH32" s="68">
        <f t="shared" si="20"/>
        <v>0</v>
      </c>
      <c r="BI32" s="68">
        <f t="shared" si="21"/>
        <v>0</v>
      </c>
      <c r="BJ32" s="68">
        <f t="shared" si="22"/>
        <v>0</v>
      </c>
      <c r="BK32" s="68">
        <f t="shared" si="23"/>
        <v>0</v>
      </c>
      <c r="BL32" s="24">
        <f t="shared" si="13"/>
        <v>0</v>
      </c>
      <c r="BM32" s="111">
        <v>0</v>
      </c>
    </row>
    <row r="33" spans="1:65" x14ac:dyDescent="0.25">
      <c r="A33" s="57">
        <v>0</v>
      </c>
      <c r="B33" s="58">
        <v>0</v>
      </c>
      <c r="C33" s="57">
        <v>0</v>
      </c>
      <c r="D33" s="58">
        <v>0</v>
      </c>
      <c r="E33" s="57">
        <v>0</v>
      </c>
      <c r="F33" s="58">
        <v>0</v>
      </c>
      <c r="G33" s="57">
        <v>0</v>
      </c>
      <c r="H33" s="58">
        <v>0</v>
      </c>
      <c r="I33" s="57">
        <v>0</v>
      </c>
      <c r="J33" s="58">
        <v>0</v>
      </c>
      <c r="K33" s="57">
        <v>0</v>
      </c>
      <c r="L33" s="58">
        <v>0</v>
      </c>
      <c r="M33" s="57">
        <v>0</v>
      </c>
      <c r="N33" s="58">
        <v>0</v>
      </c>
      <c r="O33" s="57">
        <v>0</v>
      </c>
      <c r="P33" s="58">
        <v>0</v>
      </c>
      <c r="Q33" s="57">
        <v>0</v>
      </c>
      <c r="R33" s="58">
        <v>0</v>
      </c>
      <c r="S33" s="57">
        <v>0</v>
      </c>
      <c r="T33" s="58">
        <v>0</v>
      </c>
      <c r="U33" s="59">
        <v>0</v>
      </c>
      <c r="V33" s="58">
        <v>0</v>
      </c>
      <c r="W33" s="57">
        <v>0</v>
      </c>
      <c r="X33" s="58">
        <v>0</v>
      </c>
      <c r="Y33" s="57">
        <v>0</v>
      </c>
      <c r="Z33" s="58">
        <v>0</v>
      </c>
      <c r="AA33" s="57">
        <v>0</v>
      </c>
      <c r="AB33" s="58">
        <v>0</v>
      </c>
      <c r="AC33" s="60">
        <v>0</v>
      </c>
      <c r="AD33" s="58">
        <v>0</v>
      </c>
      <c r="AE33" s="60">
        <v>0</v>
      </c>
      <c r="AF33" s="58">
        <v>0</v>
      </c>
      <c r="AG33" s="60">
        <v>0</v>
      </c>
      <c r="AH33" s="58">
        <v>0</v>
      </c>
      <c r="AI33" s="60">
        <v>0</v>
      </c>
      <c r="AJ33" s="58">
        <v>0</v>
      </c>
      <c r="AK33" s="60">
        <v>0</v>
      </c>
      <c r="AL33" s="58">
        <v>0</v>
      </c>
      <c r="AM33" s="57">
        <v>0</v>
      </c>
      <c r="AN33" s="61">
        <v>0</v>
      </c>
      <c r="AO33" s="62">
        <f t="shared" si="0"/>
        <v>0</v>
      </c>
      <c r="AP33" s="63">
        <f t="shared" si="1"/>
        <v>0</v>
      </c>
      <c r="AQ33" s="63">
        <f t="shared" si="2"/>
        <v>0</v>
      </c>
      <c r="AR33" s="64">
        <f t="shared" si="3"/>
        <v>0</v>
      </c>
      <c r="AS33" s="65">
        <f t="shared" si="4"/>
        <v>0</v>
      </c>
      <c r="AT33" s="66">
        <f t="shared" si="5"/>
        <v>0</v>
      </c>
      <c r="AU33" s="66">
        <f t="shared" si="6"/>
        <v>0</v>
      </c>
      <c r="AV33" s="66">
        <f t="shared" si="7"/>
        <v>0</v>
      </c>
      <c r="AW33" s="66">
        <f t="shared" si="8"/>
        <v>0</v>
      </c>
      <c r="AX33" s="66">
        <f t="shared" si="9"/>
        <v>0</v>
      </c>
      <c r="AY33" s="62">
        <f t="shared" si="10"/>
        <v>0</v>
      </c>
      <c r="AZ33" s="67">
        <f t="shared" si="11"/>
        <v>0</v>
      </c>
      <c r="BA33" s="64">
        <f t="shared" si="12"/>
        <v>0</v>
      </c>
      <c r="BB33" s="65">
        <f t="shared" si="14"/>
        <v>0</v>
      </c>
      <c r="BC33" s="68">
        <f t="shared" si="15"/>
        <v>0</v>
      </c>
      <c r="BD33" s="68">
        <f t="shared" si="16"/>
        <v>0</v>
      </c>
      <c r="BE33" s="68">
        <f t="shared" si="17"/>
        <v>0</v>
      </c>
      <c r="BF33" s="68">
        <f t="shared" si="18"/>
        <v>0</v>
      </c>
      <c r="BG33" s="68">
        <f t="shared" si="19"/>
        <v>0</v>
      </c>
      <c r="BH33" s="68">
        <f t="shared" si="20"/>
        <v>0</v>
      </c>
      <c r="BI33" s="68">
        <f t="shared" si="21"/>
        <v>0</v>
      </c>
      <c r="BJ33" s="68">
        <f t="shared" si="22"/>
        <v>0</v>
      </c>
      <c r="BK33" s="68">
        <f t="shared" si="23"/>
        <v>0</v>
      </c>
      <c r="BL33" s="24">
        <f t="shared" si="13"/>
        <v>0</v>
      </c>
      <c r="BM33" s="111">
        <v>0</v>
      </c>
    </row>
    <row r="34" spans="1:65" x14ac:dyDescent="0.25">
      <c r="A34" s="57">
        <v>0</v>
      </c>
      <c r="B34" s="58">
        <v>0</v>
      </c>
      <c r="C34" s="57">
        <v>0</v>
      </c>
      <c r="D34" s="58">
        <v>0</v>
      </c>
      <c r="E34" s="57">
        <v>0</v>
      </c>
      <c r="F34" s="58">
        <v>0</v>
      </c>
      <c r="G34" s="57">
        <v>0</v>
      </c>
      <c r="H34" s="58">
        <v>0</v>
      </c>
      <c r="I34" s="57">
        <v>0</v>
      </c>
      <c r="J34" s="58">
        <v>0</v>
      </c>
      <c r="K34" s="57">
        <v>0</v>
      </c>
      <c r="L34" s="58">
        <v>0</v>
      </c>
      <c r="M34" s="57">
        <v>0</v>
      </c>
      <c r="N34" s="58">
        <v>0</v>
      </c>
      <c r="O34" s="57">
        <v>0</v>
      </c>
      <c r="P34" s="58">
        <v>0</v>
      </c>
      <c r="Q34" s="57">
        <v>0</v>
      </c>
      <c r="R34" s="58">
        <v>0</v>
      </c>
      <c r="S34" s="57">
        <v>0</v>
      </c>
      <c r="T34" s="58">
        <v>0</v>
      </c>
      <c r="U34" s="59">
        <v>0</v>
      </c>
      <c r="V34" s="58">
        <v>0</v>
      </c>
      <c r="W34" s="57">
        <v>0</v>
      </c>
      <c r="X34" s="58">
        <v>0</v>
      </c>
      <c r="Y34" s="57">
        <v>0</v>
      </c>
      <c r="Z34" s="58">
        <v>0</v>
      </c>
      <c r="AA34" s="57">
        <v>0</v>
      </c>
      <c r="AB34" s="58">
        <v>0</v>
      </c>
      <c r="AC34" s="60">
        <v>0</v>
      </c>
      <c r="AD34" s="58">
        <v>0</v>
      </c>
      <c r="AE34" s="60">
        <v>0</v>
      </c>
      <c r="AF34" s="58">
        <v>0</v>
      </c>
      <c r="AG34" s="60">
        <v>0</v>
      </c>
      <c r="AH34" s="58">
        <v>0</v>
      </c>
      <c r="AI34" s="60">
        <v>0</v>
      </c>
      <c r="AJ34" s="58">
        <v>0</v>
      </c>
      <c r="AK34" s="60">
        <v>0</v>
      </c>
      <c r="AL34" s="58">
        <v>0</v>
      </c>
      <c r="AM34" s="57">
        <v>0</v>
      </c>
      <c r="AN34" s="61">
        <v>0</v>
      </c>
      <c r="AO34" s="62">
        <f t="shared" si="0"/>
        <v>0</v>
      </c>
      <c r="AP34" s="63">
        <f t="shared" si="1"/>
        <v>0</v>
      </c>
      <c r="AQ34" s="63">
        <f t="shared" si="2"/>
        <v>0</v>
      </c>
      <c r="AR34" s="64">
        <f t="shared" si="3"/>
        <v>0</v>
      </c>
      <c r="AS34" s="65">
        <f t="shared" si="4"/>
        <v>0</v>
      </c>
      <c r="AT34" s="66">
        <f t="shared" si="5"/>
        <v>0</v>
      </c>
      <c r="AU34" s="66">
        <f t="shared" si="6"/>
        <v>0</v>
      </c>
      <c r="AV34" s="66">
        <f t="shared" si="7"/>
        <v>0</v>
      </c>
      <c r="AW34" s="66">
        <f t="shared" si="8"/>
        <v>0</v>
      </c>
      <c r="AX34" s="66">
        <f t="shared" si="9"/>
        <v>0</v>
      </c>
      <c r="AY34" s="62">
        <f t="shared" si="10"/>
        <v>0</v>
      </c>
      <c r="AZ34" s="67">
        <f t="shared" si="11"/>
        <v>0</v>
      </c>
      <c r="BA34" s="64">
        <f t="shared" si="12"/>
        <v>0</v>
      </c>
      <c r="BB34" s="65">
        <f t="shared" si="14"/>
        <v>0</v>
      </c>
      <c r="BC34" s="68">
        <f t="shared" si="15"/>
        <v>0</v>
      </c>
      <c r="BD34" s="68">
        <f t="shared" si="16"/>
        <v>0</v>
      </c>
      <c r="BE34" s="68">
        <f t="shared" si="17"/>
        <v>0</v>
      </c>
      <c r="BF34" s="68">
        <f t="shared" si="18"/>
        <v>0</v>
      </c>
      <c r="BG34" s="68">
        <f t="shared" si="19"/>
        <v>0</v>
      </c>
      <c r="BH34" s="68">
        <f t="shared" si="20"/>
        <v>0</v>
      </c>
      <c r="BI34" s="68">
        <f t="shared" si="21"/>
        <v>0</v>
      </c>
      <c r="BJ34" s="68">
        <f t="shared" si="22"/>
        <v>0</v>
      </c>
      <c r="BK34" s="68">
        <f t="shared" si="23"/>
        <v>0</v>
      </c>
      <c r="BL34" s="24">
        <f t="shared" si="13"/>
        <v>0</v>
      </c>
      <c r="BM34" s="111">
        <v>0</v>
      </c>
    </row>
    <row r="35" spans="1:65" x14ac:dyDescent="0.25">
      <c r="A35" s="69">
        <v>0</v>
      </c>
      <c r="B35" s="70">
        <v>0</v>
      </c>
      <c r="C35" s="69">
        <v>0</v>
      </c>
      <c r="D35" s="70">
        <v>0</v>
      </c>
      <c r="E35" s="69">
        <v>0</v>
      </c>
      <c r="F35" s="70">
        <v>0</v>
      </c>
      <c r="G35" s="69">
        <v>0</v>
      </c>
      <c r="H35" s="70">
        <v>0</v>
      </c>
      <c r="I35" s="69">
        <v>0</v>
      </c>
      <c r="J35" s="70">
        <v>0</v>
      </c>
      <c r="K35" s="69">
        <v>0</v>
      </c>
      <c r="L35" s="70">
        <v>0</v>
      </c>
      <c r="M35" s="69">
        <v>0</v>
      </c>
      <c r="N35" s="70">
        <v>0</v>
      </c>
      <c r="O35" s="69">
        <v>0</v>
      </c>
      <c r="P35" s="70">
        <v>0</v>
      </c>
      <c r="Q35" s="69">
        <v>0</v>
      </c>
      <c r="R35" s="70">
        <v>0</v>
      </c>
      <c r="S35" s="69">
        <v>0</v>
      </c>
      <c r="T35" s="70">
        <v>0</v>
      </c>
      <c r="U35" s="71">
        <v>0</v>
      </c>
      <c r="V35" s="70">
        <v>0</v>
      </c>
      <c r="W35" s="69">
        <v>0</v>
      </c>
      <c r="X35" s="70">
        <v>0</v>
      </c>
      <c r="Y35" s="69">
        <v>0</v>
      </c>
      <c r="Z35" s="70">
        <v>0</v>
      </c>
      <c r="AA35" s="69">
        <v>0</v>
      </c>
      <c r="AB35" s="70">
        <v>0</v>
      </c>
      <c r="AC35" s="72">
        <v>0</v>
      </c>
      <c r="AD35" s="70">
        <v>0</v>
      </c>
      <c r="AE35" s="72">
        <v>0</v>
      </c>
      <c r="AF35" s="70">
        <v>0</v>
      </c>
      <c r="AG35" s="72">
        <v>0</v>
      </c>
      <c r="AH35" s="70">
        <v>0</v>
      </c>
      <c r="AI35" s="72">
        <v>0</v>
      </c>
      <c r="AJ35" s="70">
        <v>0</v>
      </c>
      <c r="AK35" s="72">
        <v>0</v>
      </c>
      <c r="AL35" s="70">
        <v>0</v>
      </c>
      <c r="AM35" s="69">
        <v>0</v>
      </c>
      <c r="AN35" s="73">
        <v>0</v>
      </c>
      <c r="AO35" s="74">
        <f t="shared" si="0"/>
        <v>0</v>
      </c>
      <c r="AP35" s="75">
        <f t="shared" si="1"/>
        <v>0</v>
      </c>
      <c r="AQ35" s="75">
        <f t="shared" si="2"/>
        <v>0</v>
      </c>
      <c r="AR35" s="76">
        <f t="shared" si="3"/>
        <v>0</v>
      </c>
      <c r="AS35" s="77">
        <f t="shared" si="4"/>
        <v>0</v>
      </c>
      <c r="AT35" s="78">
        <f t="shared" si="5"/>
        <v>0</v>
      </c>
      <c r="AU35" s="78">
        <f t="shared" si="6"/>
        <v>0</v>
      </c>
      <c r="AV35" s="78">
        <f t="shared" si="7"/>
        <v>0</v>
      </c>
      <c r="AW35" s="78">
        <f t="shared" si="8"/>
        <v>0</v>
      </c>
      <c r="AX35" s="78">
        <f t="shared" si="9"/>
        <v>0</v>
      </c>
      <c r="AY35" s="74">
        <f t="shared" si="10"/>
        <v>0</v>
      </c>
      <c r="AZ35" s="79">
        <f t="shared" si="11"/>
        <v>0</v>
      </c>
      <c r="BA35" s="76">
        <f t="shared" si="12"/>
        <v>0</v>
      </c>
      <c r="BB35" s="65">
        <f t="shared" si="14"/>
        <v>0</v>
      </c>
      <c r="BC35" s="68">
        <f t="shared" si="15"/>
        <v>0</v>
      </c>
      <c r="BD35" s="68">
        <f t="shared" si="16"/>
        <v>0</v>
      </c>
      <c r="BE35" s="68">
        <f t="shared" si="17"/>
        <v>0</v>
      </c>
      <c r="BF35" s="68">
        <f t="shared" si="18"/>
        <v>0</v>
      </c>
      <c r="BG35" s="68">
        <f t="shared" si="19"/>
        <v>0</v>
      </c>
      <c r="BH35" s="68">
        <f t="shared" si="20"/>
        <v>0</v>
      </c>
      <c r="BI35" s="68">
        <f t="shared" si="21"/>
        <v>0</v>
      </c>
      <c r="BJ35" s="68">
        <f t="shared" si="22"/>
        <v>0</v>
      </c>
      <c r="BK35" s="68">
        <f t="shared" si="23"/>
        <v>0</v>
      </c>
      <c r="BL35" s="27">
        <f t="shared" si="13"/>
        <v>0</v>
      </c>
      <c r="BM35" s="111">
        <v>0</v>
      </c>
    </row>
    <row r="36" spans="1:65" x14ac:dyDescent="0.25">
      <c r="A36" s="69">
        <v>0</v>
      </c>
      <c r="B36" s="70">
        <v>0</v>
      </c>
      <c r="C36" s="69">
        <v>0</v>
      </c>
      <c r="D36" s="70">
        <v>0</v>
      </c>
      <c r="E36" s="69">
        <v>0</v>
      </c>
      <c r="F36" s="70">
        <v>0</v>
      </c>
      <c r="G36" s="69">
        <v>0</v>
      </c>
      <c r="H36" s="70">
        <v>0</v>
      </c>
      <c r="I36" s="69">
        <v>0</v>
      </c>
      <c r="J36" s="70">
        <v>0</v>
      </c>
      <c r="K36" s="69">
        <v>0</v>
      </c>
      <c r="L36" s="70">
        <v>0</v>
      </c>
      <c r="M36" s="69">
        <v>0</v>
      </c>
      <c r="N36" s="70">
        <v>0</v>
      </c>
      <c r="O36" s="69">
        <v>0</v>
      </c>
      <c r="P36" s="70">
        <v>0</v>
      </c>
      <c r="Q36" s="69">
        <v>0</v>
      </c>
      <c r="R36" s="70">
        <v>0</v>
      </c>
      <c r="S36" s="69">
        <v>0</v>
      </c>
      <c r="T36" s="70">
        <v>0</v>
      </c>
      <c r="U36" s="71">
        <v>0</v>
      </c>
      <c r="V36" s="70">
        <v>0</v>
      </c>
      <c r="W36" s="69">
        <v>0</v>
      </c>
      <c r="X36" s="70">
        <v>0</v>
      </c>
      <c r="Y36" s="69">
        <v>0</v>
      </c>
      <c r="Z36" s="70">
        <v>0</v>
      </c>
      <c r="AA36" s="69">
        <v>0</v>
      </c>
      <c r="AB36" s="70">
        <v>0</v>
      </c>
      <c r="AC36" s="72">
        <v>0</v>
      </c>
      <c r="AD36" s="70">
        <v>0</v>
      </c>
      <c r="AE36" s="72">
        <v>0</v>
      </c>
      <c r="AF36" s="70">
        <v>0</v>
      </c>
      <c r="AG36" s="72">
        <v>0</v>
      </c>
      <c r="AH36" s="70">
        <v>0</v>
      </c>
      <c r="AI36" s="72">
        <v>0</v>
      </c>
      <c r="AJ36" s="70">
        <v>0</v>
      </c>
      <c r="AK36" s="72">
        <v>0</v>
      </c>
      <c r="AL36" s="70">
        <v>0</v>
      </c>
      <c r="AM36" s="69">
        <v>0</v>
      </c>
      <c r="AN36" s="73">
        <v>0</v>
      </c>
      <c r="AO36" s="74">
        <f t="shared" si="0"/>
        <v>0</v>
      </c>
      <c r="AP36" s="75">
        <f t="shared" si="1"/>
        <v>0</v>
      </c>
      <c r="AQ36" s="75">
        <f t="shared" si="2"/>
        <v>0</v>
      </c>
      <c r="AR36" s="76">
        <f t="shared" si="3"/>
        <v>0</v>
      </c>
      <c r="AS36" s="77">
        <f t="shared" si="4"/>
        <v>0</v>
      </c>
      <c r="AT36" s="78">
        <f t="shared" si="5"/>
        <v>0</v>
      </c>
      <c r="AU36" s="78">
        <f t="shared" si="6"/>
        <v>0</v>
      </c>
      <c r="AV36" s="78">
        <f t="shared" si="7"/>
        <v>0</v>
      </c>
      <c r="AW36" s="78">
        <f t="shared" si="8"/>
        <v>0</v>
      </c>
      <c r="AX36" s="78">
        <f t="shared" si="9"/>
        <v>0</v>
      </c>
      <c r="AY36" s="74">
        <f t="shared" si="10"/>
        <v>0</v>
      </c>
      <c r="AZ36" s="79">
        <f t="shared" si="11"/>
        <v>0</v>
      </c>
      <c r="BA36" s="76">
        <f t="shared" si="12"/>
        <v>0</v>
      </c>
      <c r="BB36" s="65">
        <f t="shared" si="14"/>
        <v>0</v>
      </c>
      <c r="BC36" s="68">
        <f t="shared" si="15"/>
        <v>0</v>
      </c>
      <c r="BD36" s="68">
        <f t="shared" si="16"/>
        <v>0</v>
      </c>
      <c r="BE36" s="68">
        <f t="shared" si="17"/>
        <v>0</v>
      </c>
      <c r="BF36" s="68">
        <f t="shared" si="18"/>
        <v>0</v>
      </c>
      <c r="BG36" s="68">
        <f t="shared" si="19"/>
        <v>0</v>
      </c>
      <c r="BH36" s="68">
        <f t="shared" si="20"/>
        <v>0</v>
      </c>
      <c r="BI36" s="68">
        <f t="shared" si="21"/>
        <v>0</v>
      </c>
      <c r="BJ36" s="68">
        <f t="shared" si="22"/>
        <v>0</v>
      </c>
      <c r="BK36" s="68">
        <f t="shared" si="23"/>
        <v>0</v>
      </c>
      <c r="BL36" s="27">
        <f t="shared" si="13"/>
        <v>0</v>
      </c>
      <c r="BM36" s="111">
        <v>0</v>
      </c>
    </row>
    <row r="37" spans="1:65" x14ac:dyDescent="0.25">
      <c r="A37" s="69">
        <v>0</v>
      </c>
      <c r="B37" s="70">
        <v>0</v>
      </c>
      <c r="C37" s="69">
        <v>0</v>
      </c>
      <c r="D37" s="70">
        <v>0</v>
      </c>
      <c r="E37" s="69">
        <v>0</v>
      </c>
      <c r="F37" s="70">
        <v>0</v>
      </c>
      <c r="G37" s="69">
        <v>0</v>
      </c>
      <c r="H37" s="70">
        <v>0</v>
      </c>
      <c r="I37" s="69">
        <v>0</v>
      </c>
      <c r="J37" s="70">
        <v>0</v>
      </c>
      <c r="K37" s="69">
        <v>0</v>
      </c>
      <c r="L37" s="70">
        <v>0</v>
      </c>
      <c r="M37" s="69">
        <v>0</v>
      </c>
      <c r="N37" s="70">
        <v>0</v>
      </c>
      <c r="O37" s="69">
        <v>0</v>
      </c>
      <c r="P37" s="70">
        <v>0</v>
      </c>
      <c r="Q37" s="69">
        <v>0</v>
      </c>
      <c r="R37" s="70">
        <v>0</v>
      </c>
      <c r="S37" s="69">
        <v>0</v>
      </c>
      <c r="T37" s="70">
        <v>0</v>
      </c>
      <c r="U37" s="71">
        <v>0</v>
      </c>
      <c r="V37" s="70">
        <v>0</v>
      </c>
      <c r="W37" s="69">
        <v>0</v>
      </c>
      <c r="X37" s="70">
        <v>0</v>
      </c>
      <c r="Y37" s="69">
        <v>0</v>
      </c>
      <c r="Z37" s="70">
        <v>0</v>
      </c>
      <c r="AA37" s="69">
        <v>0</v>
      </c>
      <c r="AB37" s="70">
        <v>0</v>
      </c>
      <c r="AC37" s="72">
        <v>0</v>
      </c>
      <c r="AD37" s="70">
        <v>0</v>
      </c>
      <c r="AE37" s="72">
        <v>0</v>
      </c>
      <c r="AF37" s="70">
        <v>0</v>
      </c>
      <c r="AG37" s="72">
        <v>0</v>
      </c>
      <c r="AH37" s="70">
        <v>0</v>
      </c>
      <c r="AI37" s="72">
        <v>0</v>
      </c>
      <c r="AJ37" s="70">
        <v>0</v>
      </c>
      <c r="AK37" s="72">
        <v>0</v>
      </c>
      <c r="AL37" s="70">
        <v>0</v>
      </c>
      <c r="AM37" s="69">
        <v>0</v>
      </c>
      <c r="AN37" s="73">
        <v>0</v>
      </c>
      <c r="AO37" s="74">
        <f t="shared" si="0"/>
        <v>0</v>
      </c>
      <c r="AP37" s="75">
        <f t="shared" si="1"/>
        <v>0</v>
      </c>
      <c r="AQ37" s="75">
        <f t="shared" si="2"/>
        <v>0</v>
      </c>
      <c r="AR37" s="76">
        <f t="shared" si="3"/>
        <v>0</v>
      </c>
      <c r="AS37" s="77">
        <f t="shared" si="4"/>
        <v>0</v>
      </c>
      <c r="AT37" s="78">
        <f t="shared" si="5"/>
        <v>0</v>
      </c>
      <c r="AU37" s="78">
        <f t="shared" si="6"/>
        <v>0</v>
      </c>
      <c r="AV37" s="78">
        <f t="shared" si="7"/>
        <v>0</v>
      </c>
      <c r="AW37" s="78">
        <f t="shared" si="8"/>
        <v>0</v>
      </c>
      <c r="AX37" s="78">
        <f t="shared" si="9"/>
        <v>0</v>
      </c>
      <c r="AY37" s="74">
        <f t="shared" si="10"/>
        <v>0</v>
      </c>
      <c r="AZ37" s="79">
        <f t="shared" si="11"/>
        <v>0</v>
      </c>
      <c r="BA37" s="76">
        <f t="shared" si="12"/>
        <v>0</v>
      </c>
      <c r="BB37" s="65">
        <f t="shared" si="14"/>
        <v>0</v>
      </c>
      <c r="BC37" s="68">
        <f t="shared" si="15"/>
        <v>0</v>
      </c>
      <c r="BD37" s="68">
        <f t="shared" si="16"/>
        <v>0</v>
      </c>
      <c r="BE37" s="68">
        <f t="shared" si="17"/>
        <v>0</v>
      </c>
      <c r="BF37" s="68">
        <f t="shared" si="18"/>
        <v>0</v>
      </c>
      <c r="BG37" s="68">
        <f t="shared" si="19"/>
        <v>0</v>
      </c>
      <c r="BH37" s="68">
        <f t="shared" si="20"/>
        <v>0</v>
      </c>
      <c r="BI37" s="68">
        <f t="shared" si="21"/>
        <v>0</v>
      </c>
      <c r="BJ37" s="68">
        <f t="shared" si="22"/>
        <v>0</v>
      </c>
      <c r="BK37" s="68">
        <f t="shared" si="23"/>
        <v>0</v>
      </c>
      <c r="BL37" s="27">
        <f t="shared" si="13"/>
        <v>0</v>
      </c>
      <c r="BM37" s="111">
        <v>0</v>
      </c>
    </row>
    <row r="38" spans="1:65" x14ac:dyDescent="0.25">
      <c r="A38" s="69">
        <v>0</v>
      </c>
      <c r="B38" s="70">
        <v>0</v>
      </c>
      <c r="C38" s="69">
        <v>0</v>
      </c>
      <c r="D38" s="70">
        <v>0</v>
      </c>
      <c r="E38" s="69">
        <v>0</v>
      </c>
      <c r="F38" s="70">
        <v>0</v>
      </c>
      <c r="G38" s="69">
        <v>0</v>
      </c>
      <c r="H38" s="70">
        <v>0</v>
      </c>
      <c r="I38" s="69">
        <v>0</v>
      </c>
      <c r="J38" s="70">
        <v>0</v>
      </c>
      <c r="K38" s="69">
        <v>0</v>
      </c>
      <c r="L38" s="70">
        <v>0</v>
      </c>
      <c r="M38" s="69">
        <v>0</v>
      </c>
      <c r="N38" s="70">
        <v>0</v>
      </c>
      <c r="O38" s="69">
        <v>0</v>
      </c>
      <c r="P38" s="70">
        <v>0</v>
      </c>
      <c r="Q38" s="69">
        <v>0</v>
      </c>
      <c r="R38" s="70">
        <v>0</v>
      </c>
      <c r="S38" s="69">
        <v>0</v>
      </c>
      <c r="T38" s="70">
        <v>0</v>
      </c>
      <c r="U38" s="71">
        <v>0</v>
      </c>
      <c r="V38" s="70">
        <v>0</v>
      </c>
      <c r="W38" s="69">
        <v>0</v>
      </c>
      <c r="X38" s="70">
        <v>0</v>
      </c>
      <c r="Y38" s="69">
        <v>0</v>
      </c>
      <c r="Z38" s="70">
        <v>0</v>
      </c>
      <c r="AA38" s="69">
        <v>0</v>
      </c>
      <c r="AB38" s="70">
        <v>0</v>
      </c>
      <c r="AC38" s="72">
        <v>0</v>
      </c>
      <c r="AD38" s="70">
        <v>0</v>
      </c>
      <c r="AE38" s="72">
        <v>0</v>
      </c>
      <c r="AF38" s="70">
        <v>0</v>
      </c>
      <c r="AG38" s="72">
        <v>0</v>
      </c>
      <c r="AH38" s="70">
        <v>0</v>
      </c>
      <c r="AI38" s="72">
        <v>0</v>
      </c>
      <c r="AJ38" s="70">
        <v>0</v>
      </c>
      <c r="AK38" s="72">
        <v>0</v>
      </c>
      <c r="AL38" s="70">
        <v>0</v>
      </c>
      <c r="AM38" s="69">
        <v>0</v>
      </c>
      <c r="AN38" s="73">
        <v>0</v>
      </c>
      <c r="AO38" s="74">
        <f t="shared" si="0"/>
        <v>0</v>
      </c>
      <c r="AP38" s="75">
        <f t="shared" si="1"/>
        <v>0</v>
      </c>
      <c r="AQ38" s="75">
        <f t="shared" si="2"/>
        <v>0</v>
      </c>
      <c r="AR38" s="76">
        <f t="shared" si="3"/>
        <v>0</v>
      </c>
      <c r="AS38" s="77">
        <f t="shared" si="4"/>
        <v>0</v>
      </c>
      <c r="AT38" s="78">
        <f t="shared" si="5"/>
        <v>0</v>
      </c>
      <c r="AU38" s="78">
        <f t="shared" si="6"/>
        <v>0</v>
      </c>
      <c r="AV38" s="78">
        <f t="shared" si="7"/>
        <v>0</v>
      </c>
      <c r="AW38" s="78">
        <f t="shared" si="8"/>
        <v>0</v>
      </c>
      <c r="AX38" s="78">
        <f t="shared" si="9"/>
        <v>0</v>
      </c>
      <c r="AY38" s="74">
        <f t="shared" si="10"/>
        <v>0</v>
      </c>
      <c r="AZ38" s="79">
        <f t="shared" si="11"/>
        <v>0</v>
      </c>
      <c r="BA38" s="76">
        <f t="shared" si="12"/>
        <v>0</v>
      </c>
      <c r="BB38" s="65">
        <f t="shared" si="14"/>
        <v>0</v>
      </c>
      <c r="BC38" s="68">
        <f t="shared" si="15"/>
        <v>0</v>
      </c>
      <c r="BD38" s="68">
        <f t="shared" si="16"/>
        <v>0</v>
      </c>
      <c r="BE38" s="68">
        <f t="shared" si="17"/>
        <v>0</v>
      </c>
      <c r="BF38" s="68">
        <f t="shared" si="18"/>
        <v>0</v>
      </c>
      <c r="BG38" s="68">
        <f t="shared" si="19"/>
        <v>0</v>
      </c>
      <c r="BH38" s="68">
        <f t="shared" si="20"/>
        <v>0</v>
      </c>
      <c r="BI38" s="68">
        <f t="shared" si="21"/>
        <v>0</v>
      </c>
      <c r="BJ38" s="68">
        <f t="shared" si="22"/>
        <v>0</v>
      </c>
      <c r="BK38" s="68">
        <f t="shared" si="23"/>
        <v>0</v>
      </c>
      <c r="BL38" s="27">
        <f t="shared" si="13"/>
        <v>0</v>
      </c>
      <c r="BM38" s="111">
        <v>0</v>
      </c>
    </row>
    <row r="39" spans="1:65" x14ac:dyDescent="0.25">
      <c r="A39" s="80">
        <v>0</v>
      </c>
      <c r="B39" s="81">
        <v>0</v>
      </c>
      <c r="C39" s="80">
        <v>0</v>
      </c>
      <c r="D39" s="81">
        <v>0</v>
      </c>
      <c r="E39" s="80">
        <v>0</v>
      </c>
      <c r="F39" s="81">
        <v>0</v>
      </c>
      <c r="G39" s="80">
        <v>0</v>
      </c>
      <c r="H39" s="81">
        <v>0</v>
      </c>
      <c r="I39" s="80">
        <v>0</v>
      </c>
      <c r="J39" s="81">
        <v>0</v>
      </c>
      <c r="K39" s="80">
        <v>0</v>
      </c>
      <c r="L39" s="81">
        <v>0</v>
      </c>
      <c r="M39" s="80">
        <v>0</v>
      </c>
      <c r="N39" s="81">
        <v>0</v>
      </c>
      <c r="O39" s="80">
        <v>0</v>
      </c>
      <c r="P39" s="81">
        <v>0</v>
      </c>
      <c r="Q39" s="80">
        <v>0</v>
      </c>
      <c r="R39" s="81">
        <v>0</v>
      </c>
      <c r="S39" s="80">
        <v>0</v>
      </c>
      <c r="T39" s="81">
        <v>0</v>
      </c>
      <c r="U39" s="82">
        <v>0</v>
      </c>
      <c r="V39" s="81">
        <v>0</v>
      </c>
      <c r="W39" s="80">
        <v>0</v>
      </c>
      <c r="X39" s="81">
        <v>0</v>
      </c>
      <c r="Y39" s="80">
        <v>0</v>
      </c>
      <c r="Z39" s="81">
        <v>0</v>
      </c>
      <c r="AA39" s="80">
        <v>0</v>
      </c>
      <c r="AB39" s="81">
        <v>0</v>
      </c>
      <c r="AC39" s="83">
        <v>0</v>
      </c>
      <c r="AD39" s="81">
        <v>0</v>
      </c>
      <c r="AE39" s="83">
        <v>0</v>
      </c>
      <c r="AF39" s="81">
        <v>0</v>
      </c>
      <c r="AG39" s="83">
        <v>0</v>
      </c>
      <c r="AH39" s="81">
        <v>0</v>
      </c>
      <c r="AI39" s="83">
        <v>0</v>
      </c>
      <c r="AJ39" s="81">
        <v>0</v>
      </c>
      <c r="AK39" s="83">
        <v>0</v>
      </c>
      <c r="AL39" s="81">
        <v>0</v>
      </c>
      <c r="AM39" s="80">
        <v>0</v>
      </c>
      <c r="AN39" s="84">
        <v>0</v>
      </c>
      <c r="AO39" s="85">
        <f t="shared" si="0"/>
        <v>0</v>
      </c>
      <c r="AP39" s="86">
        <f t="shared" si="1"/>
        <v>0</v>
      </c>
      <c r="AQ39" s="86">
        <f t="shared" si="2"/>
        <v>0</v>
      </c>
      <c r="AR39" s="87">
        <f t="shared" si="3"/>
        <v>0</v>
      </c>
      <c r="AS39" s="88">
        <f t="shared" si="4"/>
        <v>0</v>
      </c>
      <c r="AT39" s="89">
        <f t="shared" si="5"/>
        <v>0</v>
      </c>
      <c r="AU39" s="89">
        <f t="shared" si="6"/>
        <v>0</v>
      </c>
      <c r="AV39" s="89">
        <f t="shared" si="7"/>
        <v>0</v>
      </c>
      <c r="AW39" s="89">
        <f t="shared" si="8"/>
        <v>0</v>
      </c>
      <c r="AX39" s="89">
        <f t="shared" si="9"/>
        <v>0</v>
      </c>
      <c r="AY39" s="85">
        <f t="shared" si="10"/>
        <v>0</v>
      </c>
      <c r="AZ39" s="90">
        <f t="shared" si="11"/>
        <v>0</v>
      </c>
      <c r="BA39" s="87">
        <f t="shared" si="12"/>
        <v>0</v>
      </c>
      <c r="BB39" s="88">
        <f t="shared" si="14"/>
        <v>0</v>
      </c>
      <c r="BC39" s="91">
        <f t="shared" si="15"/>
        <v>0</v>
      </c>
      <c r="BD39" s="91">
        <f t="shared" si="16"/>
        <v>0</v>
      </c>
      <c r="BE39" s="91">
        <f t="shared" si="17"/>
        <v>0</v>
      </c>
      <c r="BF39" s="91">
        <f t="shared" si="18"/>
        <v>0</v>
      </c>
      <c r="BG39" s="91">
        <f t="shared" si="19"/>
        <v>0</v>
      </c>
      <c r="BH39" s="91">
        <f t="shared" si="20"/>
        <v>0</v>
      </c>
      <c r="BI39" s="91">
        <f t="shared" si="21"/>
        <v>0</v>
      </c>
      <c r="BJ39" s="91">
        <f t="shared" si="22"/>
        <v>0</v>
      </c>
      <c r="BK39" s="114">
        <f t="shared" si="23"/>
        <v>0</v>
      </c>
      <c r="BL39" s="28">
        <f t="shared" si="13"/>
        <v>0</v>
      </c>
      <c r="BM39" s="111">
        <v>0</v>
      </c>
    </row>
    <row r="40" spans="1:65" x14ac:dyDescent="0.25">
      <c r="A40" s="57"/>
      <c r="B40" s="58"/>
      <c r="C40" s="57"/>
      <c r="D40" s="58"/>
      <c r="E40" s="57"/>
      <c r="F40" s="58"/>
      <c r="G40" s="57"/>
      <c r="H40" s="58"/>
      <c r="I40" s="57"/>
      <c r="J40" s="58"/>
      <c r="K40" s="57"/>
      <c r="L40" s="58"/>
      <c r="M40" s="57"/>
      <c r="N40" s="58"/>
      <c r="O40" s="57"/>
      <c r="P40" s="58"/>
      <c r="Q40" s="57"/>
      <c r="R40" s="58"/>
      <c r="S40" s="57"/>
      <c r="T40" s="58"/>
      <c r="U40" s="59">
        <f>A40</f>
        <v>0</v>
      </c>
      <c r="V40" s="58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7">
        <f>IF(AND(V40&gt;0,V40=B40),C40,IF(V40=D40,E40,IF(V40=F40,G40,IF(V40=H40,I40,IF(V40=J40,K40,IF(V40=L40,M40,IF(V40=N40,O40,IF(V40=P40,Q40,S40))))))))</f>
        <v>0</v>
      </c>
      <c r="X40" s="58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7">
        <f>IF(AND(X40&gt;0,X40=D40),E40,IF(X40=F40,G40,IF(X40=H40,I40,IF(X40=J40,K40,IF(X40=L40,M40,IF(X40=N40,O40,IF(X40=P40,Q40,S40)))))))</f>
        <v>0</v>
      </c>
      <c r="Z40" s="58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7">
        <f>IF(AND(Z40&gt;0,Z40=F40),G40,IF(Z40=H40,I40,IF(Z40=J40,K40,IF(Z40=L40,M40,IF(Z40=N40,O40,IF(Z40=P40,Q40,S40))))))</f>
        <v>0</v>
      </c>
      <c r="AB40" s="58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60">
        <f>IF(AND(AB40&gt;0,AB40=H40),I40,IF(AB40=J40,K40,IF(AB40=L40,M40,IF(AB40=N40,O40,IF(AB40=P40,Q40,S40)))))</f>
        <v>0</v>
      </c>
      <c r="AD40" s="58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60">
        <f>IF(AND(AD40&gt;0,AD40=J40),K40,IF(AD40=L40,M40,IF(AD40=N40,O40,IF(AD40=P40,Q40,S40))))</f>
        <v>0</v>
      </c>
      <c r="AF40" s="58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60">
        <f>IF(AND(AF40&gt;0,AF40=L40),M40,IF(AF40=N40,O40,IF(AF40=P40,Q40,S40)))</f>
        <v>0</v>
      </c>
      <c r="AH40" s="58">
        <f>IF(AG40=M40,IF(AND(O40&gt;0,(O40-N40)&lt;$U$43),P40,N40),IF(AG40=O40,IF(AND(Q40&gt;0,(Q40-P40)&lt;$U$43),R40,P40),IF(AG40=Q40,IF(AND(S40&gt;0,(S40-R40)&lt;$U$43),T40,R40))))</f>
        <v>0</v>
      </c>
      <c r="AI40" s="60">
        <f>IF(AND(AH40&gt;0,AH40=N40),O40,IF(AH40=P40,Q40,S40))</f>
        <v>0</v>
      </c>
      <c r="AJ40" s="58">
        <f>IF(AI40=O40,IF(AND(Q40&gt;0,(Q40-P40)&lt;$U$43),R40,P40),IF(AI40=Q40,IF(AND(S40&gt;0,(S40-R40)&lt;$U$43),T40,R40)))</f>
        <v>0</v>
      </c>
      <c r="AK40" s="60">
        <f>IF(AND(AJ40&gt;0,AJ40=P40),Q40,S40)</f>
        <v>0</v>
      </c>
      <c r="AL40" s="58">
        <f>IF(AK40=Q40,IF(AND(S40&gt;0,(S40-R40)&lt;$U$43),T40,R40))</f>
        <v>0</v>
      </c>
      <c r="AM40" s="57">
        <f>IF(AND(AL40&gt;0,AL40=R40),S40,0)</f>
        <v>0</v>
      </c>
      <c r="AN40" s="61">
        <f>IF(AM40=S40,T40,0)</f>
        <v>0</v>
      </c>
      <c r="AO40" s="62">
        <f t="shared" si="0"/>
        <v>0</v>
      </c>
      <c r="AP40" s="63">
        <f t="shared" si="1"/>
        <v>0</v>
      </c>
      <c r="AQ40" s="63">
        <f t="shared" si="2"/>
        <v>0</v>
      </c>
      <c r="AR40" s="64">
        <f t="shared" si="3"/>
        <v>0</v>
      </c>
      <c r="AS40" s="65">
        <f t="shared" si="4"/>
        <v>0</v>
      </c>
      <c r="AT40" s="66">
        <f t="shared" si="5"/>
        <v>0</v>
      </c>
      <c r="AU40" s="66">
        <f t="shared" si="6"/>
        <v>0</v>
      </c>
      <c r="AV40" s="66">
        <f t="shared" si="7"/>
        <v>0</v>
      </c>
      <c r="AW40" s="66">
        <f t="shared" si="8"/>
        <v>0</v>
      </c>
      <c r="AX40" s="66">
        <f t="shared" si="9"/>
        <v>0</v>
      </c>
      <c r="AY40" s="92">
        <f t="shared" si="10"/>
        <v>0</v>
      </c>
      <c r="AZ40" s="93">
        <f t="shared" si="11"/>
        <v>0</v>
      </c>
      <c r="BA40" s="94">
        <f t="shared" si="12"/>
        <v>0</v>
      </c>
      <c r="BB40" s="52">
        <f t="shared" si="14"/>
        <v>0</v>
      </c>
      <c r="BC40" s="113">
        <f t="shared" si="15"/>
        <v>0</v>
      </c>
      <c r="BD40" s="113">
        <f t="shared" si="16"/>
        <v>0</v>
      </c>
      <c r="BE40" s="113">
        <f t="shared" si="17"/>
        <v>0</v>
      </c>
      <c r="BF40" s="113">
        <f t="shared" si="18"/>
        <v>0</v>
      </c>
      <c r="BG40" s="113">
        <f t="shared" si="19"/>
        <v>0</v>
      </c>
      <c r="BH40" s="113">
        <f t="shared" si="20"/>
        <v>0</v>
      </c>
      <c r="BI40" s="113">
        <f t="shared" si="21"/>
        <v>0</v>
      </c>
      <c r="BJ40" s="113">
        <f t="shared" si="22"/>
        <v>0</v>
      </c>
      <c r="BK40" s="113">
        <f t="shared" si="23"/>
        <v>0</v>
      </c>
      <c r="BL40" s="23">
        <f t="shared" si="13"/>
        <v>0</v>
      </c>
      <c r="BM40" s="111"/>
    </row>
    <row r="41" spans="1:65" x14ac:dyDescent="0.25">
      <c r="A41" s="57"/>
      <c r="B41" s="58"/>
      <c r="C41" s="57"/>
      <c r="D41" s="58"/>
      <c r="E41" s="57"/>
      <c r="F41" s="58"/>
      <c r="G41" s="57"/>
      <c r="H41" s="58"/>
      <c r="I41" s="57"/>
      <c r="J41" s="58"/>
      <c r="K41" s="57"/>
      <c r="L41" s="58"/>
      <c r="M41" s="57"/>
      <c r="N41" s="58"/>
      <c r="O41" s="57"/>
      <c r="P41" s="58"/>
      <c r="Q41" s="57"/>
      <c r="R41" s="58"/>
      <c r="S41" s="57"/>
      <c r="T41" s="58"/>
      <c r="U41" s="59">
        <f>A41</f>
        <v>0</v>
      </c>
      <c r="V41" s="58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7">
        <f>IF(AND(V41&gt;0,V41=B41),C41,IF(V41=D41,E41,IF(V41=F41,G41,IF(V41=H41,I41,IF(V41=J41,K41,IF(V41=L41,M41,IF(V41=N41,O41,IF(V41=P41,Q41,S41))))))))</f>
        <v>0</v>
      </c>
      <c r="X41" s="58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7">
        <f>IF(AND(X41&gt;0,X41=D41),E41,IF(X41=F41,G41,IF(X41=H41,I41,IF(X41=J41,K41,IF(X41=L41,M41,IF(X41=N41,O41,IF(X41=P41,Q41,S41)))))))</f>
        <v>0</v>
      </c>
      <c r="Z41" s="58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7">
        <f>IF(AND(Z41&gt;0,Z41=F41),G41,IF(Z41=H41,I41,IF(Z41=J41,K41,IF(Z41=L41,M41,IF(Z41=N41,O41,IF(Z41=P41,Q41,S41))))))</f>
        <v>0</v>
      </c>
      <c r="AB41" s="58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60">
        <f>IF(AND(AB41&gt;0,AB41=H41),I41,IF(AB41=J41,K41,IF(AB41=L41,M41,IF(AB41=N41,O41,IF(AB41=P41,Q41,S41)))))</f>
        <v>0</v>
      </c>
      <c r="AD41" s="58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60">
        <f>IF(AND(AD41&gt;0,AD41=J41),K41,IF(AD41=L41,M41,IF(AD41=N41,O41,IF(AD41=P41,Q41,S41))))</f>
        <v>0</v>
      </c>
      <c r="AF41" s="58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60">
        <f>IF(AND(AF41&gt;0,AF41=L41),M41,IF(AF41=N41,O41,IF(AF41=P41,Q41,S41)))</f>
        <v>0</v>
      </c>
      <c r="AH41" s="58">
        <f>IF(AG41=M41,IF(AND(O41&gt;0,(O41-N41)&lt;$U$43),P41,N41),IF(AG41=O41,IF(AND(Q41&gt;0,(Q41-P41)&lt;$U$43),R41,P41),IF(AG41=Q41,IF(AND(S41&gt;0,(S41-R41)&lt;$U$43),T41,R41))))</f>
        <v>0</v>
      </c>
      <c r="AI41" s="60">
        <f>IF(AND(AH41&gt;0,AH41=N41),O41,IF(AH41=P41,Q41,S41))</f>
        <v>0</v>
      </c>
      <c r="AJ41" s="58">
        <f>IF(AI41=O41,IF(AND(Q41&gt;0,(Q41-P41)&lt;$U$43),R41,P41),IF(AI41=Q41,IF(AND(S41&gt;0,(S41-R41)&lt;$U$43),T41,R41)))</f>
        <v>0</v>
      </c>
      <c r="AK41" s="60">
        <f>IF(AND(AJ41&gt;0,AJ41=P41),Q41,S41)</f>
        <v>0</v>
      </c>
      <c r="AL41" s="58">
        <f>IF(AK41=Q41,IF(AND(S41&gt;0,(S41-R41)&lt;$U$43),T41,R41))</f>
        <v>0</v>
      </c>
      <c r="AM41" s="57">
        <f>IF(AND(AL41&gt;0,AL41=R41),S41,0)</f>
        <v>0</v>
      </c>
      <c r="AN41" s="61">
        <f>IF(AM41=S41,T41,0)</f>
        <v>0</v>
      </c>
      <c r="AO41" s="62">
        <f t="shared" si="0"/>
        <v>0</v>
      </c>
      <c r="AP41" s="63">
        <f t="shared" si="1"/>
        <v>0</v>
      </c>
      <c r="AQ41" s="63">
        <f t="shared" si="2"/>
        <v>0</v>
      </c>
      <c r="AR41" s="64">
        <f t="shared" si="3"/>
        <v>0</v>
      </c>
      <c r="AS41" s="65">
        <f t="shared" si="4"/>
        <v>0</v>
      </c>
      <c r="AT41" s="66">
        <f t="shared" si="5"/>
        <v>0</v>
      </c>
      <c r="AU41" s="66">
        <f t="shared" si="6"/>
        <v>0</v>
      </c>
      <c r="AV41" s="66">
        <f t="shared" si="7"/>
        <v>0</v>
      </c>
      <c r="AW41" s="66">
        <f t="shared" si="8"/>
        <v>0</v>
      </c>
      <c r="AX41" s="66">
        <f t="shared" si="9"/>
        <v>0</v>
      </c>
      <c r="AY41" s="62">
        <f t="shared" si="10"/>
        <v>0</v>
      </c>
      <c r="AZ41" s="67">
        <f t="shared" si="11"/>
        <v>0</v>
      </c>
      <c r="BA41" s="64">
        <f t="shared" si="12"/>
        <v>0</v>
      </c>
      <c r="BB41" s="65">
        <f t="shared" si="14"/>
        <v>0</v>
      </c>
      <c r="BC41" s="68">
        <f t="shared" si="15"/>
        <v>0</v>
      </c>
      <c r="BD41" s="68">
        <f t="shared" si="16"/>
        <v>0</v>
      </c>
      <c r="BE41" s="68">
        <f t="shared" si="17"/>
        <v>0</v>
      </c>
      <c r="BF41" s="68">
        <f t="shared" si="18"/>
        <v>0</v>
      </c>
      <c r="BG41" s="68">
        <f t="shared" si="19"/>
        <v>0</v>
      </c>
      <c r="BH41" s="68">
        <f t="shared" si="20"/>
        <v>0</v>
      </c>
      <c r="BI41" s="68">
        <f t="shared" si="21"/>
        <v>0</v>
      </c>
      <c r="BJ41" s="68">
        <f t="shared" si="22"/>
        <v>0</v>
      </c>
      <c r="BK41" s="68">
        <f t="shared" si="23"/>
        <v>0</v>
      </c>
      <c r="BL41" s="24">
        <f t="shared" si="13"/>
        <v>0</v>
      </c>
      <c r="BM41" s="111"/>
    </row>
    <row r="42" spans="1:65" ht="15.75" thickBot="1" x14ac:dyDescent="0.3">
      <c r="A42" s="80"/>
      <c r="B42" s="81"/>
      <c r="C42" s="80"/>
      <c r="D42" s="81"/>
      <c r="E42" s="80"/>
      <c r="F42" s="81"/>
      <c r="G42" s="80"/>
      <c r="H42" s="81"/>
      <c r="I42" s="80"/>
      <c r="J42" s="81"/>
      <c r="K42" s="80"/>
      <c r="L42" s="81"/>
      <c r="M42" s="80"/>
      <c r="N42" s="81"/>
      <c r="O42" s="80"/>
      <c r="P42" s="81"/>
      <c r="Q42" s="80"/>
      <c r="R42" s="81"/>
      <c r="S42" s="80"/>
      <c r="T42" s="81"/>
      <c r="U42" s="82">
        <f>A42</f>
        <v>0</v>
      </c>
      <c r="V42" s="81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80">
        <f>IF(AND(V42&gt;0,V42=B42),C42,IF(V42=D42,E42,IF(V42=F42,G42,IF(V42=H42,I42,IF(V42=J42,K42,IF(V42=L42,M42,IF(V42=N42,O42,IF(V42=P42,Q42,S42))))))))</f>
        <v>0</v>
      </c>
      <c r="X42" s="81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80">
        <f>IF(AND(X42&gt;0,X42=D42),E42,IF(X42=F42,G42,IF(X42=H42,I42,IF(X42=J42,K42,IF(X42=L42,M42,IF(X42=N42,O42,IF(X42=P42,Q42,S42)))))))</f>
        <v>0</v>
      </c>
      <c r="Z42" s="81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80">
        <f>IF(AND(Z42&gt;0,Z42=F42),G42,IF(Z42=H42,I42,IF(Z42=J42,K42,IF(Z42=L42,M42,IF(Z42=N42,O42,IF(Z42=P42,Q42,S42))))))</f>
        <v>0</v>
      </c>
      <c r="AB42" s="81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3">
        <f>IF(AND(AB42&gt;0,AB42=H42),I42,IF(AB42=J42,K42,IF(AB42=L42,M42,IF(AB42=N42,O42,IF(AB42=P42,Q42,S42)))))</f>
        <v>0</v>
      </c>
      <c r="AD42" s="81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3">
        <f>IF(AND(AD42&gt;0,AD42=J42),K42,IF(AD42=L42,M42,IF(AD42=N42,O42,IF(AD42=P42,Q42,S42))))</f>
        <v>0</v>
      </c>
      <c r="AF42" s="81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3">
        <f>IF(AND(AF42&gt;0,AF42=L42),M42,IF(AF42=N42,O42,IF(AF42=P42,Q42,S42)))</f>
        <v>0</v>
      </c>
      <c r="AH42" s="81">
        <f>IF(AG42=M42,IF(AND(O42&gt;0,(O42-N42)&lt;$U$43),P42,N42),IF(AG42=O42,IF(AND(Q42&gt;0,(Q42-P42)&lt;$U$43),R42,P42),IF(AG42=Q42,IF(AND(S42&gt;0,(S42-R42)&lt;$U$43),T42,R42))))</f>
        <v>0</v>
      </c>
      <c r="AI42" s="83">
        <f>IF(AND(AH42&gt;0,AH42=N42),O42,IF(AH42=P42,Q42,S42))</f>
        <v>0</v>
      </c>
      <c r="AJ42" s="81">
        <f>IF(AI42=O42,IF(AND(Q42&gt;0,(Q42-P42)&lt;$U$43),R42,P42),IF(AI42=Q42,IF(AND(S42&gt;0,(S42-R42)&lt;$U$43),T42,R42)))</f>
        <v>0</v>
      </c>
      <c r="AK42" s="83">
        <f>IF(AND(AJ42&gt;0,AJ42=P42),Q42,S42)</f>
        <v>0</v>
      </c>
      <c r="AL42" s="81">
        <f>IF(AK42=Q42,IF(AND(S42&gt;0,(S42-R42)&lt;$U$43),T42,R42))</f>
        <v>0</v>
      </c>
      <c r="AM42" s="80">
        <f>IF(AND(AL42&gt;0,AL42=R42),S42,0)</f>
        <v>0</v>
      </c>
      <c r="AN42" s="84">
        <f>IF(AM42=S42,T42,0)</f>
        <v>0</v>
      </c>
      <c r="AO42" s="85">
        <f t="shared" si="0"/>
        <v>0</v>
      </c>
      <c r="AP42" s="86">
        <f t="shared" si="1"/>
        <v>0</v>
      </c>
      <c r="AQ42" s="86">
        <f t="shared" si="2"/>
        <v>0</v>
      </c>
      <c r="AR42" s="87">
        <f t="shared" si="3"/>
        <v>0</v>
      </c>
      <c r="AS42" s="88">
        <f t="shared" si="4"/>
        <v>0</v>
      </c>
      <c r="AT42" s="89">
        <f t="shared" si="5"/>
        <v>0</v>
      </c>
      <c r="AU42" s="89">
        <f t="shared" si="6"/>
        <v>0</v>
      </c>
      <c r="AV42" s="89">
        <f t="shared" si="7"/>
        <v>0</v>
      </c>
      <c r="AW42" s="89">
        <f t="shared" si="8"/>
        <v>0</v>
      </c>
      <c r="AX42" s="89">
        <f t="shared" si="9"/>
        <v>0</v>
      </c>
      <c r="AY42" s="74">
        <f t="shared" si="10"/>
        <v>0</v>
      </c>
      <c r="AZ42" s="79">
        <f t="shared" si="11"/>
        <v>0</v>
      </c>
      <c r="BA42" s="76">
        <f t="shared" si="12"/>
        <v>0</v>
      </c>
      <c r="BB42" s="65">
        <f t="shared" si="14"/>
        <v>0</v>
      </c>
      <c r="BC42" s="68">
        <f t="shared" si="15"/>
        <v>0</v>
      </c>
      <c r="BD42" s="68">
        <f t="shared" si="16"/>
        <v>0</v>
      </c>
      <c r="BE42" s="68">
        <f t="shared" si="17"/>
        <v>0</v>
      </c>
      <c r="BF42" s="68">
        <f t="shared" si="18"/>
        <v>0</v>
      </c>
      <c r="BG42" s="68">
        <f t="shared" si="19"/>
        <v>0</v>
      </c>
      <c r="BH42" s="68">
        <f t="shared" si="20"/>
        <v>0</v>
      </c>
      <c r="BI42" s="68">
        <f t="shared" si="21"/>
        <v>0</v>
      </c>
      <c r="BJ42" s="68">
        <f t="shared" si="22"/>
        <v>0</v>
      </c>
      <c r="BK42" s="68">
        <f t="shared" si="23"/>
        <v>0</v>
      </c>
      <c r="BL42" s="24">
        <f t="shared" si="13"/>
        <v>0</v>
      </c>
      <c r="BM42" s="111"/>
    </row>
    <row r="43" spans="1:65" ht="16.5" thickTop="1" thickBot="1" x14ac:dyDescent="0.3">
      <c r="U43" s="8">
        <v>1.3888888888888888E-2</v>
      </c>
      <c r="AM43" s="95"/>
      <c r="AT43" s="96" t="s">
        <v>33</v>
      </c>
      <c r="AU43" s="96" t="s">
        <v>13</v>
      </c>
      <c r="AV43" s="96" t="s">
        <v>34</v>
      </c>
      <c r="AW43" s="96" t="s">
        <v>35</v>
      </c>
      <c r="AX43" s="96"/>
      <c r="AY43" s="97">
        <f>SUM(AY5:AY42)</f>
        <v>0</v>
      </c>
      <c r="AZ43" s="98">
        <f>SUM(AZ5:AZ42)</f>
        <v>0</v>
      </c>
      <c r="BA43" s="99">
        <f>SUM(BA5:BA42)</f>
        <v>0</v>
      </c>
      <c r="BB43" s="100" t="str">
        <f t="shared" ref="BB43:BL43" si="24">TRUNC(SUM(BB5:BB42)*24,0) &amp; ":" &amp; RIGHT("00"&amp;ROUND(((SUM(BB5:BB42)*24)-TRUNC(SUM(BB5:BB42)*24,0))*60,2),2)</f>
        <v>0:00</v>
      </c>
      <c r="BC43" s="101" t="str">
        <f t="shared" si="24"/>
        <v>0:00</v>
      </c>
      <c r="BD43" s="101" t="str">
        <f t="shared" si="24"/>
        <v>0:00</v>
      </c>
      <c r="BE43" s="101" t="str">
        <f t="shared" si="24"/>
        <v>0:00</v>
      </c>
      <c r="BF43" s="101" t="str">
        <f t="shared" si="24"/>
        <v>0:00</v>
      </c>
      <c r="BG43" s="101" t="str">
        <f t="shared" si="24"/>
        <v>0:00</v>
      </c>
      <c r="BH43" s="101" t="str">
        <f t="shared" si="24"/>
        <v>0:00</v>
      </c>
      <c r="BI43" s="101" t="str">
        <f t="shared" si="24"/>
        <v>0:00</v>
      </c>
      <c r="BJ43" s="101" t="str">
        <f t="shared" si="24"/>
        <v>0:00</v>
      </c>
      <c r="BK43" s="102" t="str">
        <f t="shared" si="24"/>
        <v>0:00</v>
      </c>
      <c r="BL43" s="31" t="str">
        <f t="shared" si="24"/>
        <v>0:00</v>
      </c>
      <c r="BM43" s="112"/>
    </row>
    <row r="45" spans="1:65" x14ac:dyDescent="0.25">
      <c r="C45" s="320"/>
      <c r="D45" s="320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1" t="s">
        <v>48</v>
      </c>
      <c r="B1" s="341"/>
      <c r="C1" s="341"/>
    </row>
    <row r="2" spans="1:6" ht="15.75" x14ac:dyDescent="0.25">
      <c r="A2" s="190"/>
      <c r="B2" s="190"/>
      <c r="C2" s="190"/>
    </row>
    <row r="3" spans="1:6" ht="15.75" x14ac:dyDescent="0.25">
      <c r="A3" s="341">
        <f>Inter!I23</f>
        <v>0</v>
      </c>
      <c r="B3" s="341"/>
      <c r="C3" s="341"/>
    </row>
    <row r="4" spans="1:6" ht="15.75" x14ac:dyDescent="0.25">
      <c r="A4" s="190"/>
      <c r="B4" s="190"/>
      <c r="C4" s="190"/>
    </row>
    <row r="5" spans="1:6" ht="15.75" x14ac:dyDescent="0.25">
      <c r="A5" s="190" t="s">
        <v>49</v>
      </c>
      <c r="B5" s="190" t="s">
        <v>2</v>
      </c>
      <c r="C5" s="190" t="s">
        <v>3</v>
      </c>
      <c r="E5" s="190" t="s">
        <v>50</v>
      </c>
      <c r="F5" s="194" t="str">
        <f>Inter!AA97</f>
        <v>0:00</v>
      </c>
    </row>
    <row r="6" spans="1:6" x14ac:dyDescent="0.25">
      <c r="A6" s="191"/>
      <c r="B6" s="191"/>
      <c r="C6" s="191"/>
    </row>
    <row r="7" spans="1:6" x14ac:dyDescent="0.25">
      <c r="A7" s="191" t="str">
        <f>Inter!B27</f>
        <v>Lundi</v>
      </c>
      <c r="B7" s="192">
        <f>Inter!C27</f>
        <v>45649</v>
      </c>
      <c r="C7" s="193">
        <f>Inter!AA27</f>
        <v>0</v>
      </c>
    </row>
    <row r="8" spans="1:6" x14ac:dyDescent="0.25">
      <c r="A8" s="191" t="str">
        <f>Inter!B29</f>
        <v>Mardi</v>
      </c>
      <c r="B8" s="192">
        <f>Inter!C29</f>
        <v>45650</v>
      </c>
      <c r="C8" s="193">
        <f>Inter!AA29</f>
        <v>0</v>
      </c>
    </row>
    <row r="9" spans="1:6" x14ac:dyDescent="0.25">
      <c r="A9" s="191" t="str">
        <f>Inter!B31</f>
        <v>Mercredi</v>
      </c>
      <c r="B9" s="192">
        <f>Inter!C31</f>
        <v>45651</v>
      </c>
      <c r="C9" s="193">
        <f>Inter!AA31</f>
        <v>0</v>
      </c>
    </row>
    <row r="10" spans="1:6" x14ac:dyDescent="0.25">
      <c r="A10" s="191" t="str">
        <f>Inter!B33</f>
        <v>Jeudi</v>
      </c>
      <c r="B10" s="192">
        <f>Inter!C33</f>
        <v>45652</v>
      </c>
      <c r="C10" s="193">
        <f>Inter!AA33</f>
        <v>0</v>
      </c>
    </row>
    <row r="11" spans="1:6" x14ac:dyDescent="0.25">
      <c r="A11" s="191" t="str">
        <f>Inter!B35</f>
        <v>Vendredi</v>
      </c>
      <c r="B11" s="192">
        <f>Inter!C35</f>
        <v>45653</v>
      </c>
      <c r="C11" s="193">
        <f>Inter!AA35</f>
        <v>0</v>
      </c>
    </row>
    <row r="12" spans="1:6" x14ac:dyDescent="0.25">
      <c r="A12" s="191" t="str">
        <f>Inter!B37</f>
        <v>Samedi</v>
      </c>
      <c r="B12" s="192">
        <f>Inter!C37</f>
        <v>45654</v>
      </c>
      <c r="C12" s="193">
        <f>Inter!AA37</f>
        <v>0</v>
      </c>
    </row>
    <row r="13" spans="1:6" x14ac:dyDescent="0.25">
      <c r="A13" s="191" t="str">
        <f>Inter!B39</f>
        <v>Dimanche</v>
      </c>
      <c r="B13" s="192">
        <f>Inter!C39</f>
        <v>45655</v>
      </c>
      <c r="C13" s="193">
        <f>Inter!AA39</f>
        <v>0</v>
      </c>
    </row>
    <row r="14" spans="1:6" x14ac:dyDescent="0.25">
      <c r="A14" s="191" t="str">
        <f>Inter!B41</f>
        <v>Lundi</v>
      </c>
      <c r="B14" s="192">
        <f>Inter!C41</f>
        <v>45656</v>
      </c>
      <c r="C14" s="193">
        <f>Inter!AA41</f>
        <v>0</v>
      </c>
    </row>
    <row r="15" spans="1:6" x14ac:dyDescent="0.25">
      <c r="A15" s="191" t="str">
        <f>Inter!B43</f>
        <v>Mardi</v>
      </c>
      <c r="B15" s="192">
        <f>Inter!C43</f>
        <v>45657</v>
      </c>
      <c r="C15" s="193">
        <f>Inter!AA43</f>
        <v>0</v>
      </c>
    </row>
    <row r="16" spans="1:6" x14ac:dyDescent="0.25">
      <c r="A16" s="191" t="str">
        <f>Inter!B45</f>
        <v>Mercredi</v>
      </c>
      <c r="B16" s="192">
        <f>Inter!C45</f>
        <v>45658</v>
      </c>
      <c r="C16" s="193">
        <f>Inter!AA45</f>
        <v>0</v>
      </c>
    </row>
    <row r="17" spans="1:3" x14ac:dyDescent="0.25">
      <c r="A17" s="191" t="str">
        <f>Inter!B47</f>
        <v>Jeudi</v>
      </c>
      <c r="B17" s="192">
        <f>Inter!C47</f>
        <v>45659</v>
      </c>
      <c r="C17" s="193">
        <f>Inter!AA47</f>
        <v>0</v>
      </c>
    </row>
    <row r="18" spans="1:3" x14ac:dyDescent="0.25">
      <c r="A18" s="191" t="str">
        <f>Inter!B49</f>
        <v>Vendredi</v>
      </c>
      <c r="B18" s="192">
        <f>Inter!C49</f>
        <v>45660</v>
      </c>
      <c r="C18" s="193">
        <f>Inter!AA49</f>
        <v>0</v>
      </c>
    </row>
    <row r="19" spans="1:3" x14ac:dyDescent="0.25">
      <c r="A19" s="191" t="str">
        <f>Inter!B51</f>
        <v>Samedi</v>
      </c>
      <c r="B19" s="192">
        <f>Inter!C51</f>
        <v>45661</v>
      </c>
      <c r="C19" s="193">
        <f>Inter!AA51</f>
        <v>0</v>
      </c>
    </row>
    <row r="20" spans="1:3" x14ac:dyDescent="0.25">
      <c r="A20" s="191" t="str">
        <f>Inter!B53</f>
        <v>Dimanche</v>
      </c>
      <c r="B20" s="192">
        <f>Inter!C53</f>
        <v>45662</v>
      </c>
      <c r="C20" s="193">
        <f>Inter!AA53</f>
        <v>0</v>
      </c>
    </row>
    <row r="21" spans="1:3" x14ac:dyDescent="0.25">
      <c r="A21" s="191" t="str">
        <f>Inter!B55</f>
        <v>Lundi</v>
      </c>
      <c r="B21" s="192">
        <f>Inter!C55</f>
        <v>45663</v>
      </c>
      <c r="C21" s="193">
        <f>Inter!AA55</f>
        <v>0</v>
      </c>
    </row>
    <row r="22" spans="1:3" x14ac:dyDescent="0.25">
      <c r="A22" s="191" t="str">
        <f>Inter!B57</f>
        <v>Mardi</v>
      </c>
      <c r="B22" s="192">
        <f>Inter!C57</f>
        <v>45664</v>
      </c>
      <c r="C22" s="193">
        <f>Inter!AA57</f>
        <v>0</v>
      </c>
    </row>
    <row r="23" spans="1:3" x14ac:dyDescent="0.25">
      <c r="A23" s="191" t="str">
        <f>Inter!B59</f>
        <v>Mercredi</v>
      </c>
      <c r="B23" s="192">
        <f>Inter!C59</f>
        <v>45665</v>
      </c>
      <c r="C23" s="193">
        <f>Inter!AA59</f>
        <v>0</v>
      </c>
    </row>
    <row r="24" spans="1:3" x14ac:dyDescent="0.25">
      <c r="A24" s="191" t="str">
        <f>Inter!B61</f>
        <v>Jeudi</v>
      </c>
      <c r="B24" s="192">
        <f>Inter!C61</f>
        <v>45666</v>
      </c>
      <c r="C24" s="193">
        <f>Inter!AA61</f>
        <v>0</v>
      </c>
    </row>
    <row r="25" spans="1:3" x14ac:dyDescent="0.25">
      <c r="A25" s="191" t="str">
        <f>Inter!B63</f>
        <v>Vendredi</v>
      </c>
      <c r="B25" s="192">
        <f>Inter!C63</f>
        <v>45667</v>
      </c>
      <c r="C25" s="193">
        <f>Inter!AA63</f>
        <v>0</v>
      </c>
    </row>
    <row r="26" spans="1:3" x14ac:dyDescent="0.25">
      <c r="A26" s="191" t="str">
        <f>Inter!B65</f>
        <v>Samedi</v>
      </c>
      <c r="B26" s="192">
        <f>Inter!C65</f>
        <v>45668</v>
      </c>
      <c r="C26" s="193">
        <f>Inter!AA65</f>
        <v>0</v>
      </c>
    </row>
    <row r="27" spans="1:3" x14ac:dyDescent="0.25">
      <c r="A27" s="191" t="str">
        <f>Inter!B67</f>
        <v>Dimanche</v>
      </c>
      <c r="B27" s="192">
        <f>Inter!C67</f>
        <v>45669</v>
      </c>
      <c r="C27" s="193">
        <f>Inter!AA67</f>
        <v>0</v>
      </c>
    </row>
    <row r="28" spans="1:3" x14ac:dyDescent="0.25">
      <c r="A28" s="191" t="str">
        <f>Inter!B69</f>
        <v>Lundi</v>
      </c>
      <c r="B28" s="192">
        <f>Inter!C69</f>
        <v>45670</v>
      </c>
      <c r="C28" s="193">
        <f>Inter!AA69</f>
        <v>0</v>
      </c>
    </row>
    <row r="29" spans="1:3" x14ac:dyDescent="0.25">
      <c r="A29" s="191" t="str">
        <f>Inter!B71</f>
        <v>Mardi</v>
      </c>
      <c r="B29" s="192">
        <f>Inter!C71</f>
        <v>45671</v>
      </c>
      <c r="C29" s="193">
        <f>Inter!AA71</f>
        <v>0</v>
      </c>
    </row>
    <row r="30" spans="1:3" x14ac:dyDescent="0.25">
      <c r="A30" s="191" t="str">
        <f>Inter!B73</f>
        <v>Mercredi</v>
      </c>
      <c r="B30" s="192">
        <f>Inter!C73</f>
        <v>45672</v>
      </c>
      <c r="C30" s="193">
        <f>Inter!AA73</f>
        <v>0</v>
      </c>
    </row>
    <row r="31" spans="1:3" x14ac:dyDescent="0.25">
      <c r="A31" s="191" t="str">
        <f>Inter!B75</f>
        <v>Jeudi</v>
      </c>
      <c r="B31" s="192">
        <f>Inter!C75</f>
        <v>45673</v>
      </c>
      <c r="C31" s="193">
        <f>Inter!AA75</f>
        <v>0</v>
      </c>
    </row>
    <row r="32" spans="1:3" x14ac:dyDescent="0.25">
      <c r="A32" s="191" t="str">
        <f>Inter!B77</f>
        <v>Vendredi</v>
      </c>
      <c r="B32" s="192">
        <f>Inter!C77</f>
        <v>45674</v>
      </c>
      <c r="C32" s="193">
        <f>Inter!AA77</f>
        <v>0</v>
      </c>
    </row>
    <row r="33" spans="1:3" x14ac:dyDescent="0.25">
      <c r="A33" s="191" t="str">
        <f>Inter!B79</f>
        <v>Samedi</v>
      </c>
      <c r="B33" s="192">
        <f>Inter!C79</f>
        <v>45675</v>
      </c>
      <c r="C33" s="193">
        <f>Inter!AA79</f>
        <v>0</v>
      </c>
    </row>
    <row r="34" spans="1:3" x14ac:dyDescent="0.25">
      <c r="A34" s="191" t="str">
        <f>Inter!B81</f>
        <v>Dimanche</v>
      </c>
      <c r="B34" s="192">
        <f>Inter!C81</f>
        <v>45676</v>
      </c>
      <c r="C34" s="193">
        <f>Inter!AA81</f>
        <v>0</v>
      </c>
    </row>
    <row r="35" spans="1:3" x14ac:dyDescent="0.25">
      <c r="A35" s="191" t="str">
        <f>Inter!B83</f>
        <v>Lundi</v>
      </c>
      <c r="B35" s="192">
        <f>Inter!C83</f>
        <v>45677</v>
      </c>
      <c r="C35" s="193">
        <f>Inter!AA83</f>
        <v>0</v>
      </c>
    </row>
    <row r="36" spans="1:3" x14ac:dyDescent="0.25">
      <c r="A36" s="191" t="str">
        <f>Inter!B85</f>
        <v>Mardi</v>
      </c>
      <c r="B36" s="192">
        <f>Inter!C85</f>
        <v>45678</v>
      </c>
      <c r="C36" s="193">
        <f>Inter!AA85</f>
        <v>0</v>
      </c>
    </row>
    <row r="37" spans="1:3" x14ac:dyDescent="0.25">
      <c r="A37" s="191" t="str">
        <f>Inter!B87</f>
        <v>Mercredi</v>
      </c>
      <c r="B37" s="192">
        <f>Inter!C87</f>
        <v>45679</v>
      </c>
      <c r="C37" s="193">
        <f>Inter!AA87</f>
        <v>0</v>
      </c>
    </row>
    <row r="38" spans="1:3" x14ac:dyDescent="0.25">
      <c r="A38" s="191" t="str">
        <f>Inter!B89</f>
        <v>Jeudi</v>
      </c>
      <c r="B38" s="192">
        <f>Inter!C89</f>
        <v>45680</v>
      </c>
      <c r="C38" s="193">
        <f>Inter!AA89</f>
        <v>0</v>
      </c>
    </row>
    <row r="39" spans="1:3" x14ac:dyDescent="0.25">
      <c r="A39" s="191" t="str">
        <f>Inter!B91</f>
        <v>Vendredi</v>
      </c>
      <c r="B39" s="192">
        <f>Inter!C91</f>
        <v>45681</v>
      </c>
      <c r="C39" s="193">
        <f>Inter!AA91</f>
        <v>0</v>
      </c>
    </row>
    <row r="40" spans="1:3" x14ac:dyDescent="0.25">
      <c r="A40" s="191" t="str">
        <f>Inter!B93</f>
        <v>Samedi</v>
      </c>
      <c r="B40" s="192">
        <f>Inter!C93</f>
        <v>45682</v>
      </c>
      <c r="C40" s="193">
        <f>Inter!AA93</f>
        <v>0</v>
      </c>
    </row>
    <row r="41" spans="1:3" x14ac:dyDescent="0.25">
      <c r="A41" s="191" t="str">
        <f>Inter!B95</f>
        <v>Dimanche</v>
      </c>
      <c r="B41" s="192">
        <f>Inter!C95</f>
        <v>45683</v>
      </c>
      <c r="C41" s="193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5" sqref="P2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2" t="s">
        <v>51</v>
      </c>
      <c r="C1" s="342"/>
      <c r="D1" s="342"/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</row>
    <row r="2" spans="2:17" x14ac:dyDescent="0.25"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</row>
    <row r="3" spans="2:17" x14ac:dyDescent="0.25">
      <c r="B3" t="s">
        <v>52</v>
      </c>
      <c r="C3" s="10" t="s">
        <v>53</v>
      </c>
    </row>
    <row r="4" spans="2:17" x14ac:dyDescent="0.25">
      <c r="B4" t="s">
        <v>54</v>
      </c>
      <c r="D4">
        <f>Inter!I23</f>
        <v>0</v>
      </c>
    </row>
    <row r="5" spans="2:17" ht="15.75" thickBot="1" x14ac:dyDescent="0.3"/>
    <row r="6" spans="2:17" ht="15.75" customHeight="1" x14ac:dyDescent="0.25">
      <c r="C6" s="343" t="s">
        <v>55</v>
      </c>
      <c r="D6" s="346" t="s">
        <v>56</v>
      </c>
      <c r="E6" s="346" t="s">
        <v>30</v>
      </c>
      <c r="F6" s="349"/>
      <c r="G6" s="349"/>
      <c r="H6" s="351" t="s">
        <v>57</v>
      </c>
      <c r="I6" s="353" t="s">
        <v>30</v>
      </c>
      <c r="J6" s="349"/>
      <c r="K6" s="349"/>
      <c r="L6" s="351" t="s">
        <v>57</v>
      </c>
      <c r="M6" s="355" t="s">
        <v>58</v>
      </c>
      <c r="N6" s="252"/>
      <c r="O6" s="253"/>
    </row>
    <row r="7" spans="2:17" x14ac:dyDescent="0.25">
      <c r="C7" s="344"/>
      <c r="D7" s="347"/>
      <c r="E7" s="350"/>
      <c r="F7" s="350"/>
      <c r="G7" s="350"/>
      <c r="H7" s="352"/>
      <c r="I7" s="354"/>
      <c r="J7" s="350"/>
      <c r="K7" s="350"/>
      <c r="L7" s="352"/>
      <c r="M7" s="356"/>
      <c r="N7" s="252"/>
      <c r="O7" s="253"/>
    </row>
    <row r="8" spans="2:17" x14ac:dyDescent="0.25">
      <c r="C8" s="344"/>
      <c r="D8" s="347"/>
      <c r="E8" s="350"/>
      <c r="F8" s="350"/>
      <c r="G8" s="350"/>
      <c r="H8" s="352"/>
      <c r="I8" s="354"/>
      <c r="J8" s="350"/>
      <c r="K8" s="350"/>
      <c r="L8" s="352"/>
      <c r="M8" s="356"/>
      <c r="N8" s="252"/>
      <c r="O8" s="253"/>
    </row>
    <row r="9" spans="2:17" ht="15.75" thickBot="1" x14ac:dyDescent="0.3">
      <c r="C9" s="345"/>
      <c r="D9" s="348"/>
      <c r="E9" s="195" t="s">
        <v>6</v>
      </c>
      <c r="F9" s="195" t="s">
        <v>7</v>
      </c>
      <c r="G9" s="195" t="s">
        <v>59</v>
      </c>
      <c r="H9" s="352"/>
      <c r="I9" s="196" t="s">
        <v>6</v>
      </c>
      <c r="J9" s="195" t="s">
        <v>7</v>
      </c>
      <c r="K9" s="195" t="s">
        <v>59</v>
      </c>
      <c r="L9" s="352"/>
      <c r="M9" s="356"/>
      <c r="N9" s="252"/>
      <c r="O9" s="253"/>
    </row>
    <row r="10" spans="2:17" x14ac:dyDescent="0.25">
      <c r="C10" s="357"/>
      <c r="D10" s="360"/>
      <c r="E10" s="224"/>
      <c r="F10" s="224"/>
      <c r="G10" s="227"/>
      <c r="H10" s="239"/>
      <c r="I10" s="229"/>
      <c r="J10" s="230"/>
      <c r="K10" s="197"/>
      <c r="L10" s="241"/>
      <c r="M10" s="363"/>
      <c r="N10" s="252"/>
      <c r="O10" s="253"/>
      <c r="P10" s="200">
        <v>3</v>
      </c>
      <c r="Q10" s="200">
        <v>31</v>
      </c>
    </row>
    <row r="11" spans="2:17" x14ac:dyDescent="0.25">
      <c r="B11" t="s">
        <v>14</v>
      </c>
      <c r="C11" s="358"/>
      <c r="D11" s="361"/>
      <c r="E11" s="225"/>
      <c r="F11" s="225"/>
      <c r="G11" s="38"/>
      <c r="H11" s="39"/>
      <c r="I11" s="231"/>
      <c r="J11" s="232"/>
      <c r="K11" s="107"/>
      <c r="L11" s="242"/>
      <c r="M11" s="364"/>
      <c r="N11" s="252"/>
      <c r="O11" s="253"/>
      <c r="P11" s="32">
        <f>P10</f>
        <v>3</v>
      </c>
      <c r="Q11" s="32">
        <f>Q10</f>
        <v>31</v>
      </c>
    </row>
    <row r="12" spans="2:17" ht="15.75" thickBot="1" x14ac:dyDescent="0.3">
      <c r="C12" s="359"/>
      <c r="D12" s="362"/>
      <c r="E12" s="226"/>
      <c r="F12" s="226"/>
      <c r="G12" s="228"/>
      <c r="H12" s="240"/>
      <c r="I12" s="233"/>
      <c r="J12" s="234"/>
      <c r="K12" s="198"/>
      <c r="L12" s="243"/>
      <c r="M12" s="365"/>
      <c r="N12" s="252"/>
      <c r="O12" s="253"/>
      <c r="P12" s="32">
        <f>P10</f>
        <v>3</v>
      </c>
      <c r="Q12" s="32">
        <f>Q10</f>
        <v>31</v>
      </c>
    </row>
    <row r="13" spans="2:17" x14ac:dyDescent="0.25">
      <c r="C13" s="357"/>
      <c r="D13" s="360"/>
      <c r="E13" s="224"/>
      <c r="F13" s="224"/>
      <c r="G13" s="227"/>
      <c r="H13" s="239"/>
      <c r="I13" s="229"/>
      <c r="J13" s="230"/>
      <c r="K13" s="197"/>
      <c r="L13" s="241"/>
      <c r="M13" s="366"/>
      <c r="N13" s="252"/>
      <c r="O13" s="254"/>
      <c r="P13" s="32">
        <f>P10+1</f>
        <v>4</v>
      </c>
      <c r="Q13" s="32">
        <f>Q10+1</f>
        <v>32</v>
      </c>
    </row>
    <row r="14" spans="2:17" x14ac:dyDescent="0.25">
      <c r="B14" t="s">
        <v>15</v>
      </c>
      <c r="C14" s="358"/>
      <c r="D14" s="361"/>
      <c r="E14" s="225"/>
      <c r="F14" s="225"/>
      <c r="G14" s="38"/>
      <c r="H14" s="39"/>
      <c r="I14" s="231"/>
      <c r="J14" s="232"/>
      <c r="K14" s="107"/>
      <c r="L14" s="242"/>
      <c r="M14" s="364"/>
      <c r="N14" s="255"/>
      <c r="O14" s="254"/>
      <c r="P14" s="32">
        <f>P13</f>
        <v>4</v>
      </c>
      <c r="Q14" s="32">
        <f>Q13</f>
        <v>32</v>
      </c>
    </row>
    <row r="15" spans="2:17" ht="15.75" thickBot="1" x14ac:dyDescent="0.3">
      <c r="C15" s="359"/>
      <c r="D15" s="362"/>
      <c r="E15" s="226"/>
      <c r="F15" s="226"/>
      <c r="G15" s="228"/>
      <c r="H15" s="240"/>
      <c r="I15" s="233"/>
      <c r="J15" s="234"/>
      <c r="K15" s="198"/>
      <c r="L15" s="243"/>
      <c r="M15" s="365"/>
      <c r="N15" s="255"/>
      <c r="O15" s="254"/>
      <c r="P15" s="32">
        <f>P13</f>
        <v>4</v>
      </c>
      <c r="Q15" s="32">
        <f>Q13</f>
        <v>32</v>
      </c>
    </row>
    <row r="16" spans="2:17" x14ac:dyDescent="0.25">
      <c r="C16" s="357"/>
      <c r="D16" s="360"/>
      <c r="E16" s="224"/>
      <c r="F16" s="224"/>
      <c r="G16" s="227"/>
      <c r="H16" s="239"/>
      <c r="I16" s="229"/>
      <c r="J16" s="230"/>
      <c r="K16" s="197"/>
      <c r="L16" s="241"/>
      <c r="M16" s="366"/>
      <c r="N16" s="255"/>
      <c r="O16" s="254"/>
      <c r="P16" s="32">
        <f>P10+2</f>
        <v>5</v>
      </c>
      <c r="Q16" s="32">
        <f>Q10+2</f>
        <v>33</v>
      </c>
    </row>
    <row r="17" spans="2:17" x14ac:dyDescent="0.25">
      <c r="B17" t="s">
        <v>16</v>
      </c>
      <c r="C17" s="358"/>
      <c r="D17" s="361"/>
      <c r="E17" s="225"/>
      <c r="F17" s="225"/>
      <c r="G17" s="38"/>
      <c r="H17" s="39"/>
      <c r="I17" s="231"/>
      <c r="J17" s="232"/>
      <c r="K17" s="107"/>
      <c r="L17" s="242"/>
      <c r="M17" s="364"/>
      <c r="N17" s="255"/>
      <c r="O17" s="254"/>
      <c r="P17" s="32">
        <f>P16</f>
        <v>5</v>
      </c>
      <c r="Q17" s="32">
        <f>Q16</f>
        <v>33</v>
      </c>
    </row>
    <row r="18" spans="2:17" ht="15.75" thickBot="1" x14ac:dyDescent="0.3">
      <c r="C18" s="359"/>
      <c r="D18" s="362"/>
      <c r="E18" s="226"/>
      <c r="F18" s="226"/>
      <c r="G18" s="228"/>
      <c r="H18" s="240"/>
      <c r="I18" s="233"/>
      <c r="J18" s="234"/>
      <c r="K18" s="198"/>
      <c r="L18" s="243"/>
      <c r="M18" s="365"/>
      <c r="N18" s="255"/>
      <c r="O18" s="254"/>
      <c r="P18" s="32">
        <f>P16</f>
        <v>5</v>
      </c>
      <c r="Q18" s="32">
        <f>Q16</f>
        <v>33</v>
      </c>
    </row>
    <row r="19" spans="2:17" x14ac:dyDescent="0.25">
      <c r="C19" s="357"/>
      <c r="D19" s="360"/>
      <c r="E19" s="224"/>
      <c r="F19" s="224"/>
      <c r="G19" s="227"/>
      <c r="H19" s="239"/>
      <c r="I19" s="229"/>
      <c r="J19" s="230"/>
      <c r="K19" s="197"/>
      <c r="L19" s="241"/>
      <c r="M19" s="366"/>
      <c r="N19" s="255"/>
      <c r="O19" s="254"/>
      <c r="P19" s="32">
        <f>P10+3</f>
        <v>6</v>
      </c>
      <c r="Q19" s="32">
        <f>Q10+3</f>
        <v>34</v>
      </c>
    </row>
    <row r="20" spans="2:17" x14ac:dyDescent="0.25">
      <c r="B20" t="s">
        <v>17</v>
      </c>
      <c r="C20" s="358"/>
      <c r="D20" s="361"/>
      <c r="E20" s="225"/>
      <c r="F20" s="225"/>
      <c r="G20" s="38"/>
      <c r="H20" s="39"/>
      <c r="I20" s="231"/>
      <c r="J20" s="232"/>
      <c r="K20" s="107"/>
      <c r="L20" s="242"/>
      <c r="M20" s="364"/>
      <c r="N20" s="255"/>
      <c r="O20" s="254"/>
      <c r="P20" s="32">
        <f>P19</f>
        <v>6</v>
      </c>
      <c r="Q20" s="32">
        <f>Q19</f>
        <v>34</v>
      </c>
    </row>
    <row r="21" spans="2:17" ht="15.75" thickBot="1" x14ac:dyDescent="0.3">
      <c r="C21" s="359"/>
      <c r="D21" s="362"/>
      <c r="E21" s="226"/>
      <c r="F21" s="226"/>
      <c r="G21" s="228"/>
      <c r="H21" s="240"/>
      <c r="I21" s="233"/>
      <c r="J21" s="234"/>
      <c r="K21" s="198"/>
      <c r="L21" s="243"/>
      <c r="M21" s="365"/>
      <c r="N21" s="255"/>
      <c r="O21" s="254"/>
      <c r="P21" s="32">
        <f>P19</f>
        <v>6</v>
      </c>
      <c r="Q21" s="32">
        <f>Q19</f>
        <v>34</v>
      </c>
    </row>
    <row r="22" spans="2:17" x14ac:dyDescent="0.25">
      <c r="C22" s="357"/>
      <c r="D22" s="360"/>
      <c r="E22" s="224"/>
      <c r="F22" s="224"/>
      <c r="G22" s="227"/>
      <c r="H22" s="239"/>
      <c r="I22" s="229"/>
      <c r="J22" s="230"/>
      <c r="K22" s="197"/>
      <c r="L22" s="241"/>
      <c r="M22" s="366"/>
      <c r="N22" s="252"/>
      <c r="O22" s="254"/>
      <c r="P22" s="32">
        <f>P10+4</f>
        <v>7</v>
      </c>
      <c r="Q22" s="32">
        <f>Q10+4</f>
        <v>35</v>
      </c>
    </row>
    <row r="23" spans="2:17" x14ac:dyDescent="0.25">
      <c r="B23" t="s">
        <v>18</v>
      </c>
      <c r="C23" s="358"/>
      <c r="D23" s="361"/>
      <c r="E23" s="225"/>
      <c r="F23" s="225"/>
      <c r="G23" s="38"/>
      <c r="H23" s="39"/>
      <c r="I23" s="231"/>
      <c r="J23" s="232"/>
      <c r="K23" s="107"/>
      <c r="L23" s="242"/>
      <c r="M23" s="364"/>
      <c r="N23" s="255"/>
      <c r="O23" s="254"/>
      <c r="P23" s="32">
        <f>P22</f>
        <v>7</v>
      </c>
      <c r="Q23" s="32">
        <f>Q22</f>
        <v>35</v>
      </c>
    </row>
    <row r="24" spans="2:17" ht="15.75" thickBot="1" x14ac:dyDescent="0.3">
      <c r="C24" s="359"/>
      <c r="D24" s="362"/>
      <c r="E24" s="226"/>
      <c r="F24" s="226"/>
      <c r="G24" s="228"/>
      <c r="H24" s="240"/>
      <c r="I24" s="233"/>
      <c r="J24" s="234"/>
      <c r="K24" s="198"/>
      <c r="L24" s="243"/>
      <c r="M24" s="365"/>
      <c r="N24" s="255"/>
      <c r="O24" s="254"/>
      <c r="P24" s="32">
        <f>P22</f>
        <v>7</v>
      </c>
      <c r="Q24" s="32">
        <f>Q22</f>
        <v>35</v>
      </c>
    </row>
    <row r="25" spans="2:17" x14ac:dyDescent="0.25">
      <c r="C25" s="357"/>
      <c r="D25" s="360"/>
      <c r="E25" s="224"/>
      <c r="F25" s="224"/>
      <c r="G25" s="227"/>
      <c r="H25" s="239"/>
      <c r="I25" s="229"/>
      <c r="J25" s="230"/>
      <c r="K25" s="197"/>
      <c r="L25" s="241"/>
      <c r="M25" s="366"/>
      <c r="N25" s="255"/>
      <c r="O25" s="254"/>
      <c r="P25" s="32">
        <f>P10+5</f>
        <v>8</v>
      </c>
      <c r="Q25" s="32">
        <f>Q10+5</f>
        <v>36</v>
      </c>
    </row>
    <row r="26" spans="2:17" x14ac:dyDescent="0.25">
      <c r="B26" t="s">
        <v>19</v>
      </c>
      <c r="C26" s="358"/>
      <c r="D26" s="361"/>
      <c r="E26" s="225"/>
      <c r="F26" s="225"/>
      <c r="G26" s="38"/>
      <c r="H26" s="39"/>
      <c r="I26" s="231"/>
      <c r="J26" s="232"/>
      <c r="K26" s="107"/>
      <c r="L26" s="242"/>
      <c r="M26" s="364"/>
      <c r="N26" s="255"/>
      <c r="O26" s="254"/>
      <c r="P26" s="32">
        <f>P25</f>
        <v>8</v>
      </c>
      <c r="Q26" s="32">
        <f>Q25</f>
        <v>36</v>
      </c>
    </row>
    <row r="27" spans="2:17" ht="15.75" thickBot="1" x14ac:dyDescent="0.3">
      <c r="C27" s="359"/>
      <c r="D27" s="362"/>
      <c r="E27" s="226"/>
      <c r="F27" s="226"/>
      <c r="G27" s="228"/>
      <c r="H27" s="240"/>
      <c r="I27" s="233"/>
      <c r="J27" s="234"/>
      <c r="K27" s="198"/>
      <c r="L27" s="243"/>
      <c r="M27" s="365"/>
      <c r="N27" s="255"/>
      <c r="O27" s="254"/>
      <c r="P27" s="32">
        <f>P25</f>
        <v>8</v>
      </c>
      <c r="Q27" s="32">
        <f>Q25</f>
        <v>36</v>
      </c>
    </row>
    <row r="28" spans="2:17" x14ac:dyDescent="0.25">
      <c r="C28" s="357"/>
      <c r="D28" s="360"/>
      <c r="E28" s="224"/>
      <c r="F28" s="224"/>
      <c r="G28" s="227"/>
      <c r="H28" s="239"/>
      <c r="I28" s="229"/>
      <c r="J28" s="230"/>
      <c r="K28" s="197"/>
      <c r="L28" s="241"/>
      <c r="M28" s="366"/>
      <c r="N28" s="255"/>
      <c r="O28" s="254"/>
      <c r="P28" s="32">
        <f>P10+6</f>
        <v>9</v>
      </c>
      <c r="Q28" s="32">
        <f>Q10+6</f>
        <v>37</v>
      </c>
    </row>
    <row r="29" spans="2:17" x14ac:dyDescent="0.25">
      <c r="B29" t="s">
        <v>20</v>
      </c>
      <c r="C29" s="358"/>
      <c r="D29" s="361"/>
      <c r="E29" s="225"/>
      <c r="F29" s="225"/>
      <c r="G29" s="38"/>
      <c r="H29" s="39"/>
      <c r="I29" s="231"/>
      <c r="J29" s="232"/>
      <c r="K29" s="107"/>
      <c r="L29" s="242"/>
      <c r="M29" s="364"/>
      <c r="N29" s="255"/>
      <c r="O29" s="254"/>
      <c r="P29" s="32">
        <f>P28</f>
        <v>9</v>
      </c>
      <c r="Q29" s="32">
        <f>Q28</f>
        <v>37</v>
      </c>
    </row>
    <row r="30" spans="2:17" ht="15.75" thickBot="1" x14ac:dyDescent="0.3">
      <c r="C30" s="359"/>
      <c r="D30" s="362"/>
      <c r="E30" s="226"/>
      <c r="F30" s="226"/>
      <c r="G30" s="228"/>
      <c r="H30" s="240"/>
      <c r="I30" s="233"/>
      <c r="J30" s="234"/>
      <c r="K30" s="198"/>
      <c r="L30" s="243"/>
      <c r="M30" s="365"/>
      <c r="N30" s="255"/>
      <c r="O30" s="254"/>
      <c r="P30" s="32">
        <f>P28</f>
        <v>9</v>
      </c>
      <c r="Q30" s="32">
        <f>Q28</f>
        <v>37</v>
      </c>
    </row>
    <row r="32" spans="2:17" x14ac:dyDescent="0.25">
      <c r="B32" s="199" t="s">
        <v>60</v>
      </c>
    </row>
    <row r="33" spans="2:15" x14ac:dyDescent="0.25">
      <c r="B33" s="199" t="s">
        <v>61</v>
      </c>
    </row>
    <row r="36" spans="2:15" x14ac:dyDescent="0.25">
      <c r="B36" s="378" t="s">
        <v>62</v>
      </c>
      <c r="C36" s="379"/>
      <c r="D36" s="379"/>
      <c r="E36" s="379"/>
      <c r="F36" s="379"/>
      <c r="G36" s="379"/>
      <c r="H36" s="379"/>
      <c r="I36" s="379"/>
      <c r="J36" s="380"/>
      <c r="K36" s="378" t="s">
        <v>63</v>
      </c>
      <c r="L36" s="379"/>
      <c r="M36" s="379"/>
      <c r="N36" s="309"/>
      <c r="O36" s="310"/>
    </row>
    <row r="37" spans="2:15" x14ac:dyDescent="0.25">
      <c r="B37" s="367"/>
      <c r="C37" s="368"/>
      <c r="D37" s="368"/>
      <c r="E37" s="368"/>
      <c r="F37" s="368"/>
      <c r="G37" s="368"/>
      <c r="H37" s="368"/>
      <c r="I37" s="368"/>
      <c r="J37" s="369"/>
      <c r="K37" s="376" t="s">
        <v>64</v>
      </c>
      <c r="L37" s="309"/>
      <c r="M37" s="310"/>
      <c r="N37" s="376" t="s">
        <v>65</v>
      </c>
      <c r="O37" s="377"/>
    </row>
    <row r="38" spans="2:15" x14ac:dyDescent="0.25">
      <c r="B38" s="370"/>
      <c r="C38" s="371"/>
      <c r="D38" s="371"/>
      <c r="E38" s="371"/>
      <c r="F38" s="371"/>
      <c r="G38" s="371"/>
      <c r="H38" s="371"/>
      <c r="I38" s="371"/>
      <c r="J38" s="372"/>
      <c r="K38" s="367"/>
      <c r="L38" s="368"/>
      <c r="M38" s="369"/>
      <c r="N38" s="367"/>
      <c r="O38" s="369"/>
    </row>
    <row r="39" spans="2:15" x14ac:dyDescent="0.25">
      <c r="B39" s="370"/>
      <c r="C39" s="371"/>
      <c r="D39" s="371"/>
      <c r="E39" s="371"/>
      <c r="F39" s="371"/>
      <c r="G39" s="371"/>
      <c r="H39" s="371"/>
      <c r="I39" s="371"/>
      <c r="J39" s="372"/>
      <c r="K39" s="370"/>
      <c r="L39" s="371"/>
      <c r="M39" s="372"/>
      <c r="N39" s="370"/>
      <c r="O39" s="372"/>
    </row>
    <row r="40" spans="2:15" x14ac:dyDescent="0.25">
      <c r="B40" s="370"/>
      <c r="C40" s="371"/>
      <c r="D40" s="371"/>
      <c r="E40" s="371"/>
      <c r="F40" s="371"/>
      <c r="G40" s="371"/>
      <c r="H40" s="371"/>
      <c r="I40" s="371"/>
      <c r="J40" s="372"/>
      <c r="K40" s="370"/>
      <c r="L40" s="371"/>
      <c r="M40" s="372"/>
      <c r="N40" s="370"/>
      <c r="O40" s="372"/>
    </row>
    <row r="41" spans="2:15" x14ac:dyDescent="0.25">
      <c r="B41" s="373"/>
      <c r="C41" s="374"/>
      <c r="D41" s="374"/>
      <c r="E41" s="374"/>
      <c r="F41" s="374"/>
      <c r="G41" s="374"/>
      <c r="H41" s="374"/>
      <c r="I41" s="374"/>
      <c r="J41" s="375"/>
      <c r="K41" s="373"/>
      <c r="L41" s="374"/>
      <c r="M41" s="375"/>
      <c r="N41" s="373"/>
      <c r="O41" s="375"/>
    </row>
  </sheetData>
  <mergeCells count="37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2025-02-05T22:51:06Z</dcterms:modified>
</cp:coreProperties>
</file>