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5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21" i="2" l="1"/>
  <c r="AV21" i="2" s="1"/>
  <c r="AQ21" i="2" s="1"/>
  <c r="AU20" i="2"/>
  <c r="AU19" i="2"/>
  <c r="AV19" i="2" s="1"/>
  <c r="AV12" i="2"/>
  <c r="AW12" i="2" s="1"/>
  <c r="AU14" i="2"/>
  <c r="AV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24" i="2"/>
  <c r="AR38" i="2"/>
  <c r="AR32" i="2"/>
  <c r="BD43" i="2"/>
  <c r="AR11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BA11" i="2"/>
  <c r="AQ14" i="2"/>
  <c r="AZ18" i="2"/>
  <c r="AQ18" i="2"/>
  <c r="AZ26" i="2"/>
  <c r="AQ26" i="2"/>
  <c r="AZ30" i="2"/>
  <c r="AQ30" i="2"/>
  <c r="AZ38" i="2"/>
  <c r="AQ38" i="2"/>
  <c r="AQ10" i="2"/>
  <c r="AZ10" i="2"/>
  <c r="AQ31" i="2"/>
  <c r="AQ11" i="2"/>
  <c r="AZ11" i="2"/>
  <c r="AZ15" i="2"/>
  <c r="AQ15" i="2"/>
  <c r="AQ19" i="2"/>
  <c r="AQ32" i="2"/>
  <c r="AZ24" i="2"/>
  <c r="AQ24" i="2"/>
  <c r="BA25" i="2"/>
  <c r="BA29" i="2"/>
  <c r="BL6" i="2"/>
  <c r="BA18" i="2"/>
  <c r="AQ25" i="2"/>
  <c r="AZ25" i="2"/>
  <c r="AZ29" i="2"/>
  <c r="AQ29" i="2"/>
  <c r="BA30" i="2"/>
  <c r="BA38" i="2"/>
  <c r="BL5" i="2"/>
  <c r="AQ6" i="2" l="1"/>
  <c r="AQ12" i="2"/>
  <c r="AQ9" i="2"/>
  <c r="AY24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Y12" i="2" s="1"/>
  <c r="AZ12" i="2"/>
  <c r="AW14" i="2"/>
  <c r="AV13" i="2"/>
  <c r="AW13" i="2" s="1"/>
  <c r="AX13" i="2" s="1"/>
  <c r="AR13" i="2" s="1"/>
  <c r="AX9" i="2"/>
  <c r="AR9" i="2" s="1"/>
  <c r="AY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Y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Y10" i="2"/>
  <c r="AV16" i="2"/>
  <c r="AW16" i="2" s="1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AY11" i="2"/>
  <c r="BA40" i="2"/>
  <c r="AW28" i="2"/>
  <c r="AY40" i="2"/>
  <c r="AU23" i="2"/>
  <c r="AY32" i="2"/>
  <c r="AZ32" i="2"/>
  <c r="AY30" i="2"/>
  <c r="AY31" i="2"/>
  <c r="AY39" i="2"/>
  <c r="AZ31" i="2"/>
  <c r="AZ39" i="2"/>
  <c r="AY29" i="2"/>
  <c r="BL43" i="2"/>
  <c r="AX21" i="2" l="1"/>
  <c r="AR21" i="2" s="1"/>
  <c r="AY21" i="2" s="1"/>
  <c r="BA21" i="2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9" i="2" l="1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 l="1"/>
  <c r="BA43" i="2" s="1"/>
  <c r="AZ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<sst xmlns="http://schemas.openxmlformats.org/spreadsheetml/2006/main" count="216" uniqueCount="107">
  <si>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</si>
  <si>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</si>
  <si>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</si>
  <si>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</si>
  <si>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</si>
  <si>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</si>
  <si>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</si>
  <si>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</si>
  <si>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</si>
  <si>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</si>
  <si>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</si>
  <si>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</si>
  <si>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</si>
  <si>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</si>
  <si>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</si>
  <si>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</si>
  <si>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</si>
  <si>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</si>
  <si>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</si>
  <si>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</si>
  <si>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</si>
  <si>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</si>
  <si>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</si>
  <si>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</si>
  <si>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</si>
  <si>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</si>
  <si>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</si>
  <si>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</si>
  <si>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</si>
  <si>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</si>
  <si>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</si>
  <si>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</si>
  <si>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</si>
  <si>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</si>
  <si>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</si>
  <si>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</si>
  <si>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</si>
  <si>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</si>
  <si>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</si>
  <si>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</si>
  <si>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</si>
  <si>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</si>
  <si>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</si>
  <si>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</si>
  <si>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</si>
  <si>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</si>
  <si>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</si>
  <si>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</si>
  <si>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</si>
  <si>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</si>
  <si>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</si>
  <si>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</si>
  <si>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</si>
  <si>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</si>
  <si>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</si>
  <si>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</si>
  <si>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</si>
  <si>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</si>
  <si>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</si>
  <si>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</si>
  <si>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</si>
  <si>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</si>
  <si>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</si>
  <si>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</si>
  <si>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</si>
  <si>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</si>
  <si>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</si>
  <si>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</si>
  <si>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</si>
  <si>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</si>
  <si>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</si>
  <si>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</si>
  <si>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</si>
  <si>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</si>
  <si>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</si>
  <si>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</si>
  <si>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</si>
  <si>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</si>
  <si>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</si>
  <si>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</si>
  <si>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</si>
  <si>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</si>
  <si>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</si>
  <si>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</si>
  <si>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</si>
  <si>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</si>
  <si>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</si>
  <si>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</si>
  <si>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</si>
  <si>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</si>
  <si>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</si>
  <si>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</si>
  <si>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</si>
  <si>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</si>
  <si>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</si>
  <si>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</si>
  <si>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</si>
  <si>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&lt;== NE PAS TOUCHER SANS AVOIR PRÉPARÉ LA BASE DE DONNÉE !!!</t>
  </si>
  <si>
    <t>Branche :</t>
  </si>
  <si>
    <t>Actualiser</t>
  </si>
  <si>
    <t>App Version</t>
  </si>
  <si>
    <t>Aucune semaine selectionnée</t>
  </si>
  <si>
    <t>1 à 1</t>
  </si>
  <si>
    <t>$O$12</t>
  </si>
  <si>
    <t>Avril</t>
  </si>
  <si>
    <t>Control des doublons avec corrections</t>
  </si>
  <si>
    <t>Alerter au téléchargement des déclarations d'incident.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</si>
</sst>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88" xfId="0" applyFont="1" applyBorder="1" applyAlignment="1">
      <alignment horizontal="center"/>
    </xf>
    <xf numFmtId="0" fontId="0" fillId="7" borderId="144" xfId="0" applyFill="1" applyBorder="1"/>
    <xf numFmtId="0" fontId="2" fillId="5" borderId="145" xfId="0" applyFont="1" applyFill="1" applyBorder="1" applyAlignment="1">
      <alignment horizontal="right"/>
    </xf>
    <xf numFmtId="0" fontId="2" fillId="6" borderId="145" xfId="0" applyFont="1" applyFill="1" applyBorder="1" applyAlignment="1">
      <alignment horizontal="right"/>
    </xf>
    <xf numFmtId="0" fontId="2" fillId="5" borderId="146" xfId="0" applyFont="1" applyFill="1" applyBorder="1" applyAlignment="1">
      <alignment horizontal="right"/>
    </xf>
    <xf numFmtId="0" fontId="2" fillId="6" borderId="146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7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22" fillId="0" borderId="0" xfId="0" applyFont="1" applyFill="1"/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H17" sqref="H17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14" t="s">
        <v>104</v>
      </c>
      <c r="O1" s="314"/>
      <c r="P1" s="314"/>
      <c r="Q1" s="32"/>
      <c r="S1" s="314">
        <v>2025</v>
      </c>
      <c r="T1" s="314"/>
      <c r="X1" t="s">
        <v>38</v>
      </c>
      <c r="AA1" s="310" t="s">
        <v>102</v>
      </c>
      <c r="AB1" s="310"/>
      <c r="BA1" t="s">
        <v>92</v>
      </c>
    </row>
    <row r="2" spans="3:53" ht="15.75" thickBot="1" x14ac:dyDescent="0.3">
      <c r="E2" s="311" t="s">
        <v>99</v>
      </c>
      <c r="F2" s="312"/>
      <c r="G2" s="313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310" t="s">
        <v>101</v>
      </c>
      <c r="AH3" s="310"/>
      <c r="AI3" s="310"/>
      <c r="AJ3" s="310"/>
      <c r="AK3" s="310"/>
      <c r="AL3" s="310"/>
      <c r="AM3" s="310"/>
      <c r="AN3" s="199"/>
      <c r="BA3" t="s">
        <v>76</v>
      </c>
    </row>
    <row r="4" spans="3:53" x14ac:dyDescent="0.25">
      <c r="D4" s="270"/>
      <c r="E4" s="270"/>
      <c r="F4" s="270"/>
      <c r="G4" s="270"/>
      <c r="H4" s="270"/>
      <c r="I4" s="270"/>
      <c r="J4" s="271"/>
      <c r="K4" s="270"/>
      <c r="L4" s="270"/>
      <c r="M4" s="270"/>
      <c r="N4" s="270"/>
      <c r="O4" s="270"/>
      <c r="P4" s="270"/>
      <c r="Q4" s="271"/>
      <c r="R4" s="270"/>
      <c r="S4" s="270"/>
      <c r="T4" s="270"/>
      <c r="U4" s="270"/>
      <c r="V4" s="270"/>
      <c r="W4" s="270"/>
      <c r="X4" s="271"/>
      <c r="Y4" s="270"/>
      <c r="Z4" s="270"/>
      <c r="AA4" s="270"/>
      <c r="AB4" s="270"/>
      <c r="AC4" s="270"/>
      <c r="AD4" s="270"/>
      <c r="AF4" s="198"/>
      <c r="AJ4" s="202" t="s">
        <v>64</v>
      </c>
      <c r="AN4" s="199"/>
      <c r="BA4" t="s">
        <v>65</v>
      </c>
    </row>
    <row r="5" spans="3:53" x14ac:dyDescent="0.25">
      <c r="C5" s="4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270"/>
      <c r="S5" s="270"/>
      <c r="T5" s="270"/>
      <c r="U5" s="270"/>
      <c r="V5" s="270"/>
      <c r="W5" s="270"/>
      <c r="X5" s="271"/>
      <c r="Y5" s="270"/>
      <c r="Z5" s="270"/>
      <c r="AA5" s="270"/>
      <c r="AB5" s="270"/>
      <c r="AC5" s="270"/>
      <c r="AD5" s="270"/>
      <c r="AF5" s="198"/>
      <c r="AG5" s="299" t="s">
        <v>65</v>
      </c>
      <c r="AH5" s="300"/>
      <c r="AI5" s="300"/>
      <c r="AJ5" s="300"/>
      <c r="AK5" s="300"/>
      <c r="AL5" s="300"/>
      <c r="AM5" s="301"/>
      <c r="AN5" s="199"/>
      <c r="BA5" t="s">
        <v>93</v>
      </c>
    </row>
    <row r="6" spans="3:53" x14ac:dyDescent="0.25">
      <c r="C6" s="4"/>
      <c r="D6" s="270"/>
      <c r="E6" s="270"/>
      <c r="F6" s="272"/>
      <c r="G6" s="272"/>
      <c r="H6" s="272"/>
      <c r="I6" s="272"/>
      <c r="J6" s="270"/>
      <c r="K6" s="270"/>
      <c r="L6" s="270"/>
      <c r="M6" s="272"/>
      <c r="N6" s="272"/>
      <c r="O6" s="272"/>
      <c r="P6" s="272"/>
      <c r="Q6" s="271"/>
      <c r="R6" s="270"/>
      <c r="S6" s="270"/>
      <c r="T6" s="272"/>
      <c r="U6" s="272"/>
      <c r="V6" s="272"/>
      <c r="W6" s="272"/>
      <c r="X6" s="271"/>
      <c r="Y6" s="270"/>
      <c r="Z6" s="270"/>
      <c r="AA6" s="272"/>
      <c r="AB6" s="272"/>
      <c r="AC6" s="272"/>
      <c r="AD6" s="272"/>
      <c r="AF6" s="198"/>
      <c r="AN6" s="199"/>
      <c r="BA6" t="s">
        <v>77</v>
      </c>
    </row>
    <row r="7" spans="3:53" x14ac:dyDescent="0.25">
      <c r="C7" s="4"/>
      <c r="D7" s="270"/>
      <c r="E7" s="270"/>
      <c r="F7" s="272"/>
      <c r="G7" s="272"/>
      <c r="H7" s="272"/>
      <c r="I7" s="272"/>
      <c r="J7" s="270"/>
      <c r="K7" s="270"/>
      <c r="L7" s="270"/>
      <c r="M7" s="272"/>
      <c r="N7" s="272"/>
      <c r="O7" s="272"/>
      <c r="P7" s="272"/>
      <c r="Q7" s="271"/>
      <c r="R7" s="270"/>
      <c r="S7" s="270"/>
      <c r="T7" s="272"/>
      <c r="U7" s="272"/>
      <c r="V7" s="272"/>
      <c r="W7" s="272"/>
      <c r="X7" s="271"/>
      <c r="Y7" s="270"/>
      <c r="Z7" s="270"/>
      <c r="AA7" s="272"/>
      <c r="AB7" s="272"/>
      <c r="AC7" s="272"/>
      <c r="AD7" s="272"/>
      <c r="AF7" s="198"/>
      <c r="AN7" s="199"/>
      <c r="BA7" t="s">
        <v>94</v>
      </c>
    </row>
    <row r="8" spans="3:53" x14ac:dyDescent="0.25">
      <c r="C8" s="4"/>
      <c r="D8" s="270"/>
      <c r="E8" s="270"/>
      <c r="F8" s="272"/>
      <c r="G8" s="272"/>
      <c r="H8" s="272"/>
      <c r="I8" s="272"/>
      <c r="J8" s="271"/>
      <c r="K8" s="270"/>
      <c r="L8" s="270"/>
      <c r="M8" s="272"/>
      <c r="N8" s="272"/>
      <c r="O8" s="272"/>
      <c r="P8" s="272"/>
      <c r="Q8" s="271"/>
      <c r="R8" s="270"/>
      <c r="S8" s="270"/>
      <c r="T8" s="272"/>
      <c r="U8" s="272"/>
      <c r="V8" s="272"/>
      <c r="W8" s="272"/>
      <c r="X8" s="271"/>
      <c r="Y8" s="270"/>
      <c r="Z8" s="270"/>
      <c r="AA8" s="272"/>
      <c r="AB8" s="272"/>
      <c r="AC8" s="272"/>
      <c r="AD8" s="272"/>
      <c r="AF8" s="198"/>
      <c r="AN8" s="199"/>
      <c r="BA8" t="s">
        <v>95</v>
      </c>
    </row>
    <row r="9" spans="3:53" x14ac:dyDescent="0.25">
      <c r="C9" s="4"/>
      <c r="D9" s="270"/>
      <c r="E9" s="270"/>
      <c r="F9" s="272"/>
      <c r="G9" s="272"/>
      <c r="H9" s="272"/>
      <c r="I9" s="272"/>
      <c r="J9" s="271"/>
      <c r="K9" s="270"/>
      <c r="L9" s="270"/>
      <c r="M9" s="272"/>
      <c r="N9" s="272"/>
      <c r="O9" s="272"/>
      <c r="P9" s="272"/>
      <c r="Q9" s="271"/>
      <c r="R9" s="270"/>
      <c r="S9" s="270"/>
      <c r="T9" s="272"/>
      <c r="U9" s="272"/>
      <c r="V9" s="272"/>
      <c r="W9" s="272"/>
      <c r="X9" s="271"/>
      <c r="Y9" s="270"/>
      <c r="Z9" s="270"/>
      <c r="AA9" s="272"/>
      <c r="AB9" s="272"/>
      <c r="AC9" s="272"/>
      <c r="AD9" s="272"/>
      <c r="AF9" s="198"/>
      <c r="AN9" s="199"/>
      <c r="BA9" t="s">
        <v>96</v>
      </c>
    </row>
    <row r="10" spans="3:53" x14ac:dyDescent="0.25">
      <c r="C10" s="4"/>
      <c r="D10" s="270"/>
      <c r="E10" s="270"/>
      <c r="F10" s="272"/>
      <c r="G10" s="272"/>
      <c r="H10" s="272"/>
      <c r="I10" s="272"/>
      <c r="J10" s="271"/>
      <c r="K10" s="270"/>
      <c r="L10" s="270"/>
      <c r="M10" s="272"/>
      <c r="N10" s="272"/>
      <c r="O10" s="272"/>
      <c r="P10" s="272"/>
      <c r="Q10" s="271"/>
      <c r="R10" s="270"/>
      <c r="S10" s="270"/>
      <c r="T10" s="272"/>
      <c r="U10" s="272"/>
      <c r="V10" s="272"/>
      <c r="W10" s="272"/>
      <c r="X10" s="271"/>
      <c r="Y10" s="270"/>
      <c r="Z10" s="270"/>
      <c r="AA10" s="272"/>
      <c r="AB10" s="272"/>
      <c r="AC10" s="272"/>
      <c r="AD10" s="272"/>
      <c r="AF10" s="198"/>
      <c r="AN10" s="199"/>
    </row>
    <row r="11" spans="3:53" x14ac:dyDescent="0.25">
      <c r="C11" s="4"/>
      <c r="D11" s="270"/>
      <c r="E11" s="270"/>
      <c r="F11" s="272"/>
      <c r="G11" s="272"/>
      <c r="H11" s="272"/>
      <c r="I11" s="272"/>
      <c r="J11" s="271"/>
      <c r="K11" s="270"/>
      <c r="L11" s="270"/>
      <c r="M11" s="272"/>
      <c r="N11" s="272"/>
      <c r="O11" s="272"/>
      <c r="P11" s="272"/>
      <c r="Q11" s="271"/>
      <c r="R11" s="270"/>
      <c r="S11" s="270"/>
      <c r="T11" s="272"/>
      <c r="U11" s="272"/>
      <c r="V11" s="272"/>
      <c r="W11" s="272"/>
      <c r="X11" s="271"/>
      <c r="Y11" s="270"/>
      <c r="Z11" s="270"/>
      <c r="AA11" s="272"/>
      <c r="AB11" s="272"/>
      <c r="AC11" s="272"/>
      <c r="AD11" s="272"/>
      <c r="AF11" s="198"/>
      <c r="AN11" s="199"/>
    </row>
    <row r="12" spans="3:53" x14ac:dyDescent="0.25">
      <c r="C12" s="4"/>
      <c r="D12" s="271"/>
      <c r="E12" s="271"/>
      <c r="F12" s="271"/>
      <c r="G12" s="271"/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F12" s="198"/>
      <c r="AN12" s="199"/>
    </row>
    <row r="13" spans="3:53" x14ac:dyDescent="0.25">
      <c r="C13" s="4"/>
      <c r="D13" s="270"/>
      <c r="E13" s="270"/>
      <c r="F13" s="270"/>
      <c r="G13" s="270"/>
      <c r="H13" s="270"/>
      <c r="I13" s="270"/>
      <c r="J13" s="271"/>
      <c r="K13" s="270"/>
      <c r="L13" s="270"/>
      <c r="M13" s="270"/>
      <c r="N13" s="270"/>
      <c r="O13" s="270"/>
      <c r="P13" s="270"/>
      <c r="Q13" s="271"/>
      <c r="R13" s="270"/>
      <c r="S13" s="270"/>
      <c r="T13" s="270"/>
      <c r="U13" s="270"/>
      <c r="V13" s="270"/>
      <c r="W13" s="270"/>
      <c r="X13" s="271"/>
      <c r="Y13" s="270"/>
      <c r="Z13" s="270"/>
      <c r="AA13" s="270"/>
      <c r="AB13" s="270"/>
      <c r="AC13" s="270"/>
      <c r="AD13" s="270"/>
      <c r="AF13" s="198"/>
      <c r="AN13" s="199"/>
    </row>
    <row r="14" spans="3:53" ht="15.75" thickBot="1" x14ac:dyDescent="0.3">
      <c r="C14" s="4"/>
      <c r="D14" s="270"/>
      <c r="E14" s="270"/>
      <c r="F14" s="270"/>
      <c r="G14" s="270"/>
      <c r="H14" s="270"/>
      <c r="I14" s="270"/>
      <c r="J14" s="271"/>
      <c r="K14" s="270"/>
      <c r="L14" s="270"/>
      <c r="M14" s="270"/>
      <c r="N14" s="270"/>
      <c r="O14" s="270"/>
      <c r="P14" s="270"/>
      <c r="Q14" s="271"/>
      <c r="R14" s="270"/>
      <c r="S14" s="270"/>
      <c r="T14" s="270"/>
      <c r="U14" s="270"/>
      <c r="V14" s="270"/>
      <c r="W14" s="270"/>
      <c r="X14" s="271"/>
      <c r="Y14" s="270"/>
      <c r="Z14" s="270"/>
      <c r="AA14" s="270"/>
      <c r="AB14" s="270"/>
      <c r="AC14" s="270"/>
      <c r="AD14" s="270"/>
      <c r="AF14" s="228"/>
      <c r="AG14" s="227">
        <v>5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70"/>
      <c r="E15" s="270"/>
      <c r="F15" s="272"/>
      <c r="G15" s="272"/>
      <c r="H15" s="272"/>
      <c r="I15" s="272"/>
      <c r="J15" s="271"/>
      <c r="K15" s="270"/>
      <c r="L15" s="270"/>
      <c r="M15" s="272"/>
      <c r="N15" s="272"/>
      <c r="O15" s="272"/>
      <c r="P15" s="272"/>
      <c r="Q15" s="271"/>
      <c r="R15" s="270"/>
      <c r="S15" s="270"/>
      <c r="T15" s="272"/>
      <c r="U15" s="272"/>
      <c r="V15" s="272"/>
      <c r="W15" s="272"/>
      <c r="X15" s="271"/>
      <c r="Y15" s="270"/>
      <c r="Z15" s="270"/>
      <c r="AA15" s="272"/>
      <c r="AB15" s="272"/>
      <c r="AC15" s="272"/>
      <c r="AD15" s="272"/>
    </row>
    <row r="16" spans="3:53" x14ac:dyDescent="0.25">
      <c r="C16" s="4"/>
      <c r="D16" s="270"/>
      <c r="E16" s="270"/>
      <c r="F16" s="272"/>
      <c r="G16" s="272"/>
      <c r="H16" s="272"/>
      <c r="I16" s="272"/>
      <c r="J16" s="271"/>
      <c r="K16" s="270"/>
      <c r="L16" s="270"/>
      <c r="M16" s="272"/>
      <c r="N16" s="272"/>
      <c r="O16" s="272"/>
      <c r="P16" s="272"/>
      <c r="Q16" s="271"/>
      <c r="R16" s="270"/>
      <c r="S16" s="270"/>
      <c r="T16" s="272"/>
      <c r="U16" s="272"/>
      <c r="V16" s="272"/>
      <c r="W16" s="272"/>
      <c r="X16" s="271"/>
      <c r="Y16" s="270"/>
      <c r="Z16" s="270"/>
      <c r="AA16" s="272"/>
      <c r="AB16" s="272"/>
      <c r="AC16" s="272"/>
      <c r="AD16" s="272"/>
    </row>
    <row r="17" spans="2:30" x14ac:dyDescent="0.25">
      <c r="C17" s="4"/>
      <c r="D17" s="270"/>
      <c r="E17" s="270"/>
      <c r="F17" s="272"/>
      <c r="G17" s="272"/>
      <c r="H17" s="272"/>
      <c r="I17" s="272"/>
      <c r="J17" s="271"/>
      <c r="K17" s="270"/>
      <c r="L17" s="270"/>
      <c r="M17" s="272"/>
      <c r="N17" s="272"/>
      <c r="O17" s="272"/>
      <c r="P17" s="272"/>
      <c r="Q17" s="271"/>
      <c r="R17" s="270"/>
      <c r="S17" s="270"/>
      <c r="T17" s="272"/>
      <c r="U17" s="272"/>
      <c r="V17" s="272"/>
      <c r="W17" s="272"/>
      <c r="X17" s="271"/>
      <c r="Y17" s="270"/>
      <c r="Z17" s="270"/>
      <c r="AA17" s="272"/>
      <c r="AB17" s="272"/>
      <c r="AC17" s="272"/>
      <c r="AD17" s="272"/>
    </row>
    <row r="18" spans="2:30" x14ac:dyDescent="0.25">
      <c r="C18" s="4"/>
      <c r="D18" s="270"/>
      <c r="E18" s="270"/>
      <c r="F18" s="272"/>
      <c r="G18" s="272"/>
      <c r="H18" s="272"/>
      <c r="I18" s="272"/>
      <c r="J18" s="271"/>
      <c r="K18" s="270"/>
      <c r="L18" s="270"/>
      <c r="M18" s="272"/>
      <c r="N18" s="272"/>
      <c r="O18" s="272"/>
      <c r="P18" s="272"/>
      <c r="Q18" s="271"/>
      <c r="R18" s="270"/>
      <c r="S18" s="270"/>
      <c r="T18" s="272"/>
      <c r="U18" s="272"/>
      <c r="V18" s="272"/>
      <c r="W18" s="272"/>
      <c r="X18" s="271"/>
      <c r="Y18" s="270"/>
      <c r="Z18" s="270"/>
      <c r="AA18" s="272"/>
      <c r="AB18" s="272"/>
      <c r="AC18" s="272"/>
      <c r="AD18" s="272"/>
    </row>
    <row r="19" spans="2:30" x14ac:dyDescent="0.25">
      <c r="C19" s="4"/>
      <c r="D19" s="270"/>
      <c r="E19" s="270"/>
      <c r="F19" s="272"/>
      <c r="G19" s="272"/>
      <c r="H19" s="272"/>
      <c r="I19" s="272"/>
      <c r="J19" s="271"/>
      <c r="K19" s="270"/>
      <c r="L19" s="270"/>
      <c r="M19" s="272"/>
      <c r="N19" s="272"/>
      <c r="O19" s="272"/>
      <c r="P19" s="272"/>
      <c r="Q19" s="271"/>
      <c r="R19" s="270"/>
      <c r="S19" s="270"/>
      <c r="T19" s="272"/>
      <c r="U19" s="272"/>
      <c r="V19" s="272"/>
      <c r="W19" s="272"/>
      <c r="X19" s="271"/>
      <c r="Y19" s="270"/>
      <c r="Z19" s="270"/>
      <c r="AA19" s="272"/>
      <c r="AB19" s="272"/>
      <c r="AC19" s="272"/>
      <c r="AD19" s="272"/>
    </row>
    <row r="20" spans="2:30" x14ac:dyDescent="0.25">
      <c r="C20" s="4"/>
      <c r="D20" s="270"/>
      <c r="E20" s="270"/>
      <c r="F20" s="272"/>
      <c r="G20" s="272"/>
      <c r="H20" s="272"/>
      <c r="I20" s="272"/>
      <c r="J20" s="271"/>
      <c r="K20" s="270"/>
      <c r="L20" s="270"/>
      <c r="M20" s="272"/>
      <c r="N20" s="272"/>
      <c r="O20" s="272"/>
      <c r="P20" s="272"/>
      <c r="Q20" s="271"/>
      <c r="R20" s="270"/>
      <c r="S20" s="270"/>
      <c r="T20" s="272"/>
      <c r="U20" s="272"/>
      <c r="V20" s="272"/>
      <c r="W20" s="272"/>
      <c r="X20" s="271"/>
      <c r="Y20" s="270"/>
      <c r="Z20" s="270"/>
      <c r="AA20" s="272"/>
      <c r="AB20" s="272"/>
      <c r="AC20" s="272"/>
      <c r="AD20" s="272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299"/>
      <c r="J23" s="300"/>
      <c r="K23" s="300"/>
      <c r="L23" s="300"/>
      <c r="M23" s="300"/>
      <c r="N23" s="301"/>
      <c r="Q23" s="247"/>
      <c r="R23" s="309" t="s">
        <v>69</v>
      </c>
      <c r="S23" s="300"/>
      <c r="T23" s="300"/>
      <c r="U23" s="300"/>
      <c r="V23" s="301"/>
    </row>
    <row r="24" spans="2:30" ht="15.75" thickBot="1" x14ac:dyDescent="0.3">
      <c r="B24" s="304" t="s">
        <v>4</v>
      </c>
      <c r="C24" s="305"/>
      <c r="D24" s="305"/>
      <c r="E24" s="305"/>
      <c r="F24" s="305"/>
      <c r="G24" s="305"/>
      <c r="H24" s="305"/>
      <c r="I24" s="306"/>
      <c r="J24" s="306"/>
      <c r="K24" s="306"/>
      <c r="L24" s="306"/>
      <c r="M24" s="306"/>
      <c r="N24" s="306"/>
      <c r="O24" s="305"/>
      <c r="P24" s="305"/>
      <c r="Q24" s="306"/>
      <c r="R24" s="305"/>
      <c r="S24" s="305"/>
      <c r="T24" s="305"/>
      <c r="U24" s="305"/>
      <c r="V24" s="305"/>
      <c r="W24" s="307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2">
        <v>1</v>
      </c>
      <c r="E25" s="302"/>
      <c r="F25" s="302">
        <v>2</v>
      </c>
      <c r="G25" s="302"/>
      <c r="H25" s="302">
        <v>3</v>
      </c>
      <c r="I25" s="302"/>
      <c r="J25" s="302">
        <v>4</v>
      </c>
      <c r="K25" s="302"/>
      <c r="L25" s="302">
        <v>5</v>
      </c>
      <c r="M25" s="303"/>
      <c r="N25" s="303">
        <v>6</v>
      </c>
      <c r="O25" s="308"/>
      <c r="P25" s="303">
        <v>7</v>
      </c>
      <c r="Q25" s="308"/>
      <c r="R25" s="303">
        <v>8</v>
      </c>
      <c r="S25" s="308"/>
      <c r="T25" s="303">
        <v>9</v>
      </c>
      <c r="U25" s="308"/>
      <c r="V25" s="303">
        <v>10</v>
      </c>
      <c r="W25" s="298"/>
      <c r="X25" s="297" t="s">
        <v>68</v>
      </c>
      <c r="Y25" s="298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46"/>
      <c r="AA26" s="297" t="s">
        <v>11</v>
      </c>
      <c r="AB26" s="298"/>
      <c r="AC26" s="297" t="s">
        <v>12</v>
      </c>
      <c r="AD26" s="298"/>
    </row>
    <row r="27" spans="2:30" ht="14.1" customHeight="1" x14ac:dyDescent="0.25">
      <c r="B27" s="18" t="s">
        <v>14</v>
      </c>
      <c r="C27" s="19">
        <v>45740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48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49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45741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50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51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45742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50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51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45743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50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51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45744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50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51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45745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50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52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45746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53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54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45747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48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49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45748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50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51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45749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50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51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45750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50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51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45751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50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51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45752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50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52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45753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53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54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45754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48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49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45755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50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51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45756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50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51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45757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50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51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45758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50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51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45759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50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52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45760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53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54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45761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48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49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45762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50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51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45763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50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51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45764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50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51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45765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50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51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45766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50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51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45767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50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54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48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49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48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49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48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49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48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49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50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52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53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52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53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56"/>
      <c r="Y96" s="257"/>
      <c r="Z96" s="255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58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7" sqref="H7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103</v>
      </c>
      <c r="AB1" t="s">
        <v>78</v>
      </c>
    </row>
    <row r="2" spans="3:28" x14ac:dyDescent="0.25">
      <c r="D2" t="s">
        <v>73</v>
      </c>
      <c r="E2" s="310"/>
      <c r="F2" s="310"/>
      <c r="G2" s="310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15"/>
      <c r="F4" s="315"/>
      <c r="G4" s="315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64" t="s">
        <v>71</v>
      </c>
      <c r="P8" s="265" t="s">
        <v>2</v>
      </c>
      <c r="Q8" s="266" t="s">
        <v>3</v>
      </c>
      <c r="R8" s="267" t="s">
        <v>72</v>
      </c>
    </row>
    <row r="9" spans="3:28" ht="16.5" thickTop="1" thickBot="1" x14ac:dyDescent="0.3">
      <c r="E9" s="260" t="s">
        <v>71</v>
      </c>
      <c r="F9" s="261" t="s">
        <v>2</v>
      </c>
      <c r="G9" s="262" t="s">
        <v>3</v>
      </c>
      <c r="H9" s="263" t="s">
        <v>72</v>
      </c>
      <c r="O9" s="377"/>
      <c r="P9" s="378"/>
      <c r="Q9" s="379"/>
      <c r="R9" s="380"/>
    </row>
    <row r="10" spans="3:28" ht="15.75" thickBot="1" x14ac:dyDescent="0.3">
      <c r="C10" s="273"/>
      <c r="D10" s="283"/>
      <c r="E10" s="284"/>
      <c r="F10" s="285"/>
      <c r="G10" s="286"/>
      <c r="H10" s="287"/>
      <c r="O10" s="288"/>
      <c r="P10" s="289"/>
      <c r="Q10" s="290"/>
      <c r="R10" s="291"/>
    </row>
    <row r="11" spans="3:28" x14ac:dyDescent="0.25">
      <c r="O11" s="288"/>
      <c r="P11" s="289"/>
      <c r="Q11" s="290"/>
      <c r="R11" s="291"/>
    </row>
    <row r="12" spans="3:28" x14ac:dyDescent="0.25">
      <c r="O12" s="288"/>
      <c r="P12" s="289"/>
      <c r="Q12" s="290"/>
      <c r="R12" s="291"/>
    </row>
    <row r="13" spans="3:28" x14ac:dyDescent="0.25">
      <c r="O13" s="288"/>
      <c r="P13" s="289"/>
      <c r="Q13" s="290"/>
      <c r="R13" s="291"/>
    </row>
    <row r="14" spans="3:28" x14ac:dyDescent="0.25">
      <c r="O14" s="288"/>
      <c r="P14" s="289"/>
      <c r="Q14" s="290"/>
      <c r="R14" s="291"/>
    </row>
    <row r="15" spans="3:28" x14ac:dyDescent="0.25">
      <c r="O15" s="288"/>
      <c r="P15" s="289"/>
      <c r="Q15" s="290"/>
      <c r="R15" s="291"/>
    </row>
    <row r="16" spans="3:28" ht="15.75" thickBot="1" x14ac:dyDescent="0.3">
      <c r="O16" s="288"/>
      <c r="P16" s="289"/>
      <c r="Q16" s="290"/>
      <c r="R16" s="291"/>
    </row>
    <row r="17" spans="4:18" ht="15.75" thickBot="1" x14ac:dyDescent="0.3">
      <c r="D17" s="316" t="s">
        <v>80</v>
      </c>
      <c r="E17" s="317"/>
      <c r="F17" s="317"/>
      <c r="G17" s="318"/>
      <c r="O17" s="288"/>
      <c r="P17" s="289"/>
      <c r="Q17" s="290"/>
      <c r="R17" s="291"/>
    </row>
    <row r="18" spans="4:18" x14ac:dyDescent="0.25">
      <c r="D18" s="198"/>
      <c r="G18" s="199"/>
      <c r="O18" s="288"/>
      <c r="P18" s="289"/>
      <c r="Q18" s="290"/>
      <c r="R18" s="291"/>
    </row>
    <row r="19" spans="4:18" x14ac:dyDescent="0.25">
      <c r="D19" s="198" t="s">
        <v>81</v>
      </c>
      <c r="E19" s="40"/>
      <c r="G19" s="199"/>
      <c r="O19" s="288"/>
      <c r="P19" s="289"/>
      <c r="Q19" s="290"/>
      <c r="R19" s="291"/>
    </row>
    <row r="20" spans="4:18" ht="15.75" thickBot="1" x14ac:dyDescent="0.3">
      <c r="D20" s="268" t="s">
        <v>82</v>
      </c>
      <c r="E20" s="269"/>
      <c r="F20" s="200"/>
      <c r="G20" s="201"/>
      <c r="O20" s="288"/>
      <c r="P20" s="289"/>
      <c r="Q20" s="290"/>
      <c r="R20" s="291"/>
    </row>
    <row r="21" spans="4:18" x14ac:dyDescent="0.25">
      <c r="O21" s="288"/>
      <c r="P21" s="289"/>
      <c r="Q21" s="290"/>
      <c r="R21" s="291"/>
    </row>
    <row r="22" spans="4:18" x14ac:dyDescent="0.25">
      <c r="O22" s="288"/>
      <c r="P22" s="289"/>
      <c r="Q22" s="290"/>
      <c r="R22" s="291"/>
    </row>
    <row r="23" spans="4:18" x14ac:dyDescent="0.25">
      <c r="O23" s="288"/>
      <c r="P23" s="289"/>
      <c r="Q23" s="290"/>
      <c r="R23" s="291"/>
    </row>
    <row r="24" spans="4:18" x14ac:dyDescent="0.25">
      <c r="O24" s="288"/>
      <c r="P24" s="289"/>
      <c r="Q24" s="290"/>
      <c r="R24" s="291"/>
    </row>
    <row r="25" spans="4:18" x14ac:dyDescent="0.25">
      <c r="O25" s="288"/>
      <c r="P25" s="289"/>
      <c r="Q25" s="290"/>
      <c r="R25" s="291"/>
    </row>
    <row r="26" spans="4:18" x14ac:dyDescent="0.25">
      <c r="O26" s="288"/>
      <c r="P26" s="289"/>
      <c r="Q26" s="290"/>
      <c r="R26" s="291"/>
    </row>
    <row r="27" spans="4:18" x14ac:dyDescent="0.25">
      <c r="O27" s="288"/>
      <c r="P27" s="289"/>
      <c r="Q27" s="290"/>
      <c r="R27" s="291"/>
    </row>
    <row r="28" spans="4:18" x14ac:dyDescent="0.25">
      <c r="O28" s="288"/>
      <c r="P28" s="289"/>
      <c r="Q28" s="290"/>
      <c r="R28" s="291"/>
    </row>
    <row r="29" spans="4:18" x14ac:dyDescent="0.25">
      <c r="O29" s="288"/>
      <c r="P29" s="292"/>
      <c r="Q29" s="290"/>
      <c r="R29" s="291"/>
    </row>
    <row r="30" spans="4:18" x14ac:dyDescent="0.25">
      <c r="O30" s="288"/>
      <c r="P30" s="292"/>
      <c r="Q30" s="290"/>
      <c r="R30" s="291"/>
    </row>
    <row r="31" spans="4:18" x14ac:dyDescent="0.25">
      <c r="O31" s="288"/>
      <c r="P31" s="292"/>
      <c r="Q31" s="290"/>
      <c r="R31" s="291"/>
    </row>
    <row r="32" spans="4:18" x14ac:dyDescent="0.25">
      <c r="O32" s="288"/>
      <c r="P32" s="292"/>
      <c r="Q32" s="290"/>
      <c r="R32" s="291"/>
    </row>
    <row r="33" spans="15:18" x14ac:dyDescent="0.25">
      <c r="O33" s="288"/>
      <c r="P33" s="292"/>
      <c r="Q33" s="290"/>
      <c r="R33" s="291"/>
    </row>
    <row r="34" spans="15:18" x14ac:dyDescent="0.25">
      <c r="O34" s="288"/>
      <c r="P34" s="292"/>
      <c r="Q34" s="290"/>
      <c r="R34" s="291"/>
    </row>
    <row r="35" spans="15:18" x14ac:dyDescent="0.25">
      <c r="O35" s="288"/>
      <c r="P35" s="292"/>
      <c r="Q35" s="290"/>
      <c r="R35" s="291"/>
    </row>
    <row r="36" spans="15:18" x14ac:dyDescent="0.25">
      <c r="O36" s="288"/>
      <c r="P36" s="292"/>
      <c r="Q36" s="290"/>
      <c r="R36" s="291"/>
    </row>
    <row r="37" spans="15:18" x14ac:dyDescent="0.25">
      <c r="O37" s="288"/>
      <c r="P37" s="292"/>
      <c r="Q37" s="290"/>
      <c r="R37" s="291"/>
    </row>
    <row r="38" spans="15:18" x14ac:dyDescent="0.25">
      <c r="O38" s="288"/>
      <c r="P38" s="292"/>
      <c r="Q38" s="290"/>
      <c r="R38" s="291"/>
    </row>
    <row r="39" spans="15:18" x14ac:dyDescent="0.25">
      <c r="O39" s="288"/>
      <c r="P39" s="292"/>
      <c r="Q39" s="290"/>
      <c r="R39" s="291"/>
    </row>
    <row r="40" spans="15:18" x14ac:dyDescent="0.25">
      <c r="O40" s="288"/>
      <c r="P40" s="292"/>
      <c r="Q40" s="290"/>
      <c r="R40" s="291"/>
    </row>
    <row r="41" spans="15:18" x14ac:dyDescent="0.25">
      <c r="O41" s="288"/>
      <c r="P41" s="292"/>
      <c r="Q41" s="290"/>
      <c r="R41" s="291"/>
    </row>
    <row r="42" spans="15:18" x14ac:dyDescent="0.25">
      <c r="O42" s="288"/>
      <c r="P42" s="292"/>
      <c r="Q42" s="290"/>
      <c r="R42" s="291"/>
    </row>
    <row r="43" spans="15:18" x14ac:dyDescent="0.25">
      <c r="O43" s="288"/>
      <c r="P43" s="292"/>
      <c r="Q43" s="290"/>
      <c r="R43" s="291"/>
    </row>
    <row r="44" spans="15:18" x14ac:dyDescent="0.25">
      <c r="O44" s="288"/>
      <c r="P44" s="292"/>
      <c r="Q44" s="290"/>
      <c r="R44" s="291"/>
    </row>
    <row r="45" spans="15:18" x14ac:dyDescent="0.25">
      <c r="O45" s="288"/>
      <c r="P45" s="292"/>
      <c r="Q45" s="290"/>
      <c r="R45" s="291"/>
    </row>
    <row r="46" spans="15:18" x14ac:dyDescent="0.25">
      <c r="O46" s="288"/>
      <c r="P46" s="292"/>
      <c r="Q46" s="290"/>
      <c r="R46" s="291"/>
    </row>
    <row r="47" spans="15:18" x14ac:dyDescent="0.25">
      <c r="O47" s="288"/>
      <c r="P47" s="292"/>
      <c r="Q47" s="290"/>
      <c r="R47" s="291"/>
    </row>
    <row r="48" spans="15:18" x14ac:dyDescent="0.25">
      <c r="O48" s="288"/>
      <c r="P48" s="292"/>
      <c r="Q48" s="290"/>
      <c r="R48" s="291"/>
    </row>
    <row r="49" spans="15:18" ht="15.75" thickBot="1" x14ac:dyDescent="0.3">
      <c r="O49" s="293"/>
      <c r="P49" s="294"/>
      <c r="Q49" s="295"/>
      <c r="R49" s="29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1" r:id="rId3" name="CorrRejBtn">
          <controlPr defaultSize="0" disabled="1" autoLine="0" r:id="rId4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3" name="CorrRejBtn"/>
      </mc:Fallback>
    </mc:AlternateContent>
    <mc:AlternateContent xmlns:mc="http://schemas.openxmlformats.org/markup-compatibility/2006">
      <mc:Choice Requires="x14">
        <control shapeId="10250" r:id="rId5" name="CorrBtn">
          <controlPr defaultSize="0" disabled="1" autoLine="0" r:id="rId6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5" name="CorrBtn"/>
      </mc:Fallback>
    </mc:AlternateContent>
    <mc:AlternateContent xmlns:mc="http://schemas.openxmlformats.org/markup-compatibility/2006">
      <mc:Choice Requires="x14">
        <control shapeId="10249" r:id="rId7" name="NewPtBtn">
          <controlPr defaultSize="0" disabled="1" autoLine="0" r:id="rId8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7" name="NewPt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2" r:id="rId11" name="DatePickerBtn">
          <controlPr defaultSize="0" disabled="1" autoLine="0" r:id="rId12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1" name="DatePickerBtn"/>
      </mc:Fallback>
    </mc:AlternateContent>
    <mc:AlternateContent xmlns:mc="http://schemas.openxmlformats.org/markup-compatibility/2006">
      <mc:Choice Requires="x14">
        <control shapeId="10243" r:id="rId13" name="DisableBtn">
          <controlPr defaultSize="0" disabled="1" autoLine="0" r:id="rId14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3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Pointages'!$A$2:$A$2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O7" sqref="O7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74" t="s">
        <v>1</v>
      </c>
      <c r="C1" s="102" t="s">
        <v>36</v>
      </c>
      <c r="D1" s="278" t="s">
        <v>100</v>
      </c>
      <c r="M1" t="s">
        <v>66</v>
      </c>
      <c r="N1" t="s">
        <v>105</v>
      </c>
    </row>
    <row r="2" spans="1:14" ht="15.75" thickTop="1" x14ac:dyDescent="0.25">
      <c r="A2" s="259"/>
      <c r="B2" s="275"/>
      <c r="C2" s="276"/>
      <c r="D2" s="279"/>
      <c r="N2" t="s">
        <v>106</v>
      </c>
    </row>
    <row r="3" spans="1:14" x14ac:dyDescent="0.25">
      <c r="A3" s="1"/>
      <c r="B3" s="103"/>
      <c r="C3" s="277"/>
      <c r="D3" s="280"/>
    </row>
    <row r="4" spans="1:14" x14ac:dyDescent="0.25">
      <c r="A4" s="1"/>
      <c r="B4" s="103"/>
      <c r="C4" s="277"/>
      <c r="D4" s="280"/>
    </row>
    <row r="5" spans="1:14" x14ac:dyDescent="0.25">
      <c r="A5" s="1"/>
      <c r="B5" s="103"/>
      <c r="C5" s="277"/>
      <c r="D5" s="280"/>
    </row>
    <row r="6" spans="1:14" x14ac:dyDescent="0.25">
      <c r="A6" s="1"/>
      <c r="B6" s="103"/>
      <c r="C6" s="277"/>
      <c r="D6" s="280"/>
    </row>
    <row r="7" spans="1:14" x14ac:dyDescent="0.25">
      <c r="A7" s="1"/>
      <c r="B7" s="103"/>
      <c r="C7" s="277"/>
      <c r="D7" s="280"/>
    </row>
    <row r="8" spans="1:14" x14ac:dyDescent="0.25">
      <c r="A8" s="1"/>
      <c r="B8" s="103"/>
      <c r="C8" s="277"/>
      <c r="D8" s="280"/>
    </row>
    <row r="9" spans="1:14" x14ac:dyDescent="0.25">
      <c r="A9" s="1"/>
      <c r="B9" s="103"/>
      <c r="C9" s="277"/>
      <c r="D9" s="280"/>
    </row>
    <row r="10" spans="1:14" x14ac:dyDescent="0.25">
      <c r="A10" s="1"/>
      <c r="B10" s="103"/>
      <c r="C10" s="277"/>
      <c r="D10" s="280"/>
    </row>
    <row r="11" spans="1:14" x14ac:dyDescent="0.25">
      <c r="A11" s="1"/>
      <c r="B11" s="103"/>
      <c r="C11" s="277"/>
      <c r="D11" s="280"/>
    </row>
    <row r="12" spans="1:14" x14ac:dyDescent="0.25">
      <c r="A12" s="1"/>
      <c r="B12" s="103"/>
      <c r="C12" s="277"/>
      <c r="D12" s="280"/>
    </row>
    <row r="13" spans="1:14" x14ac:dyDescent="0.25">
      <c r="A13" s="1"/>
      <c r="B13" s="103"/>
      <c r="C13" s="103"/>
      <c r="D13" s="280"/>
    </row>
    <row r="14" spans="1:14" x14ac:dyDescent="0.25">
      <c r="A14" s="1"/>
      <c r="B14" s="103"/>
      <c r="C14" s="103"/>
      <c r="D14" s="280"/>
    </row>
    <row r="15" spans="1:14" x14ac:dyDescent="0.25">
      <c r="A15" s="1"/>
      <c r="B15" s="103"/>
      <c r="C15" s="103"/>
      <c r="D15" s="280"/>
    </row>
    <row r="16" spans="1:14" x14ac:dyDescent="0.25">
      <c r="A16" s="1"/>
      <c r="B16" s="103"/>
      <c r="C16" s="103"/>
      <c r="D16" s="280"/>
    </row>
    <row r="17" spans="1:4" x14ac:dyDescent="0.25">
      <c r="A17" s="1"/>
      <c r="B17" s="103"/>
      <c r="C17" s="103"/>
      <c r="D17" s="280"/>
    </row>
    <row r="18" spans="1:4" x14ac:dyDescent="0.25">
      <c r="A18" s="1"/>
      <c r="B18" s="103"/>
      <c r="C18" s="103"/>
      <c r="D18" s="280"/>
    </row>
    <row r="19" spans="1:4" x14ac:dyDescent="0.25">
      <c r="A19" s="1"/>
      <c r="B19" s="103"/>
      <c r="C19" s="103"/>
      <c r="D19" s="280"/>
    </row>
    <row r="20" spans="1:4" x14ac:dyDescent="0.25">
      <c r="A20" s="1"/>
      <c r="B20" s="103"/>
      <c r="C20" s="103"/>
      <c r="D20" s="280"/>
    </row>
    <row r="21" spans="1:4" x14ac:dyDescent="0.25">
      <c r="A21" s="1"/>
      <c r="B21" s="103"/>
      <c r="C21" s="103"/>
      <c r="D21" s="280"/>
    </row>
    <row r="22" spans="1:4" x14ac:dyDescent="0.25">
      <c r="A22" s="1"/>
      <c r="B22" s="103"/>
      <c r="C22" s="103"/>
      <c r="D22" s="280"/>
    </row>
    <row r="23" spans="1:4" x14ac:dyDescent="0.25">
      <c r="A23" s="1"/>
      <c r="B23" s="103"/>
      <c r="C23" s="103"/>
      <c r="D23" s="280"/>
    </row>
    <row r="24" spans="1:4" x14ac:dyDescent="0.25">
      <c r="A24" s="1"/>
      <c r="B24" s="103"/>
      <c r="C24" s="103"/>
      <c r="D24" s="280"/>
    </row>
    <row r="25" spans="1:4" x14ac:dyDescent="0.25">
      <c r="A25" s="1"/>
      <c r="B25" s="103"/>
      <c r="C25" s="103"/>
      <c r="D25" s="280"/>
    </row>
    <row r="26" spans="1:4" x14ac:dyDescent="0.25">
      <c r="A26" s="1"/>
      <c r="B26" s="103"/>
      <c r="C26" s="103"/>
      <c r="D26" s="280"/>
    </row>
    <row r="27" spans="1:4" x14ac:dyDescent="0.25">
      <c r="A27" s="1"/>
      <c r="B27" s="103"/>
      <c r="C27" s="103"/>
      <c r="D27" s="280"/>
    </row>
    <row r="28" spans="1:4" x14ac:dyDescent="0.25">
      <c r="A28" s="1"/>
      <c r="B28" s="103"/>
      <c r="C28" s="103"/>
      <c r="D28" s="280"/>
    </row>
    <row r="29" spans="1:4" x14ac:dyDescent="0.25">
      <c r="A29" s="1"/>
      <c r="B29" s="103"/>
      <c r="C29" s="103"/>
      <c r="D29" s="280"/>
    </row>
    <row r="30" spans="1:4" ht="15.75" thickBot="1" x14ac:dyDescent="0.3">
      <c r="A30" s="2"/>
      <c r="B30" s="104"/>
      <c r="C30" s="104"/>
      <c r="D30" s="281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98</v>
      </c>
      <c r="C39" s="310"/>
      <c r="D39" s="310"/>
      <c r="E39" s="182" t="s">
        <v>97</v>
      </c>
    </row>
    <row r="41" spans="1:5" ht="15" customHeight="1" x14ac:dyDescent="0.25">
      <c r="B41" s="181" t="s">
        <v>40</v>
      </c>
      <c r="C41" s="381"/>
      <c r="E41" s="183" t="s">
        <v>44</v>
      </c>
    </row>
    <row r="42" spans="1:5" x14ac:dyDescent="0.25">
      <c r="B42" s="181" t="s">
        <v>41</v>
      </c>
      <c r="C42" s="282"/>
      <c r="E42" s="183" t="s">
        <v>45</v>
      </c>
    </row>
    <row r="43" spans="1:5" x14ac:dyDescent="0.25">
      <c r="B43" s="181" t="s">
        <v>42</v>
      </c>
      <c r="C43" s="282"/>
    </row>
    <row r="44" spans="1:5" x14ac:dyDescent="0.25">
      <c r="B44" s="181" t="s">
        <v>43</v>
      </c>
      <c r="C44" s="282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DL_Pointages">
          <controlPr defaultSize="0" autoLine="0" r:id="rId5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4" name="DL_Pointages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autoPict="0" r:id="rId13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2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04"/>
      <c r="B2" s="305"/>
      <c r="C2" s="305"/>
      <c r="D2" s="305"/>
      <c r="E2" s="305"/>
      <c r="F2" s="305"/>
      <c r="G2" s="305"/>
      <c r="H2" s="332" t="s">
        <v>21</v>
      </c>
      <c r="I2" s="332"/>
      <c r="J2" s="332"/>
      <c r="K2" s="332"/>
      <c r="L2" s="332"/>
      <c r="M2" s="332"/>
      <c r="N2" s="332"/>
      <c r="O2" s="332"/>
      <c r="P2" s="332"/>
      <c r="Q2" s="332"/>
      <c r="R2" s="332"/>
      <c r="S2" s="332"/>
      <c r="T2" s="333"/>
      <c r="U2" s="334">
        <v>0</v>
      </c>
      <c r="V2" s="335"/>
      <c r="W2" s="335"/>
      <c r="X2" s="335"/>
      <c r="Y2" s="335"/>
      <c r="Z2" s="335"/>
      <c r="AA2" s="335"/>
      <c r="AB2" s="335"/>
      <c r="AC2" s="335"/>
      <c r="AD2" s="335"/>
      <c r="AE2" s="335"/>
      <c r="AF2" s="335"/>
      <c r="AG2" s="335"/>
      <c r="AH2" s="335"/>
      <c r="AI2" s="335"/>
      <c r="AJ2" s="335"/>
      <c r="AK2" s="335"/>
      <c r="AL2" s="335"/>
      <c r="AM2" s="335"/>
      <c r="AN2" s="335"/>
      <c r="AO2" s="326" t="s">
        <v>22</v>
      </c>
      <c r="AP2" s="327"/>
      <c r="AQ2" s="327"/>
      <c r="AR2" s="327"/>
      <c r="AS2" s="327"/>
      <c r="AT2" s="327"/>
      <c r="AU2" s="327"/>
      <c r="AV2" s="327"/>
      <c r="AW2" s="327"/>
      <c r="AX2" s="327"/>
      <c r="AY2" s="327"/>
      <c r="AZ2" s="327"/>
      <c r="BA2" s="328"/>
      <c r="BB2" s="329"/>
      <c r="BC2" s="330"/>
      <c r="BD2" s="330"/>
      <c r="BE2" s="330"/>
      <c r="BF2" s="330"/>
      <c r="BG2" s="330"/>
      <c r="BH2" s="330"/>
      <c r="BI2" s="330"/>
      <c r="BJ2" s="330"/>
      <c r="BK2" s="330"/>
      <c r="BL2" s="331"/>
    </row>
    <row r="3" spans="1:65" ht="13.5" customHeight="1" thickBot="1" x14ac:dyDescent="0.3">
      <c r="A3" s="302">
        <v>1</v>
      </c>
      <c r="B3" s="302"/>
      <c r="C3" s="302">
        <v>2</v>
      </c>
      <c r="D3" s="302"/>
      <c r="E3" s="302">
        <v>3</v>
      </c>
      <c r="F3" s="302"/>
      <c r="G3" s="302">
        <v>4</v>
      </c>
      <c r="H3" s="302"/>
      <c r="I3" s="303">
        <v>5</v>
      </c>
      <c r="J3" s="308"/>
      <c r="K3" s="303">
        <v>6</v>
      </c>
      <c r="L3" s="308"/>
      <c r="M3" s="303">
        <v>7</v>
      </c>
      <c r="N3" s="308"/>
      <c r="O3" s="303">
        <v>8</v>
      </c>
      <c r="P3" s="308"/>
      <c r="Q3" s="303">
        <v>9</v>
      </c>
      <c r="R3" s="308"/>
      <c r="S3" s="303">
        <v>10</v>
      </c>
      <c r="T3" s="298"/>
      <c r="U3" s="297">
        <v>1</v>
      </c>
      <c r="V3" s="308"/>
      <c r="W3" s="303">
        <v>2</v>
      </c>
      <c r="X3" s="308"/>
      <c r="Y3" s="303">
        <v>3</v>
      </c>
      <c r="Z3" s="308"/>
      <c r="AA3" s="303">
        <v>4</v>
      </c>
      <c r="AB3" s="308"/>
      <c r="AC3" s="303">
        <v>5</v>
      </c>
      <c r="AD3" s="308"/>
      <c r="AE3" s="303">
        <v>6</v>
      </c>
      <c r="AF3" s="308"/>
      <c r="AG3" s="303">
        <v>7</v>
      </c>
      <c r="AH3" s="308"/>
      <c r="AI3" s="303">
        <v>8</v>
      </c>
      <c r="AJ3" s="308"/>
      <c r="AK3" s="303">
        <v>9</v>
      </c>
      <c r="AL3" s="308"/>
      <c r="AM3" s="303">
        <v>10</v>
      </c>
      <c r="AN3" s="298"/>
      <c r="AO3" s="322" t="s">
        <v>23</v>
      </c>
      <c r="AP3" s="323"/>
      <c r="AQ3" s="323"/>
      <c r="AR3" s="324"/>
      <c r="AS3" s="322" t="s">
        <v>24</v>
      </c>
      <c r="AT3" s="323"/>
      <c r="AU3" s="323"/>
      <c r="AV3" s="323"/>
      <c r="AW3" s="323"/>
      <c r="AX3" s="323"/>
      <c r="AY3" s="297" t="s">
        <v>5</v>
      </c>
      <c r="AZ3" s="325"/>
      <c r="BA3" s="298"/>
      <c r="BB3" s="319" t="s">
        <v>25</v>
      </c>
      <c r="BC3" s="320"/>
      <c r="BD3" s="320"/>
      <c r="BE3" s="320"/>
      <c r="BF3" s="320"/>
      <c r="BG3" s="320"/>
      <c r="BH3" s="320"/>
      <c r="BI3" s="320"/>
      <c r="BJ3" s="320"/>
      <c r="BK3" s="320"/>
      <c r="BL3" s="321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15"/>
      <c r="D45" s="31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6" t="s">
        <v>46</v>
      </c>
      <c r="B1" s="336"/>
      <c r="C1" s="336"/>
    </row>
    <row r="2" spans="1:6" ht="15.75" x14ac:dyDescent="0.25">
      <c r="A2" s="184"/>
      <c r="B2" s="184"/>
      <c r="C2" s="184"/>
    </row>
    <row r="3" spans="1:6" ht="15.75" x14ac:dyDescent="0.25">
      <c r="A3" s="336">
        <f>Inter!I23</f>
        <v>0</v>
      </c>
      <c r="B3" s="336"/>
      <c r="C3" s="336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45740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45741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45742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45743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45744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45745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45746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45747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45748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45749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45750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45751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45752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45753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45754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45755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45756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45757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45758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45759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45760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45761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45762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45763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45764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45765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45766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45767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tabSelected="1" workbookViewId="0">
      <selection activeCell="Q15" sqref="Q1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38" t="s">
        <v>49</v>
      </c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</row>
    <row r="2" spans="2:17" x14ac:dyDescent="0.25"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39" t="s">
        <v>53</v>
      </c>
      <c r="D6" s="342" t="s">
        <v>54</v>
      </c>
      <c r="E6" s="342" t="s">
        <v>30</v>
      </c>
      <c r="F6" s="345"/>
      <c r="G6" s="345"/>
      <c r="H6" s="347" t="s">
        <v>55</v>
      </c>
      <c r="I6" s="349" t="s">
        <v>30</v>
      </c>
      <c r="J6" s="345"/>
      <c r="K6" s="345"/>
      <c r="L6" s="347" t="s">
        <v>55</v>
      </c>
      <c r="M6" s="351" t="s">
        <v>56</v>
      </c>
      <c r="N6" s="242"/>
      <c r="O6" s="243"/>
    </row>
    <row r="7" spans="2:17" x14ac:dyDescent="0.25">
      <c r="C7" s="340"/>
      <c r="D7" s="343"/>
      <c r="E7" s="346"/>
      <c r="F7" s="346"/>
      <c r="G7" s="346"/>
      <c r="H7" s="348"/>
      <c r="I7" s="350"/>
      <c r="J7" s="346"/>
      <c r="K7" s="346"/>
      <c r="L7" s="348"/>
      <c r="M7" s="352"/>
      <c r="N7" s="242"/>
      <c r="O7" s="243"/>
    </row>
    <row r="8" spans="2:17" x14ac:dyDescent="0.25">
      <c r="C8" s="340"/>
      <c r="D8" s="343"/>
      <c r="E8" s="346"/>
      <c r="F8" s="346"/>
      <c r="G8" s="346"/>
      <c r="H8" s="348"/>
      <c r="I8" s="350"/>
      <c r="J8" s="346"/>
      <c r="K8" s="346"/>
      <c r="L8" s="348"/>
      <c r="M8" s="352"/>
      <c r="N8" s="242"/>
      <c r="O8" s="243"/>
    </row>
    <row r="9" spans="2:17" ht="15.75" thickBot="1" x14ac:dyDescent="0.3">
      <c r="C9" s="341"/>
      <c r="D9" s="344"/>
      <c r="E9" s="189" t="s">
        <v>6</v>
      </c>
      <c r="F9" s="189" t="s">
        <v>7</v>
      </c>
      <c r="G9" s="189" t="s">
        <v>57</v>
      </c>
      <c r="H9" s="348"/>
      <c r="I9" s="190" t="s">
        <v>6</v>
      </c>
      <c r="J9" s="189" t="s">
        <v>7</v>
      </c>
      <c r="K9" s="189" t="s">
        <v>57</v>
      </c>
      <c r="L9" s="348"/>
      <c r="M9" s="352"/>
      <c r="N9" s="242"/>
      <c r="O9" s="243"/>
    </row>
    <row r="10" spans="2:17" ht="15.75" thickBot="1" x14ac:dyDescent="0.3">
      <c r="B10" s="337" t="s">
        <v>14</v>
      </c>
      <c r="C10" s="353"/>
      <c r="D10" s="356"/>
      <c r="E10" s="216"/>
      <c r="F10" s="216"/>
      <c r="G10" s="219"/>
      <c r="H10" s="229"/>
      <c r="I10" s="221"/>
      <c r="J10" s="222"/>
      <c r="K10" s="191"/>
      <c r="L10" s="231"/>
      <c r="M10" s="359"/>
      <c r="N10" s="242"/>
      <c r="O10" s="243"/>
      <c r="P10" s="194">
        <v>3</v>
      </c>
      <c r="Q10" s="194">
        <v>31</v>
      </c>
    </row>
    <row r="11" spans="2:17" ht="15.75" thickBot="1" x14ac:dyDescent="0.3">
      <c r="B11" s="337"/>
      <c r="C11" s="354"/>
      <c r="D11" s="357"/>
      <c r="E11" s="217"/>
      <c r="F11" s="217"/>
      <c r="G11" s="35"/>
      <c r="H11" s="36"/>
      <c r="I11" s="223"/>
      <c r="J11" s="224"/>
      <c r="K11" s="103"/>
      <c r="L11" s="232"/>
      <c r="M11" s="360"/>
      <c r="N11" s="242"/>
      <c r="O11" s="243"/>
      <c r="P11" s="29">
        <f>P10</f>
        <v>3</v>
      </c>
      <c r="Q11" s="29">
        <f>Q10</f>
        <v>31</v>
      </c>
    </row>
    <row r="12" spans="2:17" ht="15.75" thickBot="1" x14ac:dyDescent="0.3">
      <c r="B12" s="337"/>
      <c r="C12" s="355"/>
      <c r="D12" s="358"/>
      <c r="E12" s="218"/>
      <c r="F12" s="218"/>
      <c r="G12" s="220"/>
      <c r="H12" s="230"/>
      <c r="I12" s="225"/>
      <c r="J12" s="226"/>
      <c r="K12" s="192"/>
      <c r="L12" s="233"/>
      <c r="M12" s="361"/>
      <c r="N12" s="242"/>
      <c r="O12" s="243"/>
      <c r="P12" s="29">
        <f>P10</f>
        <v>3</v>
      </c>
      <c r="Q12" s="29">
        <f>Q10</f>
        <v>31</v>
      </c>
    </row>
    <row r="13" spans="2:17" ht="15.75" thickBot="1" x14ac:dyDescent="0.3">
      <c r="B13" s="337" t="s">
        <v>15</v>
      </c>
      <c r="C13" s="353"/>
      <c r="D13" s="356"/>
      <c r="E13" s="216"/>
      <c r="F13" s="216"/>
      <c r="G13" s="219"/>
      <c r="H13" s="229"/>
      <c r="I13" s="221"/>
      <c r="J13" s="222"/>
      <c r="K13" s="191"/>
      <c r="L13" s="231"/>
      <c r="M13" s="362"/>
      <c r="N13" s="242"/>
      <c r="O13" s="244"/>
      <c r="P13" s="29">
        <f>P10+1</f>
        <v>4</v>
      </c>
      <c r="Q13" s="29">
        <f>Q10+1</f>
        <v>32</v>
      </c>
    </row>
    <row r="14" spans="2:17" ht="15.75" thickBot="1" x14ac:dyDescent="0.3">
      <c r="B14" s="337"/>
      <c r="C14" s="354"/>
      <c r="D14" s="357"/>
      <c r="E14" s="217"/>
      <c r="F14" s="217"/>
      <c r="G14" s="35"/>
      <c r="H14" s="36"/>
      <c r="I14" s="223"/>
      <c r="J14" s="224"/>
      <c r="K14" s="103"/>
      <c r="L14" s="232"/>
      <c r="M14" s="360"/>
      <c r="N14" s="245"/>
      <c r="O14" s="244"/>
      <c r="P14" s="29">
        <f>P13</f>
        <v>4</v>
      </c>
      <c r="Q14" s="29">
        <f>Q13</f>
        <v>32</v>
      </c>
    </row>
    <row r="15" spans="2:17" ht="15.75" thickBot="1" x14ac:dyDescent="0.3">
      <c r="B15" s="337"/>
      <c r="C15" s="355"/>
      <c r="D15" s="358"/>
      <c r="E15" s="218"/>
      <c r="F15" s="218"/>
      <c r="G15" s="220"/>
      <c r="H15" s="230"/>
      <c r="I15" s="225"/>
      <c r="J15" s="226"/>
      <c r="K15" s="192"/>
      <c r="L15" s="233"/>
      <c r="M15" s="361"/>
      <c r="N15" s="245"/>
      <c r="O15" s="244"/>
      <c r="P15" s="29">
        <f>P13</f>
        <v>4</v>
      </c>
      <c r="Q15" s="29">
        <f>Q13</f>
        <v>32</v>
      </c>
    </row>
    <row r="16" spans="2:17" ht="15.75" thickBot="1" x14ac:dyDescent="0.3">
      <c r="B16" s="337" t="s">
        <v>16</v>
      </c>
      <c r="C16" s="353"/>
      <c r="D16" s="356"/>
      <c r="E16" s="216"/>
      <c r="F16" s="216"/>
      <c r="G16" s="219"/>
      <c r="H16" s="229"/>
      <c r="I16" s="221"/>
      <c r="J16" s="222"/>
      <c r="K16" s="191"/>
      <c r="L16" s="231"/>
      <c r="M16" s="362"/>
      <c r="N16" s="245"/>
      <c r="O16" s="244"/>
      <c r="P16" s="29">
        <f>P10+2</f>
        <v>5</v>
      </c>
      <c r="Q16" s="29">
        <f>Q10+2</f>
        <v>33</v>
      </c>
    </row>
    <row r="17" spans="2:17" ht="15.75" thickBot="1" x14ac:dyDescent="0.3">
      <c r="B17" s="337"/>
      <c r="C17" s="354"/>
      <c r="D17" s="357"/>
      <c r="E17" s="217"/>
      <c r="F17" s="217"/>
      <c r="G17" s="35"/>
      <c r="H17" s="36"/>
      <c r="I17" s="223"/>
      <c r="J17" s="224"/>
      <c r="K17" s="103"/>
      <c r="L17" s="232"/>
      <c r="M17" s="360"/>
      <c r="N17" s="245"/>
      <c r="O17" s="244"/>
      <c r="P17" s="29">
        <f>P16</f>
        <v>5</v>
      </c>
      <c r="Q17" s="29">
        <f>Q16</f>
        <v>33</v>
      </c>
    </row>
    <row r="18" spans="2:17" ht="15.75" thickBot="1" x14ac:dyDescent="0.3">
      <c r="B18" s="337"/>
      <c r="C18" s="355"/>
      <c r="D18" s="358"/>
      <c r="E18" s="218"/>
      <c r="F18" s="218"/>
      <c r="G18" s="220"/>
      <c r="H18" s="230"/>
      <c r="I18" s="225"/>
      <c r="J18" s="226"/>
      <c r="K18" s="192"/>
      <c r="L18" s="233"/>
      <c r="M18" s="361"/>
      <c r="N18" s="245"/>
      <c r="O18" s="244"/>
      <c r="P18" s="29">
        <f>P16</f>
        <v>5</v>
      </c>
      <c r="Q18" s="29">
        <f>Q16</f>
        <v>33</v>
      </c>
    </row>
    <row r="19" spans="2:17" ht="15.75" thickBot="1" x14ac:dyDescent="0.3">
      <c r="B19" s="337" t="s">
        <v>17</v>
      </c>
      <c r="C19" s="353"/>
      <c r="D19" s="356"/>
      <c r="E19" s="216"/>
      <c r="F19" s="216"/>
      <c r="G19" s="219"/>
      <c r="H19" s="229"/>
      <c r="I19" s="221"/>
      <c r="J19" s="222"/>
      <c r="K19" s="191"/>
      <c r="L19" s="231"/>
      <c r="M19" s="362"/>
      <c r="N19" s="245"/>
      <c r="O19" s="244"/>
      <c r="P19" s="29">
        <f>P10+3</f>
        <v>6</v>
      </c>
      <c r="Q19" s="29">
        <f>Q10+3</f>
        <v>34</v>
      </c>
    </row>
    <row r="20" spans="2:17" ht="15.75" thickBot="1" x14ac:dyDescent="0.3">
      <c r="B20" s="337"/>
      <c r="C20" s="354"/>
      <c r="D20" s="357"/>
      <c r="E20" s="217"/>
      <c r="F20" s="217"/>
      <c r="G20" s="35"/>
      <c r="H20" s="36"/>
      <c r="I20" s="223"/>
      <c r="J20" s="224"/>
      <c r="K20" s="103"/>
      <c r="L20" s="232"/>
      <c r="M20" s="360"/>
      <c r="N20" s="245"/>
      <c r="O20" s="244"/>
      <c r="P20" s="29">
        <f>P19</f>
        <v>6</v>
      </c>
      <c r="Q20" s="29">
        <f>Q19</f>
        <v>34</v>
      </c>
    </row>
    <row r="21" spans="2:17" ht="15.75" thickBot="1" x14ac:dyDescent="0.3">
      <c r="B21" s="337"/>
      <c r="C21" s="355"/>
      <c r="D21" s="358"/>
      <c r="E21" s="218"/>
      <c r="F21" s="218"/>
      <c r="G21" s="220"/>
      <c r="H21" s="230"/>
      <c r="I21" s="225"/>
      <c r="J21" s="226"/>
      <c r="K21" s="192"/>
      <c r="L21" s="233"/>
      <c r="M21" s="361"/>
      <c r="N21" s="245"/>
      <c r="O21" s="244"/>
      <c r="P21" s="29">
        <f>P19</f>
        <v>6</v>
      </c>
      <c r="Q21" s="29">
        <f>Q19</f>
        <v>34</v>
      </c>
    </row>
    <row r="22" spans="2:17" ht="15.75" thickBot="1" x14ac:dyDescent="0.3">
      <c r="B22" s="337" t="s">
        <v>18</v>
      </c>
      <c r="C22" s="353"/>
      <c r="D22" s="356"/>
      <c r="E22" s="216"/>
      <c r="F22" s="216"/>
      <c r="G22" s="219"/>
      <c r="H22" s="229"/>
      <c r="I22" s="221"/>
      <c r="J22" s="222"/>
      <c r="K22" s="191"/>
      <c r="L22" s="231"/>
      <c r="M22" s="362"/>
      <c r="N22" s="242"/>
      <c r="O22" s="244"/>
      <c r="P22" s="29">
        <f>P10+4</f>
        <v>7</v>
      </c>
      <c r="Q22" s="29">
        <f>Q10+4</f>
        <v>35</v>
      </c>
    </row>
    <row r="23" spans="2:17" ht="15.75" thickBot="1" x14ac:dyDescent="0.3">
      <c r="B23" s="337"/>
      <c r="C23" s="354"/>
      <c r="D23" s="357"/>
      <c r="E23" s="217"/>
      <c r="F23" s="217"/>
      <c r="G23" s="35"/>
      <c r="H23" s="36"/>
      <c r="I23" s="223"/>
      <c r="J23" s="224"/>
      <c r="K23" s="103"/>
      <c r="L23" s="232"/>
      <c r="M23" s="360"/>
      <c r="N23" s="245"/>
      <c r="O23" s="244"/>
      <c r="P23" s="29">
        <f>P22</f>
        <v>7</v>
      </c>
      <c r="Q23" s="29">
        <f>Q22</f>
        <v>35</v>
      </c>
    </row>
    <row r="24" spans="2:17" ht="15.75" thickBot="1" x14ac:dyDescent="0.3">
      <c r="B24" s="337"/>
      <c r="C24" s="355"/>
      <c r="D24" s="358"/>
      <c r="E24" s="218"/>
      <c r="F24" s="218"/>
      <c r="G24" s="220"/>
      <c r="H24" s="230"/>
      <c r="I24" s="225"/>
      <c r="J24" s="226"/>
      <c r="K24" s="192"/>
      <c r="L24" s="233"/>
      <c r="M24" s="361"/>
      <c r="N24" s="245"/>
      <c r="O24" s="244"/>
      <c r="P24" s="29">
        <f>P22</f>
        <v>7</v>
      </c>
      <c r="Q24" s="29">
        <f>Q22</f>
        <v>35</v>
      </c>
    </row>
    <row r="25" spans="2:17" ht="15.75" thickBot="1" x14ac:dyDescent="0.3">
      <c r="B25" s="337" t="s">
        <v>19</v>
      </c>
      <c r="C25" s="353"/>
      <c r="D25" s="356"/>
      <c r="E25" s="216"/>
      <c r="F25" s="216"/>
      <c r="G25" s="219"/>
      <c r="H25" s="229"/>
      <c r="I25" s="221"/>
      <c r="J25" s="222"/>
      <c r="K25" s="191"/>
      <c r="L25" s="231"/>
      <c r="M25" s="362"/>
      <c r="N25" s="245"/>
      <c r="O25" s="244"/>
      <c r="P25" s="29">
        <f>P10+5</f>
        <v>8</v>
      </c>
      <c r="Q25" s="29">
        <f>Q10+5</f>
        <v>36</v>
      </c>
    </row>
    <row r="26" spans="2:17" ht="15.75" thickBot="1" x14ac:dyDescent="0.3">
      <c r="B26" s="337"/>
      <c r="C26" s="354"/>
      <c r="D26" s="357"/>
      <c r="E26" s="217"/>
      <c r="F26" s="217"/>
      <c r="G26" s="35"/>
      <c r="H26" s="36"/>
      <c r="I26" s="223"/>
      <c r="J26" s="224"/>
      <c r="K26" s="103"/>
      <c r="L26" s="232"/>
      <c r="M26" s="360"/>
      <c r="N26" s="245"/>
      <c r="O26" s="244"/>
      <c r="P26" s="29">
        <f>P25</f>
        <v>8</v>
      </c>
      <c r="Q26" s="29">
        <f>Q25</f>
        <v>36</v>
      </c>
    </row>
    <row r="27" spans="2:17" ht="15.75" thickBot="1" x14ac:dyDescent="0.3">
      <c r="B27" s="337"/>
      <c r="C27" s="355"/>
      <c r="D27" s="358"/>
      <c r="E27" s="218"/>
      <c r="F27" s="218"/>
      <c r="G27" s="220"/>
      <c r="H27" s="230"/>
      <c r="I27" s="225"/>
      <c r="J27" s="226"/>
      <c r="K27" s="192"/>
      <c r="L27" s="233"/>
      <c r="M27" s="361"/>
      <c r="N27" s="245"/>
      <c r="O27" s="244"/>
      <c r="P27" s="29">
        <f>P25</f>
        <v>8</v>
      </c>
      <c r="Q27" s="29">
        <f>Q25</f>
        <v>36</v>
      </c>
    </row>
    <row r="28" spans="2:17" ht="15.75" thickBot="1" x14ac:dyDescent="0.3">
      <c r="B28" s="337" t="s">
        <v>20</v>
      </c>
      <c r="C28" s="353"/>
      <c r="D28" s="356"/>
      <c r="E28" s="216"/>
      <c r="F28" s="216"/>
      <c r="G28" s="219"/>
      <c r="H28" s="229"/>
      <c r="I28" s="221"/>
      <c r="J28" s="222"/>
      <c r="K28" s="191"/>
      <c r="L28" s="231"/>
      <c r="M28" s="362"/>
      <c r="N28" s="245"/>
      <c r="O28" s="244"/>
      <c r="P28" s="29">
        <f>P10+6</f>
        <v>9</v>
      </c>
      <c r="Q28" s="29">
        <f>Q10+6</f>
        <v>37</v>
      </c>
    </row>
    <row r="29" spans="2:17" ht="15.75" thickBot="1" x14ac:dyDescent="0.3">
      <c r="B29" s="337"/>
      <c r="C29" s="354"/>
      <c r="D29" s="357"/>
      <c r="E29" s="217"/>
      <c r="F29" s="217"/>
      <c r="G29" s="35"/>
      <c r="H29" s="36"/>
      <c r="I29" s="223"/>
      <c r="J29" s="224"/>
      <c r="K29" s="103"/>
      <c r="L29" s="232"/>
      <c r="M29" s="360"/>
      <c r="N29" s="245"/>
      <c r="O29" s="244"/>
      <c r="P29" s="29">
        <f>P28</f>
        <v>9</v>
      </c>
      <c r="Q29" s="29">
        <f>Q28</f>
        <v>37</v>
      </c>
    </row>
    <row r="30" spans="2:17" ht="15.75" thickBot="1" x14ac:dyDescent="0.3">
      <c r="B30" s="337"/>
      <c r="C30" s="355"/>
      <c r="D30" s="358"/>
      <c r="E30" s="218"/>
      <c r="F30" s="218"/>
      <c r="G30" s="220"/>
      <c r="H30" s="230"/>
      <c r="I30" s="225"/>
      <c r="J30" s="226"/>
      <c r="K30" s="192"/>
      <c r="L30" s="233"/>
      <c r="M30" s="361"/>
      <c r="N30" s="245"/>
      <c r="O30" s="244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74" t="s">
        <v>60</v>
      </c>
      <c r="C36" s="375"/>
      <c r="D36" s="375"/>
      <c r="E36" s="375"/>
      <c r="F36" s="375"/>
      <c r="G36" s="375"/>
      <c r="H36" s="375"/>
      <c r="I36" s="375"/>
      <c r="J36" s="376"/>
      <c r="K36" s="374" t="s">
        <v>61</v>
      </c>
      <c r="L36" s="375"/>
      <c r="M36" s="375"/>
      <c r="N36" s="300"/>
      <c r="O36" s="301"/>
    </row>
    <row r="37" spans="2:15" x14ac:dyDescent="0.25">
      <c r="B37" s="363"/>
      <c r="C37" s="364"/>
      <c r="D37" s="364"/>
      <c r="E37" s="364"/>
      <c r="F37" s="364"/>
      <c r="G37" s="364"/>
      <c r="H37" s="364"/>
      <c r="I37" s="364"/>
      <c r="J37" s="365"/>
      <c r="K37" s="372" t="s">
        <v>62</v>
      </c>
      <c r="L37" s="300"/>
      <c r="M37" s="301"/>
      <c r="N37" s="372" t="s">
        <v>63</v>
      </c>
      <c r="O37" s="373"/>
    </row>
    <row r="38" spans="2:15" x14ac:dyDescent="0.25">
      <c r="B38" s="366"/>
      <c r="C38" s="367"/>
      <c r="D38" s="367"/>
      <c r="E38" s="367"/>
      <c r="F38" s="367"/>
      <c r="G38" s="367"/>
      <c r="H38" s="367"/>
      <c r="I38" s="367"/>
      <c r="J38" s="368"/>
      <c r="K38" s="363"/>
      <c r="L38" s="364"/>
      <c r="M38" s="365"/>
      <c r="N38" s="363"/>
      <c r="O38" s="365"/>
    </row>
    <row r="39" spans="2:15" x14ac:dyDescent="0.25">
      <c r="B39" s="366"/>
      <c r="C39" s="367"/>
      <c r="D39" s="367"/>
      <c r="E39" s="367"/>
      <c r="F39" s="367"/>
      <c r="G39" s="367"/>
      <c r="H39" s="367"/>
      <c r="I39" s="367"/>
      <c r="J39" s="368"/>
      <c r="K39" s="366"/>
      <c r="L39" s="367"/>
      <c r="M39" s="368"/>
      <c r="N39" s="366"/>
      <c r="O39" s="368"/>
    </row>
    <row r="40" spans="2:15" x14ac:dyDescent="0.25">
      <c r="B40" s="366"/>
      <c r="C40" s="367"/>
      <c r="D40" s="367"/>
      <c r="E40" s="367"/>
      <c r="F40" s="367"/>
      <c r="G40" s="367"/>
      <c r="H40" s="367"/>
      <c r="I40" s="367"/>
      <c r="J40" s="368"/>
      <c r="K40" s="366"/>
      <c r="L40" s="367"/>
      <c r="M40" s="368"/>
      <c r="N40" s="366"/>
      <c r="O40" s="368"/>
    </row>
    <row r="41" spans="2:15" x14ac:dyDescent="0.25">
      <c r="B41" s="369"/>
      <c r="C41" s="370"/>
      <c r="D41" s="370"/>
      <c r="E41" s="370"/>
      <c r="F41" s="370"/>
      <c r="G41" s="370"/>
      <c r="H41" s="370"/>
      <c r="I41" s="370"/>
      <c r="J41" s="371"/>
      <c r="K41" s="369"/>
      <c r="L41" s="370"/>
      <c r="M41" s="371"/>
      <c r="N41" s="369"/>
      <c r="O41" s="371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2025-03-26T11:32:25Z</dcterms:modified>
</cp:coreProperties>
</file>