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2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3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Android_studio\PointagesXL\Pointages\"/>
    </mc:Choice>
  </mc:AlternateContent>
  <bookViews>
    <workbookView xWindow="0" yWindow="0" windowWidth="28800" windowHeight="12885" tabRatio="768" activeTab="2"/>
  </bookViews>
  <sheets>
    <sheet name="Inter" sheetId="1" r:id="rId1"/>
    <sheet name="Édition Pointages" sheetId="78" r:id="rId2"/>
    <sheet name="Gestion Pointages" sheetId="3" r:id="rId3"/>
    <sheet name="Calcul" sheetId="2" r:id="rId4"/>
    <sheet name="Recap" sheetId="71" r:id="rId5"/>
    <sheet name="FHebdo" sheetId="73" r:id="rId6"/>
  </sheets>
  <functionGroups builtInGroupCount="18"/>
  <definedNames>
    <definedName name="_xlnm._FilterDatabase" localSheetId="2" hidden="1">'Gestion Pointages'!$A$1:$A$37</definedName>
    <definedName name="liste1">INDIRECT("'Gestion Pointages'!$A$2:$A$"&amp;1+COUNTA('Gestion Pointages'!$A$2:$A$30))</definedName>
    <definedName name="test">'Gestion Pointages'!$A$2:$A$3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30" i="73" l="1"/>
  <c r="P30" i="73"/>
  <c r="Q29" i="73"/>
  <c r="P29" i="73"/>
  <c r="Q28" i="73"/>
  <c r="P28" i="73"/>
  <c r="Q27" i="73"/>
  <c r="P27" i="73"/>
  <c r="Q26" i="73"/>
  <c r="P26" i="73"/>
  <c r="Q25" i="73"/>
  <c r="P25" i="73"/>
  <c r="Q24" i="73"/>
  <c r="P24" i="73"/>
  <c r="Q23" i="73"/>
  <c r="P23" i="73"/>
  <c r="Q22" i="73"/>
  <c r="P22" i="73"/>
  <c r="Q21" i="73"/>
  <c r="P21" i="73"/>
  <c r="Q20" i="73"/>
  <c r="P20" i="73"/>
  <c r="Q19" i="73"/>
  <c r="P19" i="73"/>
  <c r="Q18" i="73"/>
  <c r="P18" i="73"/>
  <c r="Q17" i="73"/>
  <c r="P17" i="73"/>
  <c r="Q16" i="73"/>
  <c r="P16" i="73"/>
  <c r="Q15" i="73"/>
  <c r="P15" i="73"/>
  <c r="Q14" i="73"/>
  <c r="P14" i="73"/>
  <c r="Q13" i="73"/>
  <c r="P13" i="73"/>
  <c r="Q12" i="73"/>
  <c r="P12" i="73"/>
  <c r="Q11" i="73"/>
  <c r="P11" i="73"/>
  <c r="D4" i="73"/>
  <c r="C41" i="71"/>
  <c r="B41" i="71"/>
  <c r="A41" i="71"/>
  <c r="C40" i="71"/>
  <c r="B40" i="71"/>
  <c r="A40" i="71"/>
  <c r="C39" i="71"/>
  <c r="B39" i="71"/>
  <c r="A39" i="71"/>
  <c r="C38" i="71"/>
  <c r="B38" i="71"/>
  <c r="A38" i="71"/>
  <c r="C37" i="71"/>
  <c r="B37" i="71"/>
  <c r="A37" i="71"/>
  <c r="C36" i="71"/>
  <c r="B36" i="71"/>
  <c r="A36" i="71"/>
  <c r="C35" i="71"/>
  <c r="B35" i="71"/>
  <c r="A35" i="71"/>
  <c r="C34" i="71"/>
  <c r="B34" i="71"/>
  <c r="A34" i="71"/>
  <c r="C33" i="71"/>
  <c r="B33" i="71"/>
  <c r="A33" i="71"/>
  <c r="C32" i="71"/>
  <c r="B32" i="71"/>
  <c r="A32" i="71"/>
  <c r="C31" i="71"/>
  <c r="B31" i="71"/>
  <c r="A31" i="71"/>
  <c r="C30" i="71"/>
  <c r="B30" i="71"/>
  <c r="A30" i="71"/>
  <c r="C29" i="71"/>
  <c r="B29" i="71"/>
  <c r="A29" i="71"/>
  <c r="C28" i="71"/>
  <c r="B28" i="71"/>
  <c r="A28" i="71"/>
  <c r="C27" i="71"/>
  <c r="B27" i="71"/>
  <c r="A27" i="71"/>
  <c r="C26" i="71"/>
  <c r="B26" i="71"/>
  <c r="A26" i="71"/>
  <c r="C25" i="71"/>
  <c r="B25" i="71"/>
  <c r="A25" i="71"/>
  <c r="C24" i="71"/>
  <c r="B24" i="71"/>
  <c r="A24" i="71"/>
  <c r="C23" i="71"/>
  <c r="B23" i="71"/>
  <c r="A23" i="71"/>
  <c r="C22" i="71"/>
  <c r="B22" i="71"/>
  <c r="A22" i="71"/>
  <c r="C21" i="71"/>
  <c r="B21" i="71"/>
  <c r="A21" i="71"/>
  <c r="C20" i="71"/>
  <c r="B20" i="71"/>
  <c r="A20" i="71"/>
  <c r="C19" i="71"/>
  <c r="B19" i="71"/>
  <c r="A19" i="71"/>
  <c r="C18" i="71"/>
  <c r="B18" i="71"/>
  <c r="A18" i="71"/>
  <c r="C17" i="71"/>
  <c r="B17" i="71"/>
  <c r="A17" i="71"/>
  <c r="C16" i="71"/>
  <c r="B16" i="71"/>
  <c r="A16" i="71"/>
  <c r="C15" i="71"/>
  <c r="B15" i="71"/>
  <c r="A15" i="71"/>
  <c r="C14" i="71"/>
  <c r="B14" i="71"/>
  <c r="A14" i="71"/>
  <c r="C13" i="71"/>
  <c r="B13" i="71"/>
  <c r="A13" i="71"/>
  <c r="C12" i="71"/>
  <c r="B12" i="71"/>
  <c r="A12" i="71"/>
  <c r="C11" i="71"/>
  <c r="B11" i="71"/>
  <c r="A11" i="71"/>
  <c r="C10" i="71"/>
  <c r="B10" i="71"/>
  <c r="A10" i="71"/>
  <c r="C9" i="71"/>
  <c r="B9" i="71"/>
  <c r="A9" i="71"/>
  <c r="C8" i="71"/>
  <c r="B8" i="71"/>
  <c r="A8" i="71"/>
  <c r="C7" i="71"/>
  <c r="B7" i="71"/>
  <c r="A7" i="71"/>
  <c r="A3" i="71"/>
  <c r="BK42" i="2"/>
  <c r="BJ42" i="2"/>
  <c r="BI42" i="2"/>
  <c r="BH42" i="2"/>
  <c r="BG42" i="2"/>
  <c r="BF42" i="2"/>
  <c r="BE42" i="2"/>
  <c r="BD42" i="2"/>
  <c r="BC42" i="2"/>
  <c r="BB42" i="2"/>
  <c r="AW42" i="2"/>
  <c r="AX42" i="2" s="1"/>
  <c r="AU42" i="2"/>
  <c r="AV42" i="2" s="1"/>
  <c r="AS42" i="2"/>
  <c r="AR42" i="2"/>
  <c r="AQ42" i="2"/>
  <c r="AP42" i="2"/>
  <c r="AO42" i="2"/>
  <c r="AN42" i="2"/>
  <c r="AM42" i="2"/>
  <c r="AL42" i="2"/>
  <c r="AK42" i="2"/>
  <c r="AJ42" i="2"/>
  <c r="AI42" i="2"/>
  <c r="AH42" i="2"/>
  <c r="AG42" i="2"/>
  <c r="AF42" i="2"/>
  <c r="AE42" i="2"/>
  <c r="AD42" i="2"/>
  <c r="AC42" i="2"/>
  <c r="AB42" i="2"/>
  <c r="AA42" i="2"/>
  <c r="Z42" i="2"/>
  <c r="Y42" i="2"/>
  <c r="X42" i="2"/>
  <c r="W42" i="2"/>
  <c r="V42" i="2"/>
  <c r="U42" i="2"/>
  <c r="BK41" i="2"/>
  <c r="BJ41" i="2"/>
  <c r="BI41" i="2"/>
  <c r="BH41" i="2"/>
  <c r="BG41" i="2"/>
  <c r="BF41" i="2"/>
  <c r="BE41" i="2"/>
  <c r="BD41" i="2"/>
  <c r="BC41" i="2"/>
  <c r="BB41" i="2"/>
  <c r="AW41" i="2"/>
  <c r="AX41" i="2" s="1"/>
  <c r="AU41" i="2"/>
  <c r="AV41" i="2" s="1"/>
  <c r="AS41" i="2"/>
  <c r="AT41" i="2" s="1"/>
  <c r="AR41" i="2"/>
  <c r="AQ41" i="2"/>
  <c r="AP41" i="2"/>
  <c r="AO41" i="2"/>
  <c r="AN41" i="2"/>
  <c r="AM41" i="2"/>
  <c r="AL41" i="2"/>
  <c r="AK41" i="2"/>
  <c r="AJ41" i="2"/>
  <c r="AI41" i="2"/>
  <c r="AH41" i="2"/>
  <c r="AG41" i="2"/>
  <c r="AF41" i="2"/>
  <c r="AE41" i="2"/>
  <c r="AD41" i="2"/>
  <c r="AC41" i="2"/>
  <c r="AB41" i="2"/>
  <c r="AA41" i="2"/>
  <c r="Z41" i="2"/>
  <c r="Y41" i="2"/>
  <c r="X41" i="2"/>
  <c r="W41" i="2"/>
  <c r="V41" i="2"/>
  <c r="U41" i="2"/>
  <c r="BK40" i="2"/>
  <c r="BJ40" i="2"/>
  <c r="BI40" i="2"/>
  <c r="BH40" i="2"/>
  <c r="BG40" i="2"/>
  <c r="BF40" i="2"/>
  <c r="BE40" i="2"/>
  <c r="BD40" i="2"/>
  <c r="BC40" i="2"/>
  <c r="BB40" i="2"/>
  <c r="AW40" i="2"/>
  <c r="AX40" i="2" s="1"/>
  <c r="AU40" i="2"/>
  <c r="AV40" i="2" s="1"/>
  <c r="AS40" i="2"/>
  <c r="AR40" i="2"/>
  <c r="AQ40" i="2"/>
  <c r="AP40" i="2"/>
  <c r="AO40" i="2"/>
  <c r="AN40" i="2"/>
  <c r="AM40" i="2"/>
  <c r="AL40" i="2"/>
  <c r="AK40" i="2"/>
  <c r="AJ40" i="2"/>
  <c r="AI40" i="2"/>
  <c r="AH40" i="2"/>
  <c r="AG40" i="2"/>
  <c r="AF40" i="2"/>
  <c r="AE40" i="2"/>
  <c r="AD40" i="2"/>
  <c r="AC40" i="2"/>
  <c r="AB40" i="2"/>
  <c r="AA40" i="2"/>
  <c r="Z40" i="2"/>
  <c r="Y40" i="2"/>
  <c r="X40" i="2"/>
  <c r="W40" i="2"/>
  <c r="V40" i="2"/>
  <c r="U40" i="2"/>
  <c r="BK39" i="2"/>
  <c r="BJ39" i="2"/>
  <c r="BI39" i="2"/>
  <c r="BH39" i="2"/>
  <c r="BG39" i="2"/>
  <c r="BF39" i="2"/>
  <c r="BE39" i="2"/>
  <c r="BD39" i="2"/>
  <c r="BC39" i="2"/>
  <c r="BB39" i="2"/>
  <c r="AW39" i="2"/>
  <c r="AX39" i="2" s="1"/>
  <c r="AU39" i="2"/>
  <c r="AV39" i="2" s="1"/>
  <c r="AS39" i="2"/>
  <c r="AR39" i="2"/>
  <c r="AQ39" i="2"/>
  <c r="AP39" i="2"/>
  <c r="AO39" i="2"/>
  <c r="BK38" i="2"/>
  <c r="BJ38" i="2"/>
  <c r="BI38" i="2"/>
  <c r="BH38" i="2"/>
  <c r="BG38" i="2"/>
  <c r="BF38" i="2"/>
  <c r="BE38" i="2"/>
  <c r="BD38" i="2"/>
  <c r="BC38" i="2"/>
  <c r="BB38" i="2"/>
  <c r="AW38" i="2"/>
  <c r="AX38" i="2" s="1"/>
  <c r="AU38" i="2"/>
  <c r="AV38" i="2" s="1"/>
  <c r="AS38" i="2"/>
  <c r="AT38" i="2" s="1"/>
  <c r="AP38" i="2"/>
  <c r="AO38" i="2"/>
  <c r="BK37" i="2"/>
  <c r="BJ37" i="2"/>
  <c r="BI37" i="2"/>
  <c r="BH37" i="2"/>
  <c r="BG37" i="2"/>
  <c r="BF37" i="2"/>
  <c r="BE37" i="2"/>
  <c r="BD37" i="2"/>
  <c r="BC37" i="2"/>
  <c r="BB37" i="2"/>
  <c r="AS37" i="2"/>
  <c r="AT37" i="2" s="1"/>
  <c r="AP37" i="2"/>
  <c r="AO37" i="2"/>
  <c r="BK36" i="2"/>
  <c r="BJ36" i="2"/>
  <c r="BI36" i="2"/>
  <c r="BH36" i="2"/>
  <c r="BG36" i="2"/>
  <c r="BF36" i="2"/>
  <c r="BE36" i="2"/>
  <c r="BD36" i="2"/>
  <c r="BC36" i="2"/>
  <c r="BB36" i="2"/>
  <c r="AS36" i="2"/>
  <c r="AT36" i="2" s="1"/>
  <c r="AP36" i="2"/>
  <c r="AO36" i="2"/>
  <c r="BK35" i="2"/>
  <c r="BJ35" i="2"/>
  <c r="BI35" i="2"/>
  <c r="BH35" i="2"/>
  <c r="BG35" i="2"/>
  <c r="BF35" i="2"/>
  <c r="BE35" i="2"/>
  <c r="BD35" i="2"/>
  <c r="BC35" i="2"/>
  <c r="BB35" i="2"/>
  <c r="AS35" i="2"/>
  <c r="AP35" i="2"/>
  <c r="AO35" i="2"/>
  <c r="BK34" i="2"/>
  <c r="BJ34" i="2"/>
  <c r="BI34" i="2"/>
  <c r="BH34" i="2"/>
  <c r="BG34" i="2"/>
  <c r="BF34" i="2"/>
  <c r="BE34" i="2"/>
  <c r="BD34" i="2"/>
  <c r="BC34" i="2"/>
  <c r="BB34" i="2"/>
  <c r="AS34" i="2"/>
  <c r="AT34" i="2" s="1"/>
  <c r="AP34" i="2"/>
  <c r="AO34" i="2"/>
  <c r="BK33" i="2"/>
  <c r="BJ33" i="2"/>
  <c r="BI33" i="2"/>
  <c r="BH33" i="2"/>
  <c r="BG33" i="2"/>
  <c r="BF33" i="2"/>
  <c r="BE33" i="2"/>
  <c r="BD33" i="2"/>
  <c r="BC33" i="2"/>
  <c r="BB33" i="2"/>
  <c r="AS33" i="2"/>
  <c r="AP33" i="2"/>
  <c r="AO33" i="2"/>
  <c r="BK32" i="2"/>
  <c r="BJ32" i="2"/>
  <c r="BI32" i="2"/>
  <c r="BH32" i="2"/>
  <c r="BG32" i="2"/>
  <c r="BF32" i="2"/>
  <c r="BE32" i="2"/>
  <c r="BD32" i="2"/>
  <c r="BC32" i="2"/>
  <c r="BB32" i="2"/>
  <c r="AS32" i="2"/>
  <c r="AP32" i="2"/>
  <c r="AO32" i="2"/>
  <c r="BK31" i="2"/>
  <c r="BJ31" i="2"/>
  <c r="BI31" i="2"/>
  <c r="BH31" i="2"/>
  <c r="BG31" i="2"/>
  <c r="BF31" i="2"/>
  <c r="BE31" i="2"/>
  <c r="BD31" i="2"/>
  <c r="BC31" i="2"/>
  <c r="BB31" i="2"/>
  <c r="AS31" i="2"/>
  <c r="AP31" i="2"/>
  <c r="AO31" i="2"/>
  <c r="BK30" i="2"/>
  <c r="BJ30" i="2"/>
  <c r="BI30" i="2"/>
  <c r="BH30" i="2"/>
  <c r="BG30" i="2"/>
  <c r="BF30" i="2"/>
  <c r="BE30" i="2"/>
  <c r="BD30" i="2"/>
  <c r="BC30" i="2"/>
  <c r="BB30" i="2"/>
  <c r="AS30" i="2"/>
  <c r="AT30" i="2" s="1"/>
  <c r="AP30" i="2"/>
  <c r="AO30" i="2"/>
  <c r="BK29" i="2"/>
  <c r="BJ29" i="2"/>
  <c r="BI29" i="2"/>
  <c r="BH29" i="2"/>
  <c r="BG29" i="2"/>
  <c r="BF29" i="2"/>
  <c r="BE29" i="2"/>
  <c r="BD29" i="2"/>
  <c r="BC29" i="2"/>
  <c r="BB29" i="2"/>
  <c r="AS29" i="2"/>
  <c r="AT29" i="2" s="1"/>
  <c r="AP29" i="2"/>
  <c r="AO29" i="2"/>
  <c r="BK28" i="2"/>
  <c r="BJ28" i="2"/>
  <c r="BI28" i="2"/>
  <c r="BH28" i="2"/>
  <c r="BG28" i="2"/>
  <c r="BF28" i="2"/>
  <c r="BE28" i="2"/>
  <c r="BD28" i="2"/>
  <c r="BC28" i="2"/>
  <c r="BB28" i="2"/>
  <c r="AS28" i="2"/>
  <c r="AT28" i="2" s="1"/>
  <c r="AP28" i="2"/>
  <c r="AO28" i="2"/>
  <c r="BK27" i="2"/>
  <c r="BJ27" i="2"/>
  <c r="BI27" i="2"/>
  <c r="BH27" i="2"/>
  <c r="BG27" i="2"/>
  <c r="BF27" i="2"/>
  <c r="BE27" i="2"/>
  <c r="BD27" i="2"/>
  <c r="BC27" i="2"/>
  <c r="BB27" i="2"/>
  <c r="AS27" i="2"/>
  <c r="AP27" i="2"/>
  <c r="AO27" i="2"/>
  <c r="BK26" i="2"/>
  <c r="BJ26" i="2"/>
  <c r="BI26" i="2"/>
  <c r="BH26" i="2"/>
  <c r="BG26" i="2"/>
  <c r="BF26" i="2"/>
  <c r="BE26" i="2"/>
  <c r="BD26" i="2"/>
  <c r="BC26" i="2"/>
  <c r="BB26" i="2"/>
  <c r="AS26" i="2"/>
  <c r="AT26" i="2" s="1"/>
  <c r="AU26" i="2" s="1"/>
  <c r="AV26" i="2" s="1"/>
  <c r="AP26" i="2"/>
  <c r="AO26" i="2"/>
  <c r="BK25" i="2"/>
  <c r="BJ25" i="2"/>
  <c r="BI25" i="2"/>
  <c r="BH25" i="2"/>
  <c r="BG25" i="2"/>
  <c r="BF25" i="2"/>
  <c r="BE25" i="2"/>
  <c r="BD25" i="2"/>
  <c r="BC25" i="2"/>
  <c r="BB25" i="2"/>
  <c r="AS25" i="2"/>
  <c r="AT25" i="2" s="1"/>
  <c r="AP25" i="2"/>
  <c r="AO25" i="2"/>
  <c r="BK24" i="2"/>
  <c r="BJ24" i="2"/>
  <c r="BI24" i="2"/>
  <c r="BH24" i="2"/>
  <c r="BG24" i="2"/>
  <c r="BF24" i="2"/>
  <c r="BE24" i="2"/>
  <c r="BD24" i="2"/>
  <c r="BC24" i="2"/>
  <c r="BB24" i="2"/>
  <c r="AS24" i="2"/>
  <c r="AT24" i="2" s="1"/>
  <c r="AP24" i="2"/>
  <c r="AO24" i="2"/>
  <c r="BK23" i="2"/>
  <c r="BJ23" i="2"/>
  <c r="BI23" i="2"/>
  <c r="BH23" i="2"/>
  <c r="BG23" i="2"/>
  <c r="BF23" i="2"/>
  <c r="BE23" i="2"/>
  <c r="BD23" i="2"/>
  <c r="BC23" i="2"/>
  <c r="BB23" i="2"/>
  <c r="AS23" i="2"/>
  <c r="AP23" i="2"/>
  <c r="AO23" i="2"/>
  <c r="BK22" i="2"/>
  <c r="BJ22" i="2"/>
  <c r="BI22" i="2"/>
  <c r="BH22" i="2"/>
  <c r="BG22" i="2"/>
  <c r="BF22" i="2"/>
  <c r="BE22" i="2"/>
  <c r="BD22" i="2"/>
  <c r="BC22" i="2"/>
  <c r="BB22" i="2"/>
  <c r="AS22" i="2"/>
  <c r="AT22" i="2" s="1"/>
  <c r="AU22" i="2" s="1"/>
  <c r="AP22" i="2"/>
  <c r="AO22" i="2"/>
  <c r="BK21" i="2"/>
  <c r="BJ21" i="2"/>
  <c r="BI21" i="2"/>
  <c r="BH21" i="2"/>
  <c r="BG21" i="2"/>
  <c r="BF21" i="2"/>
  <c r="BE21" i="2"/>
  <c r="BD21" i="2"/>
  <c r="BC21" i="2"/>
  <c r="BB21" i="2"/>
  <c r="AS21" i="2"/>
  <c r="AT21" i="2" s="1"/>
  <c r="AP21" i="2"/>
  <c r="AO21" i="2"/>
  <c r="BK20" i="2"/>
  <c r="BJ20" i="2"/>
  <c r="BI20" i="2"/>
  <c r="BH20" i="2"/>
  <c r="BG20" i="2"/>
  <c r="BF20" i="2"/>
  <c r="BE20" i="2"/>
  <c r="BD20" i="2"/>
  <c r="BC20" i="2"/>
  <c r="BB20" i="2"/>
  <c r="AS20" i="2"/>
  <c r="AT20" i="2" s="1"/>
  <c r="AP20" i="2"/>
  <c r="AO20" i="2"/>
  <c r="BK19" i="2"/>
  <c r="BJ19" i="2"/>
  <c r="BI19" i="2"/>
  <c r="BH19" i="2"/>
  <c r="BG19" i="2"/>
  <c r="BF19" i="2"/>
  <c r="BE19" i="2"/>
  <c r="BD19" i="2"/>
  <c r="BC19" i="2"/>
  <c r="BB19" i="2"/>
  <c r="AS19" i="2"/>
  <c r="AT19" i="2" s="1"/>
  <c r="AP19" i="2"/>
  <c r="AO19" i="2"/>
  <c r="BK18" i="2"/>
  <c r="BJ18" i="2"/>
  <c r="BI18" i="2"/>
  <c r="BH18" i="2"/>
  <c r="BG18" i="2"/>
  <c r="BF18" i="2"/>
  <c r="BE18" i="2"/>
  <c r="BD18" i="2"/>
  <c r="BC18" i="2"/>
  <c r="BB18" i="2"/>
  <c r="AW18" i="2"/>
  <c r="AX18" i="2" s="1"/>
  <c r="AU18" i="2"/>
  <c r="AV18" i="2" s="1"/>
  <c r="AS18" i="2"/>
  <c r="AT18" i="2" s="1"/>
  <c r="AP18" i="2"/>
  <c r="AO18" i="2"/>
  <c r="BK17" i="2"/>
  <c r="BJ17" i="2"/>
  <c r="BI17" i="2"/>
  <c r="BH17" i="2"/>
  <c r="BG17" i="2"/>
  <c r="BF17" i="2"/>
  <c r="BE17" i="2"/>
  <c r="BD17" i="2"/>
  <c r="BC17" i="2"/>
  <c r="BB17" i="2"/>
  <c r="AS17" i="2"/>
  <c r="AT17" i="2" s="1"/>
  <c r="AP17" i="2"/>
  <c r="AO17" i="2"/>
  <c r="BK16" i="2"/>
  <c r="BJ16" i="2"/>
  <c r="BI16" i="2"/>
  <c r="BH16" i="2"/>
  <c r="BG16" i="2"/>
  <c r="BF16" i="2"/>
  <c r="BE16" i="2"/>
  <c r="BD16" i="2"/>
  <c r="BC16" i="2"/>
  <c r="BB16" i="2"/>
  <c r="AS16" i="2"/>
  <c r="AT16" i="2" s="1"/>
  <c r="AP16" i="2"/>
  <c r="AO16" i="2"/>
  <c r="BK15" i="2"/>
  <c r="BJ15" i="2"/>
  <c r="BI15" i="2"/>
  <c r="BH15" i="2"/>
  <c r="BG15" i="2"/>
  <c r="BF15" i="2"/>
  <c r="BE15" i="2"/>
  <c r="BD15" i="2"/>
  <c r="BC15" i="2"/>
  <c r="BB15" i="2"/>
  <c r="AS15" i="2"/>
  <c r="AT15" i="2" s="1"/>
  <c r="AU15" i="2" s="1"/>
  <c r="AV15" i="2" s="1"/>
  <c r="AP15" i="2"/>
  <c r="AO15" i="2"/>
  <c r="BK14" i="2"/>
  <c r="BJ14" i="2"/>
  <c r="BI14" i="2"/>
  <c r="BH14" i="2"/>
  <c r="BG14" i="2"/>
  <c r="BF14" i="2"/>
  <c r="BE14" i="2"/>
  <c r="BD14" i="2"/>
  <c r="BC14" i="2"/>
  <c r="BB14" i="2"/>
  <c r="AS14" i="2"/>
  <c r="AT14" i="2" s="1"/>
  <c r="AP14" i="2"/>
  <c r="AO14" i="2"/>
  <c r="BK13" i="2"/>
  <c r="BJ13" i="2"/>
  <c r="BI13" i="2"/>
  <c r="BH13" i="2"/>
  <c r="BG13" i="2"/>
  <c r="BF13" i="2"/>
  <c r="BE13" i="2"/>
  <c r="BD13" i="2"/>
  <c r="BC13" i="2"/>
  <c r="BB13" i="2"/>
  <c r="AS13" i="2"/>
  <c r="AT13" i="2" s="1"/>
  <c r="AP13" i="2"/>
  <c r="AO13" i="2"/>
  <c r="BK12" i="2"/>
  <c r="BJ12" i="2"/>
  <c r="BI12" i="2"/>
  <c r="BH12" i="2"/>
  <c r="BG12" i="2"/>
  <c r="BF12" i="2"/>
  <c r="BE12" i="2"/>
  <c r="BD12" i="2"/>
  <c r="BC12" i="2"/>
  <c r="BB12" i="2"/>
  <c r="AS12" i="2"/>
  <c r="AT12" i="2" s="1"/>
  <c r="AU12" i="2" s="1"/>
  <c r="AP12" i="2"/>
  <c r="AO12" i="2"/>
  <c r="BK11" i="2"/>
  <c r="BJ11" i="2"/>
  <c r="BI11" i="2"/>
  <c r="BH11" i="2"/>
  <c r="BG11" i="2"/>
  <c r="BF11" i="2"/>
  <c r="BE11" i="2"/>
  <c r="BD11" i="2"/>
  <c r="BC11" i="2"/>
  <c r="BB11" i="2"/>
  <c r="AS11" i="2"/>
  <c r="AT11" i="2" s="1"/>
  <c r="AP11" i="2"/>
  <c r="AO11" i="2"/>
  <c r="BK10" i="2"/>
  <c r="BJ10" i="2"/>
  <c r="BI10" i="2"/>
  <c r="BH10" i="2"/>
  <c r="BG10" i="2"/>
  <c r="BF10" i="2"/>
  <c r="BE10" i="2"/>
  <c r="BD10" i="2"/>
  <c r="BC10" i="2"/>
  <c r="BB10" i="2"/>
  <c r="AS10" i="2"/>
  <c r="AT10" i="2" s="1"/>
  <c r="AP10" i="2"/>
  <c r="AO10" i="2"/>
  <c r="BK9" i="2"/>
  <c r="BJ9" i="2"/>
  <c r="BI9" i="2"/>
  <c r="BH9" i="2"/>
  <c r="BG9" i="2"/>
  <c r="BF9" i="2"/>
  <c r="BE9" i="2"/>
  <c r="BD9" i="2"/>
  <c r="BC9" i="2"/>
  <c r="BB9" i="2"/>
  <c r="AS9" i="2"/>
  <c r="AT9" i="2" s="1"/>
  <c r="AP9" i="2"/>
  <c r="AO9" i="2"/>
  <c r="BK8" i="2"/>
  <c r="BJ8" i="2"/>
  <c r="BI8" i="2"/>
  <c r="BH8" i="2"/>
  <c r="BG8" i="2"/>
  <c r="BF8" i="2"/>
  <c r="BE8" i="2"/>
  <c r="BD8" i="2"/>
  <c r="BC8" i="2"/>
  <c r="BB8" i="2"/>
  <c r="AS8" i="2"/>
  <c r="AT8" i="2" s="1"/>
  <c r="AP8" i="2"/>
  <c r="AO8" i="2"/>
  <c r="BK7" i="2"/>
  <c r="BJ7" i="2"/>
  <c r="BI7" i="2"/>
  <c r="BH7" i="2"/>
  <c r="BG7" i="2"/>
  <c r="BF7" i="2"/>
  <c r="BE7" i="2"/>
  <c r="BD7" i="2"/>
  <c r="BC7" i="2"/>
  <c r="BB7" i="2"/>
  <c r="AS7" i="2"/>
  <c r="AT7" i="2" s="1"/>
  <c r="AP7" i="2"/>
  <c r="AO7" i="2"/>
  <c r="BK6" i="2"/>
  <c r="BJ6" i="2"/>
  <c r="BI6" i="2"/>
  <c r="BH6" i="2"/>
  <c r="BG6" i="2"/>
  <c r="BF6" i="2"/>
  <c r="BE6" i="2"/>
  <c r="BD6" i="2"/>
  <c r="BC6" i="2"/>
  <c r="BB6" i="2"/>
  <c r="AS6" i="2"/>
  <c r="AT6" i="2" s="1"/>
  <c r="AU6" i="2" s="1"/>
  <c r="AP6" i="2"/>
  <c r="AO6" i="2"/>
  <c r="BK5" i="2"/>
  <c r="BJ5" i="2"/>
  <c r="BI5" i="2"/>
  <c r="BH5" i="2"/>
  <c r="BG5" i="2"/>
  <c r="BF5" i="2"/>
  <c r="BE5" i="2"/>
  <c r="BD5" i="2"/>
  <c r="BC5" i="2"/>
  <c r="BB5" i="2"/>
  <c r="AS5" i="2"/>
  <c r="AT5" i="2" s="1"/>
  <c r="AP5" i="2"/>
  <c r="AO5" i="2"/>
  <c r="AB97" i="1"/>
  <c r="AA97" i="1"/>
  <c r="F5" i="71" s="1"/>
  <c r="AD96" i="1"/>
  <c r="AC95" i="1"/>
  <c r="AD82" i="1"/>
  <c r="AC81" i="1"/>
  <c r="AD68" i="1"/>
  <c r="AC67" i="1"/>
  <c r="AD54" i="1"/>
  <c r="AC53" i="1"/>
  <c r="AD40" i="1"/>
  <c r="AC39" i="1"/>
  <c r="AU32" i="2" l="1"/>
  <c r="AV32" i="2" s="1"/>
  <c r="AQ32" i="2" s="1"/>
  <c r="AU31" i="2"/>
  <c r="AV31" i="2" s="1"/>
  <c r="AQ31" i="2" s="1"/>
  <c r="AU30" i="2"/>
  <c r="AV30" i="2" s="1"/>
  <c r="AW30" i="2" s="1"/>
  <c r="AZ30" i="2" s="1"/>
  <c r="AU29" i="2"/>
  <c r="AV29" i="2" s="1"/>
  <c r="AW29" i="2" s="1"/>
  <c r="AZ29" i="2" s="1"/>
  <c r="AU25" i="2"/>
  <c r="AV25" i="2" s="1"/>
  <c r="AW25" i="2" s="1"/>
  <c r="AX25" i="2" s="1"/>
  <c r="AR25" i="2" s="1"/>
  <c r="AU24" i="2"/>
  <c r="AU11" i="2"/>
  <c r="AV11" i="2" s="1"/>
  <c r="AW11" i="2" s="1"/>
  <c r="AU10" i="2"/>
  <c r="AV10" i="2" s="1"/>
  <c r="AW10" i="2" s="1"/>
  <c r="AU21" i="2"/>
  <c r="AV21" i="2" s="1"/>
  <c r="AQ21" i="2" s="1"/>
  <c r="AU20" i="2"/>
  <c r="AU19" i="2"/>
  <c r="AV19" i="2" s="1"/>
  <c r="AQ19" i="2" s="1"/>
  <c r="AV12" i="2"/>
  <c r="AW12" i="2" s="1"/>
  <c r="AU14" i="2"/>
  <c r="AV14" i="2" s="1"/>
  <c r="AQ14" i="2" s="1"/>
  <c r="AU13" i="2"/>
  <c r="AU9" i="2"/>
  <c r="AV9" i="2" s="1"/>
  <c r="AW9" i="2" s="1"/>
  <c r="AV6" i="2"/>
  <c r="AW6" i="2" s="1"/>
  <c r="AU8" i="2"/>
  <c r="AV8" i="2" s="1"/>
  <c r="AW8" i="2" s="1"/>
  <c r="AU7" i="2"/>
  <c r="AV7" i="2" s="1"/>
  <c r="AW7" i="2" s="1"/>
  <c r="AU5" i="2"/>
  <c r="AV5" i="2" s="1"/>
  <c r="AQ5" i="2" s="1"/>
  <c r="AU36" i="2"/>
  <c r="AV36" i="2" s="1"/>
  <c r="AQ36" i="2" s="1"/>
  <c r="AU37" i="2"/>
  <c r="AV37" i="2" s="1"/>
  <c r="AQ37" i="2" s="1"/>
  <c r="AU34" i="2"/>
  <c r="AU33" i="2"/>
  <c r="AV33" i="2" s="1"/>
  <c r="AQ33" i="2" s="1"/>
  <c r="AU16" i="2"/>
  <c r="AU17" i="2"/>
  <c r="AW15" i="2"/>
  <c r="AX15" i="2" s="1"/>
  <c r="AR15" i="2" s="1"/>
  <c r="AV22" i="2"/>
  <c r="AW22" i="2" s="1"/>
  <c r="AW26" i="2"/>
  <c r="AX26" i="2" s="1"/>
  <c r="AR26" i="2" s="1"/>
  <c r="AZ41" i="2"/>
  <c r="BL42" i="2"/>
  <c r="BL40" i="2"/>
  <c r="BL41" i="2"/>
  <c r="AT40" i="2"/>
  <c r="AZ40" i="2" s="1"/>
  <c r="AT42" i="2"/>
  <c r="AZ42" i="2" s="1"/>
  <c r="AY41" i="2"/>
  <c r="BA41" i="2"/>
  <c r="AU28" i="2"/>
  <c r="AV28" i="2" s="1"/>
  <c r="AQ28" i="2" s="1"/>
  <c r="AR38" i="2"/>
  <c r="BD43" i="2"/>
  <c r="AR18" i="2"/>
  <c r="BL35" i="2"/>
  <c r="BE43" i="2"/>
  <c r="BL12" i="2"/>
  <c r="BL16" i="2"/>
  <c r="BL20" i="2"/>
  <c r="BL24" i="2"/>
  <c r="BL28" i="2"/>
  <c r="BL34" i="2"/>
  <c r="AT31" i="2"/>
  <c r="BF43" i="2"/>
  <c r="BL13" i="2"/>
  <c r="BL17" i="2"/>
  <c r="BL21" i="2"/>
  <c r="AT23" i="2"/>
  <c r="BL25" i="2"/>
  <c r="AT27" i="2"/>
  <c r="AU27" i="2" s="1"/>
  <c r="BL29" i="2"/>
  <c r="AT32" i="2"/>
  <c r="BL36" i="2"/>
  <c r="BL7" i="2"/>
  <c r="BG43" i="2"/>
  <c r="BL8" i="2"/>
  <c r="AT33" i="2"/>
  <c r="BL37" i="2"/>
  <c r="AT39" i="2"/>
  <c r="BA39" i="2" s="1"/>
  <c r="BL9" i="2"/>
  <c r="BL14" i="2"/>
  <c r="BL18" i="2"/>
  <c r="BL22" i="2"/>
  <c r="BL26" i="2"/>
  <c r="BL30" i="2"/>
  <c r="BL38" i="2"/>
  <c r="BH43" i="2"/>
  <c r="BI43" i="2"/>
  <c r="BL10" i="2"/>
  <c r="BL31" i="2"/>
  <c r="AT35" i="2"/>
  <c r="BJ43" i="2"/>
  <c r="BL11" i="2"/>
  <c r="BL15" i="2"/>
  <c r="BL19" i="2"/>
  <c r="BL23" i="2"/>
  <c r="BL27" i="2"/>
  <c r="BL32" i="2"/>
  <c r="BB43" i="2"/>
  <c r="BC43" i="2"/>
  <c r="BK43" i="2"/>
  <c r="BL33" i="2"/>
  <c r="BL39" i="2"/>
  <c r="AZ18" i="2"/>
  <c r="AQ18" i="2"/>
  <c r="AQ26" i="2"/>
  <c r="AQ30" i="2"/>
  <c r="AZ38" i="2"/>
  <c r="AQ38" i="2"/>
  <c r="AQ10" i="2"/>
  <c r="AZ10" i="2"/>
  <c r="AQ11" i="2"/>
  <c r="AZ11" i="2"/>
  <c r="AQ15" i="2"/>
  <c r="BL6" i="2"/>
  <c r="BA18" i="2"/>
  <c r="AQ25" i="2"/>
  <c r="AQ29" i="2"/>
  <c r="BA38" i="2"/>
  <c r="BL5" i="2"/>
  <c r="AW32" i="2" l="1"/>
  <c r="AX32" i="2" s="1"/>
  <c r="AR32" i="2" s="1"/>
  <c r="AY32" i="2" s="1"/>
  <c r="AW31" i="2"/>
  <c r="AX31" i="2" s="1"/>
  <c r="AR31" i="2" s="1"/>
  <c r="AX30" i="2"/>
  <c r="AR30" i="2" s="1"/>
  <c r="AY30" i="2" s="1"/>
  <c r="BA30" i="2"/>
  <c r="AX29" i="2"/>
  <c r="AR29" i="2" s="1"/>
  <c r="BA29" i="2"/>
  <c r="AZ26" i="2"/>
  <c r="AZ25" i="2"/>
  <c r="BA25" i="2"/>
  <c r="AV24" i="2"/>
  <c r="AW24" i="2" s="1"/>
  <c r="AX24" i="2" s="1"/>
  <c r="AR24" i="2" s="1"/>
  <c r="AZ15" i="2"/>
  <c r="AX11" i="2"/>
  <c r="AR11" i="2" s="1"/>
  <c r="BA11" i="2"/>
  <c r="AX10" i="2"/>
  <c r="AR10" i="2" s="1"/>
  <c r="BA10" i="2"/>
  <c r="AQ6" i="2"/>
  <c r="AQ12" i="2"/>
  <c r="AQ9" i="2"/>
  <c r="AW21" i="2"/>
  <c r="AZ21" i="2" s="1"/>
  <c r="AY38" i="2"/>
  <c r="AV20" i="2"/>
  <c r="AW20" i="2" s="1"/>
  <c r="AX20" i="2" s="1"/>
  <c r="AR20" i="2" s="1"/>
  <c r="AW19" i="2"/>
  <c r="AQ8" i="2"/>
  <c r="AX12" i="2"/>
  <c r="AR12" i="2" s="1"/>
  <c r="AZ12" i="2"/>
  <c r="AW14" i="2"/>
  <c r="AV13" i="2"/>
  <c r="AW13" i="2" s="1"/>
  <c r="AX13" i="2" s="1"/>
  <c r="AR13" i="2" s="1"/>
  <c r="AX9" i="2"/>
  <c r="AR9" i="2" s="1"/>
  <c r="AZ9" i="2"/>
  <c r="AQ7" i="2"/>
  <c r="AX7" i="2"/>
  <c r="AR7" i="2" s="1"/>
  <c r="AZ7" i="2"/>
  <c r="AX8" i="2"/>
  <c r="AR8" i="2" s="1"/>
  <c r="BA8" i="2" s="1"/>
  <c r="AZ8" i="2"/>
  <c r="AX6" i="2"/>
  <c r="AR6" i="2" s="1"/>
  <c r="AY6" i="2" s="1"/>
  <c r="AZ6" i="2"/>
  <c r="AW5" i="2"/>
  <c r="AY25" i="2"/>
  <c r="AQ22" i="2"/>
  <c r="AW36" i="2"/>
  <c r="AW37" i="2"/>
  <c r="BA15" i="2"/>
  <c r="AV34" i="2"/>
  <c r="AW34" i="2" s="1"/>
  <c r="AX34" i="2" s="1"/>
  <c r="AR34" i="2" s="1"/>
  <c r="AU35" i="2"/>
  <c r="BA26" i="2"/>
  <c r="AW33" i="2"/>
  <c r="AX33" i="2" s="1"/>
  <c r="AR33" i="2" s="1"/>
  <c r="AY33" i="2" s="1"/>
  <c r="AY10" i="2"/>
  <c r="AV16" i="2"/>
  <c r="AW16" i="2" s="1"/>
  <c r="AX16" i="2" s="1"/>
  <c r="AR16" i="2" s="1"/>
  <c r="AY18" i="2"/>
  <c r="AV17" i="2"/>
  <c r="AW17" i="2" s="1"/>
  <c r="AX17" i="2" s="1"/>
  <c r="AR17" i="2" s="1"/>
  <c r="AY15" i="2"/>
  <c r="AX22" i="2"/>
  <c r="AR22" i="2" s="1"/>
  <c r="AZ22" i="2"/>
  <c r="AY42" i="2"/>
  <c r="AY26" i="2"/>
  <c r="BA42" i="2"/>
  <c r="AV27" i="2"/>
  <c r="AQ27" i="2" s="1"/>
  <c r="AY11" i="2"/>
  <c r="BA40" i="2"/>
  <c r="AW28" i="2"/>
  <c r="AY40" i="2"/>
  <c r="AU23" i="2"/>
  <c r="AZ32" i="2"/>
  <c r="AY31" i="2"/>
  <c r="AY39" i="2"/>
  <c r="AZ39" i="2"/>
  <c r="AY29" i="2"/>
  <c r="BL43" i="2"/>
  <c r="AY12" i="2" l="1"/>
  <c r="BA32" i="2"/>
  <c r="AZ31" i="2"/>
  <c r="BA31" i="2"/>
  <c r="AZ24" i="2"/>
  <c r="AQ24" i="2"/>
  <c r="AY24" i="2" s="1"/>
  <c r="BA24" i="2"/>
  <c r="AY9" i="2"/>
  <c r="AX21" i="2"/>
  <c r="AR21" i="2" s="1"/>
  <c r="AY21" i="2" s="1"/>
  <c r="BA20" i="2"/>
  <c r="AZ20" i="2"/>
  <c r="AQ20" i="2"/>
  <c r="AY20" i="2" s="1"/>
  <c r="AY8" i="2"/>
  <c r="AY7" i="2"/>
  <c r="BA12" i="2"/>
  <c r="AX19" i="2"/>
  <c r="AR19" i="2" s="1"/>
  <c r="AY19" i="2" s="1"/>
  <c r="AZ19" i="2"/>
  <c r="BA7" i="2"/>
  <c r="BA6" i="2"/>
  <c r="AQ13" i="2"/>
  <c r="AY13" i="2" s="1"/>
  <c r="AZ13" i="2"/>
  <c r="BA13" i="2"/>
  <c r="AX14" i="2"/>
  <c r="AR14" i="2" s="1"/>
  <c r="AY14" i="2" s="1"/>
  <c r="AZ14" i="2"/>
  <c r="BA9" i="2"/>
  <c r="AY22" i="2"/>
  <c r="AX5" i="2"/>
  <c r="AR5" i="2" s="1"/>
  <c r="AY5" i="2" s="1"/>
  <c r="AZ5" i="2"/>
  <c r="AX36" i="2"/>
  <c r="AR36" i="2" s="1"/>
  <c r="AY36" i="2" s="1"/>
  <c r="AZ36" i="2"/>
  <c r="AX37" i="2"/>
  <c r="AR37" i="2" s="1"/>
  <c r="AY37" i="2" s="1"/>
  <c r="AZ37" i="2"/>
  <c r="AZ33" i="2"/>
  <c r="AQ34" i="2"/>
  <c r="AY34" i="2" s="1"/>
  <c r="AZ34" i="2"/>
  <c r="AV35" i="2"/>
  <c r="AW35" i="2" s="1"/>
  <c r="AX35" i="2" s="1"/>
  <c r="AR35" i="2" s="1"/>
  <c r="BA33" i="2"/>
  <c r="BA22" i="2"/>
  <c r="AZ16" i="2"/>
  <c r="BA16" i="2"/>
  <c r="AQ16" i="2"/>
  <c r="AY16" i="2" s="1"/>
  <c r="AQ17" i="2"/>
  <c r="AZ17" i="2"/>
  <c r="AX28" i="2"/>
  <c r="AR28" i="2" s="1"/>
  <c r="AY28" i="2" s="1"/>
  <c r="AZ28" i="2"/>
  <c r="AV23" i="2"/>
  <c r="AW23" i="2" s="1"/>
  <c r="AX23" i="2" s="1"/>
  <c r="AR23" i="2" s="1"/>
  <c r="AW27" i="2"/>
  <c r="AZ27" i="2" s="1"/>
  <c r="BA21" i="2" l="1"/>
  <c r="BA19" i="2"/>
  <c r="BA14" i="2"/>
  <c r="BA37" i="2"/>
  <c r="BA5" i="2"/>
  <c r="BA36" i="2"/>
  <c r="BA34" i="2"/>
  <c r="BA35" i="2"/>
  <c r="AQ35" i="2"/>
  <c r="AY35" i="2" s="1"/>
  <c r="AZ35" i="2"/>
  <c r="BA28" i="2"/>
  <c r="AY17" i="2"/>
  <c r="BA17" i="2"/>
  <c r="AQ23" i="2"/>
  <c r="AY23" i="2" s="1"/>
  <c r="AZ23" i="2"/>
  <c r="AX27" i="2"/>
  <c r="AR27" i="2" s="1"/>
  <c r="AY27" i="2" s="1"/>
  <c r="BA27" i="2"/>
  <c r="BA23" i="2" l="1"/>
  <c r="BA43" i="2" s="1"/>
  <c r="AZ43" i="2"/>
  <c r="AY43" i="2"/>
</calcChain>
</file>

<file path=xl/comments1.xml><?xml version="1.0" encoding="utf-8"?>
<comments xmlns="http://schemas.openxmlformats.org/spreadsheetml/2006/main">
  <authors>
    <author>PIERRE Olivier</author>
    <author>JLP</author>
  </authors>
  <commentList>
    <comment ref="AO3" authorId="0" shapeId="0">
      <text>
        <r>
          <rPr>
            <b/>
            <sz val="9"/>
            <color indexed="81"/>
            <rFont val="Tahoma"/>
            <family val="2"/>
          </rPr>
          <t>Pause repas = 1h
aucune = 0
11h / 14h = 1
18h30 / 22h = 6</t>
        </r>
      </text>
    </comment>
    <comment ref="AO4" authorId="0" shapeId="0">
      <text>
        <r>
          <rPr>
            <b/>
            <sz val="9"/>
            <color indexed="81"/>
            <rFont val="Tahoma"/>
            <family val="2"/>
          </rPr>
          <t>Pause repas entre 
Fin 1 et Début 2</t>
        </r>
      </text>
    </comment>
    <comment ref="AP4" authorId="0" shapeId="0">
      <text>
        <r>
          <rPr>
            <b/>
            <sz val="9"/>
            <color indexed="81"/>
            <rFont val="Tahoma"/>
            <family val="2"/>
          </rPr>
          <t>Pause repas entre 
Fin 2 et Début 3</t>
        </r>
      </text>
    </comment>
    <comment ref="AQ4" authorId="0" shapeId="0">
      <text>
        <r>
          <rPr>
            <b/>
            <sz val="9"/>
            <color indexed="81"/>
            <rFont val="Tahoma"/>
            <family val="2"/>
          </rPr>
          <t>Pause repas entre 
Fin 3 et Début 4</t>
        </r>
      </text>
    </comment>
    <comment ref="AR4" authorId="0" shapeId="0">
      <text>
        <r>
          <rPr>
            <b/>
            <sz val="9"/>
            <color indexed="81"/>
            <rFont val="Tahoma"/>
            <family val="2"/>
          </rPr>
          <t>Pause repas entre 
Fin 4 et Début 5</t>
        </r>
      </text>
    </comment>
    <comment ref="U43" authorId="1" shapeId="0">
      <text>
        <r>
          <rPr>
            <b/>
            <sz val="9"/>
            <color indexed="81"/>
            <rFont val="Tahoma"/>
            <family val="2"/>
          </rPr>
          <t>Ecart maximal entre
deux courses pour le
regroupement</t>
        </r>
      </text>
    </comment>
  </commentList>
</comments>
</file>

<file path=xl/sharedStrings.xml><?xml version="1.0" encoding="utf-8"?>
<sst xmlns="http://schemas.openxmlformats.org/spreadsheetml/2006/main" count="216" uniqueCount="107">
  <si>
    <t>Employé</t>
  </si>
  <si>
    <t>Code</t>
  </si>
  <si>
    <t>Date</t>
  </si>
  <si>
    <t>Heure</t>
  </si>
  <si>
    <t>TRAVAIL EFFECTIF</t>
  </si>
  <si>
    <t>REPAS</t>
  </si>
  <si>
    <t>Début</t>
  </si>
  <si>
    <t>Fin</t>
  </si>
  <si>
    <t>C.C.</t>
  </si>
  <si>
    <t>I.S.</t>
  </si>
  <si>
    <t>I.R.</t>
  </si>
  <si>
    <t>Total</t>
  </si>
  <si>
    <t>Hebdo</t>
  </si>
  <si>
    <t>14h30</t>
  </si>
  <si>
    <t>Lundi</t>
  </si>
  <si>
    <t>Mardi</t>
  </si>
  <si>
    <t>Mercredi</t>
  </si>
  <si>
    <t>Jeudi</t>
  </si>
  <si>
    <t>Vendredi</t>
  </si>
  <si>
    <t>Samedi</t>
  </si>
  <si>
    <t>Dimanche</t>
  </si>
  <si>
    <t>TRADUCTION HORAIRE</t>
  </si>
  <si>
    <t>Frais de déplacement</t>
  </si>
  <si>
    <t>Pauses repas</t>
  </si>
  <si>
    <t>Indemnités</t>
  </si>
  <si>
    <t>Temps de travail arrondi (modulo 5 mn : 0 = 0 ; 1 à 5 = 5 ; 6 à 9 = 10 )</t>
  </si>
  <si>
    <t>1/2</t>
  </si>
  <si>
    <t>2/3</t>
  </si>
  <si>
    <t>3/4</t>
  </si>
  <si>
    <t>4/5</t>
  </si>
  <si>
    <t>Pause</t>
  </si>
  <si>
    <t>AM</t>
  </si>
  <si>
    <t>Soir</t>
  </si>
  <si>
    <t>11h</t>
  </si>
  <si>
    <t>18h30</t>
  </si>
  <si>
    <t>22h</t>
  </si>
  <si>
    <t>Pause min</t>
  </si>
  <si>
    <t>Dates</t>
  </si>
  <si>
    <t>Liste employés :</t>
  </si>
  <si>
    <t>Fichier de configuration:</t>
  </si>
  <si>
    <t>Bouton F1 :</t>
  </si>
  <si>
    <t>Bouton F2 :</t>
  </si>
  <si>
    <t>Bouton F3 :</t>
  </si>
  <si>
    <t>Bouton F4 :</t>
  </si>
  <si>
    <t>\n représente un retour à la ligne</t>
  </si>
  <si>
    <t>La couleur de remplissage de la cellule est la couleur attribuée au bouton</t>
  </si>
  <si>
    <t>Récapitulatif journalier</t>
  </si>
  <si>
    <t>Jour</t>
  </si>
  <si>
    <t>Total période :</t>
  </si>
  <si>
    <t>FEUILLE DE ROUTE HEBDOMADAIRE - TAXI</t>
  </si>
  <si>
    <t>Entreprise :</t>
  </si>
  <si>
    <t>LES TRANSPORTS SOSTRANIENS</t>
  </si>
  <si>
    <t>Nom du salarié :</t>
  </si>
  <si>
    <t>J.férié / Rep. Divers</t>
  </si>
  <si>
    <t>Heure Prise de service</t>
  </si>
  <si>
    <t>Qualif Pause</t>
  </si>
  <si>
    <t>Heure fin de service</t>
  </si>
  <si>
    <t>Lieu</t>
  </si>
  <si>
    <r>
      <rPr>
        <b/>
        <i/>
        <sz val="9"/>
        <rFont val="Arial"/>
        <family val="2"/>
      </rPr>
      <t>PR</t>
    </r>
    <r>
      <rPr>
        <i/>
        <sz val="9"/>
        <rFont val="Arial"/>
        <family val="2"/>
      </rPr>
      <t xml:space="preserve"> &gt; Pause Repas - </t>
    </r>
    <r>
      <rPr>
        <b/>
        <i/>
        <sz val="9"/>
        <rFont val="Arial"/>
        <family val="2"/>
      </rPr>
      <t>PL</t>
    </r>
    <r>
      <rPr>
        <i/>
        <sz val="9"/>
        <rFont val="Arial"/>
        <family val="2"/>
      </rPr>
      <t xml:space="preserve"> &gt; Pause "légale" (minimum 20 mn)</t>
    </r>
  </si>
  <si>
    <r>
      <rPr>
        <b/>
        <i/>
        <sz val="9"/>
        <rFont val="Arial"/>
        <family val="2"/>
      </rPr>
      <t>Repos</t>
    </r>
    <r>
      <rPr>
        <i/>
        <sz val="9"/>
        <rFont val="Arial"/>
        <family val="2"/>
      </rPr>
      <t xml:space="preserve"> &gt; repos hebdo. - </t>
    </r>
    <r>
      <rPr>
        <b/>
        <i/>
        <sz val="9"/>
        <rFont val="Arial"/>
        <family val="2"/>
      </rPr>
      <t>Rep.Eq</t>
    </r>
    <r>
      <rPr>
        <i/>
        <sz val="9"/>
        <rFont val="Arial"/>
        <family val="2"/>
      </rPr>
      <t xml:space="preserve"> &gt; Repos Equivalent (Hr.Supl.) - </t>
    </r>
    <r>
      <rPr>
        <b/>
        <i/>
        <sz val="9"/>
        <rFont val="Arial"/>
        <family val="2"/>
      </rPr>
      <t>C.Pay</t>
    </r>
    <r>
      <rPr>
        <i/>
        <sz val="9"/>
        <rFont val="Arial"/>
        <family val="2"/>
      </rPr>
      <t xml:space="preserve"> &gt; Congés Payés</t>
    </r>
  </si>
  <si>
    <t>Observations éventuelles à défaut d'autre moyen</t>
  </si>
  <si>
    <t>SIGNATURES</t>
  </si>
  <si>
    <t>Employeur</t>
  </si>
  <si>
    <t>Salarié</t>
  </si>
  <si>
    <t>Imprimante :</t>
  </si>
  <si>
    <t>Microsoft Print to PDF</t>
  </si>
  <si>
    <t>TODO :</t>
  </si>
  <si>
    <t>C.Pay</t>
  </si>
  <si>
    <t>REPOS</t>
  </si>
  <si>
    <t>Afficher tous les pointages</t>
  </si>
  <si>
    <t>R.Eq</t>
  </si>
  <si>
    <t>Fct</t>
  </si>
  <si>
    <t>GPS</t>
  </si>
  <si>
    <t>Employé :</t>
  </si>
  <si>
    <t>Date :</t>
  </si>
  <si>
    <t>OneNote for Windows 10</t>
  </si>
  <si>
    <t>Microsoft XPS Document Writer</t>
  </si>
  <si>
    <t>Fax</t>
  </si>
  <si>
    <t>Entrée</t>
  </si>
  <si>
    <t>Sortie</t>
  </si>
  <si>
    <t>Créer un pointage:</t>
  </si>
  <si>
    <t>Fonction:</t>
  </si>
  <si>
    <t>Horaire:</t>
  </si>
  <si>
    <t>Fct1</t>
  </si>
  <si>
    <t>Raccourcis clavier :</t>
  </si>
  <si>
    <t>Supprimer pointage</t>
  </si>
  <si>
    <t>Alt + S</t>
  </si>
  <si>
    <t>Alt + D</t>
  </si>
  <si>
    <t>Créer pointage</t>
  </si>
  <si>
    <t>Alt + C</t>
  </si>
  <si>
    <t>(Dés)Activer pointage</t>
  </si>
  <si>
    <t>$P$9:$P$11</t>
  </si>
  <si>
    <t>ZDesigner 105SL 203DPI</t>
  </si>
  <si>
    <t>Foxit Reader PDF Printer</t>
  </si>
  <si>
    <t>Envoyer à OneNote 16</t>
  </si>
  <si>
    <t>AnyDesk Printer</t>
  </si>
  <si>
    <t>Adobe PDF</t>
  </si>
  <si>
    <t>&lt;== NE PAS TOUCHER SANS AVOIR PRÉPARÉ LA BASE DE DONNÉE !!!</t>
  </si>
  <si>
    <t>Branche :</t>
  </si>
  <si>
    <t>Actualiser</t>
  </si>
  <si>
    <t>App Version</t>
  </si>
  <si>
    <t>Aucune semaine selectionnée</t>
  </si>
  <si>
    <t>Control des doublons avec corrections</t>
  </si>
  <si>
    <t>Alerter au téléchargement des déclarations d'incident.</t>
  </si>
  <si>
    <t>1 à 0</t>
  </si>
  <si>
    <t>Avril</t>
  </si>
  <si>
    <t>$P$11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</si>
</sst>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h:mm;@"/>
    <numFmt numFmtId="165" formatCode="hh&quot;h&quot;mm"/>
    <numFmt numFmtId="166" formatCode="[hh]:mm"/>
    <numFmt numFmtId="167" formatCode="[hh]&quot;h&quot;mm"/>
  </numFmts>
  <fonts count="23" x14ac:knownFonts="1"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color indexed="9"/>
      <name val="Arial"/>
      <family val="2"/>
    </font>
    <font>
      <sz val="10"/>
      <color theme="0"/>
      <name val="Arial"/>
      <family val="2"/>
    </font>
    <font>
      <b/>
      <sz val="12"/>
      <color theme="1"/>
      <name val="Calibri"/>
      <family val="2"/>
      <scheme val="minor"/>
    </font>
    <font>
      <b/>
      <sz val="11"/>
      <color theme="1"/>
      <name val="Arial"/>
      <family val="2"/>
    </font>
    <font>
      <b/>
      <sz val="9"/>
      <color indexed="81"/>
      <name val="Tahoma"/>
      <family val="2"/>
    </font>
    <font>
      <b/>
      <sz val="12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2"/>
      <name val="Arial"/>
      <family val="2"/>
    </font>
    <font>
      <sz val="12"/>
      <name val="Arial"/>
      <family val="2"/>
    </font>
    <font>
      <sz val="8"/>
      <name val="Arial"/>
      <family val="2"/>
    </font>
    <font>
      <sz val="9"/>
      <name val="Arial"/>
      <family val="2"/>
    </font>
    <font>
      <i/>
      <sz val="9"/>
      <name val="Arial"/>
      <family val="2"/>
    </font>
    <font>
      <b/>
      <i/>
      <sz val="9"/>
      <name val="Arial"/>
      <family val="2"/>
    </font>
    <font>
      <u/>
      <sz val="11"/>
      <color theme="1"/>
      <name val="Calibri"/>
      <family val="2"/>
      <scheme val="minor"/>
    </font>
    <font>
      <sz val="10"/>
      <color rgb="FFFFFF00"/>
      <name val="Arial"/>
      <family val="2"/>
    </font>
    <font>
      <sz val="10"/>
      <color rgb="FF000000"/>
      <name val="Arial"/>
      <family val="2"/>
    </font>
    <font>
      <sz val="11"/>
      <color theme="0" tint="-4.9989318521683403E-2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rgb="FF9EFC87"/>
        <bgColor indexed="64"/>
      </patternFill>
    </fill>
    <fill>
      <patternFill patternType="darkGrid"/>
    </fill>
    <fill>
      <patternFill patternType="solid">
        <fgColor theme="9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rgb="FF0000EE"/>
        <bgColor indexed="64"/>
      </patternFill>
    </fill>
  </fills>
  <borders count="173">
    <border>
      <left/>
      <right/>
      <top/>
      <bottom/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/>
      <right style="thin">
        <color indexed="64"/>
      </right>
      <top/>
      <bottom style="dashed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dashed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dashed">
        <color indexed="64"/>
      </bottom>
      <diagonal/>
    </border>
    <border>
      <left/>
      <right style="hair">
        <color indexed="64"/>
      </right>
      <top style="hair">
        <color indexed="64"/>
      </top>
      <bottom style="dashed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ashed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dashed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dashed">
        <color indexed="64"/>
      </right>
      <top/>
      <bottom style="hair">
        <color indexed="64"/>
      </bottom>
      <diagonal/>
    </border>
    <border>
      <left style="dashed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dashed">
        <color indexed="64"/>
      </right>
      <top style="hair">
        <color indexed="64"/>
      </top>
      <bottom style="hair">
        <color indexed="64"/>
      </bottom>
      <diagonal/>
    </border>
    <border>
      <left style="dashed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dashed">
        <color indexed="64"/>
      </right>
      <top style="hair">
        <color indexed="64"/>
      </top>
      <bottom/>
      <diagonal/>
    </border>
    <border>
      <left style="dashed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dashed">
        <color indexed="64"/>
      </right>
      <top style="hair">
        <color indexed="64"/>
      </top>
      <bottom style="dashed">
        <color indexed="64"/>
      </bottom>
      <diagonal/>
    </border>
    <border>
      <left style="dashed">
        <color indexed="64"/>
      </left>
      <right style="medium">
        <color indexed="64"/>
      </right>
      <top style="hair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indexed="64"/>
      </right>
      <top style="hair">
        <color indexed="64"/>
      </top>
      <bottom style="thin">
        <color indexed="64"/>
      </bottom>
      <diagonal/>
    </border>
    <border>
      <left style="dashed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dashed">
        <color indexed="64"/>
      </right>
      <top style="double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thin">
        <color indexed="64"/>
      </top>
      <bottom/>
      <diagonal/>
    </border>
    <border>
      <left style="dashed">
        <color indexed="64"/>
      </left>
      <right style="medium">
        <color indexed="64"/>
      </right>
      <top/>
      <bottom/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dashed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 style="dashed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8"/>
      </left>
      <right style="dashed">
        <color indexed="8"/>
      </right>
      <top style="thin">
        <color indexed="8"/>
      </top>
      <bottom style="thin">
        <color indexed="8"/>
      </bottom>
      <diagonal/>
    </border>
    <border>
      <left style="dashed">
        <color indexed="8"/>
      </left>
      <right style="dashed">
        <color indexed="8"/>
      </right>
      <top style="thin">
        <color indexed="8"/>
      </top>
      <bottom style="thin">
        <color indexed="8"/>
      </bottom>
      <diagonal/>
    </border>
    <border>
      <left style="dashed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dashed">
        <color indexed="8"/>
      </right>
      <top style="thin">
        <color indexed="8"/>
      </top>
      <bottom style="medium">
        <color indexed="8"/>
      </bottom>
      <diagonal/>
    </border>
    <border>
      <left style="dashed">
        <color indexed="8"/>
      </left>
      <right style="dashed">
        <color indexed="8"/>
      </right>
      <top style="thin">
        <color indexed="8"/>
      </top>
      <bottom style="medium">
        <color indexed="8"/>
      </bottom>
      <diagonal/>
    </border>
    <border>
      <left style="dashed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medium">
        <color indexed="8"/>
      </left>
      <right style="dashed">
        <color indexed="8"/>
      </right>
      <top style="thick">
        <color indexed="8"/>
      </top>
      <bottom style="thin">
        <color indexed="8"/>
      </bottom>
      <diagonal/>
    </border>
    <border>
      <left style="dashed">
        <color indexed="8"/>
      </left>
      <right style="dashed">
        <color indexed="8"/>
      </right>
      <top style="thick">
        <color indexed="8"/>
      </top>
      <bottom style="thin">
        <color indexed="8"/>
      </bottom>
      <diagonal/>
    </border>
    <border>
      <left style="dashed">
        <color indexed="8"/>
      </left>
      <right style="medium">
        <color indexed="8"/>
      </right>
      <top style="thick">
        <color indexed="8"/>
      </top>
      <bottom style="thin">
        <color indexed="8"/>
      </bottom>
      <diagonal/>
    </border>
  </borders>
  <cellStyleXfs count="1">
    <xf numFmtId="0" fontId="0" fillId="0" borderId="0"/>
  </cellStyleXfs>
  <cellXfs count="382">
    <xf numFmtId="0" fontId="0" fillId="0" borderId="0" xfId="0"/>
    <xf numFmtId="0" fontId="0" fillId="0" borderId="1" xfId="0" applyBorder="1"/>
    <xf numFmtId="0" fontId="0" fillId="0" borderId="3" xfId="0" applyBorder="1"/>
    <xf numFmtId="0" fontId="0" fillId="0" borderId="6" xfId="0" applyBorder="1"/>
    <xf numFmtId="14" fontId="0" fillId="0" borderId="0" xfId="0" applyNumberFormat="1"/>
    <xf numFmtId="20" fontId="0" fillId="0" borderId="0" xfId="0" applyNumberFormat="1"/>
    <xf numFmtId="0" fontId="2" fillId="0" borderId="0" xfId="0" applyFont="1"/>
    <xf numFmtId="0" fontId="1" fillId="0" borderId="0" xfId="0" applyFont="1"/>
    <xf numFmtId="0" fontId="2" fillId="0" borderId="0" xfId="0" applyFont="1" applyAlignment="1">
      <alignment horizontal="center"/>
    </xf>
    <xf numFmtId="0" fontId="3" fillId="0" borderId="0" xfId="0" applyFont="1"/>
    <xf numFmtId="0" fontId="1" fillId="0" borderId="14" xfId="0" applyFont="1" applyBorder="1"/>
    <xf numFmtId="0" fontId="4" fillId="0" borderId="0" xfId="0" applyFont="1"/>
    <xf numFmtId="0" fontId="2" fillId="0" borderId="21" xfId="0" applyFont="1" applyBorder="1" applyAlignment="1">
      <alignment horizontal="center"/>
    </xf>
    <xf numFmtId="0" fontId="2" fillId="0" borderId="23" xfId="0" applyFont="1" applyBorder="1" applyAlignment="1">
      <alignment horizontal="center"/>
    </xf>
    <xf numFmtId="0" fontId="1" fillId="0" borderId="24" xfId="0" applyFont="1" applyBorder="1" applyAlignment="1">
      <alignment horizontal="center"/>
    </xf>
    <xf numFmtId="0" fontId="1" fillId="0" borderId="8" xfId="0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1" fillId="0" borderId="26" xfId="0" applyFont="1" applyBorder="1" applyAlignment="1">
      <alignment horizontal="center"/>
    </xf>
    <xf numFmtId="0" fontId="2" fillId="0" borderId="28" xfId="0" applyFont="1" applyBorder="1" applyAlignment="1">
      <alignment horizontal="right"/>
    </xf>
    <xf numFmtId="14" fontId="2" fillId="0" borderId="29" xfId="0" applyNumberFormat="1" applyFont="1" applyBorder="1" applyAlignment="1">
      <alignment horizontal="center"/>
    </xf>
    <xf numFmtId="164" fontId="1" fillId="0" borderId="37" xfId="0" applyNumberFormat="1" applyFont="1" applyBorder="1" applyAlignment="1">
      <alignment horizontal="right"/>
    </xf>
    <xf numFmtId="164" fontId="1" fillId="0" borderId="46" xfId="0" applyNumberFormat="1" applyFont="1" applyBorder="1" applyAlignment="1">
      <alignment horizontal="right"/>
    </xf>
    <xf numFmtId="0" fontId="2" fillId="0" borderId="47" xfId="0" applyFont="1" applyBorder="1" applyAlignment="1">
      <alignment horizontal="right"/>
    </xf>
    <xf numFmtId="14" fontId="2" fillId="0" borderId="48" xfId="0" applyNumberFormat="1" applyFont="1" applyBorder="1" applyAlignment="1">
      <alignment horizontal="center"/>
    </xf>
    <xf numFmtId="164" fontId="1" fillId="0" borderId="66" xfId="0" applyNumberFormat="1" applyFont="1" applyBorder="1" applyAlignment="1">
      <alignment horizontal="right"/>
    </xf>
    <xf numFmtId="164" fontId="1" fillId="0" borderId="72" xfId="0" applyNumberFormat="1" applyFont="1" applyBorder="1" applyAlignment="1">
      <alignment horizontal="right"/>
    </xf>
    <xf numFmtId="0" fontId="2" fillId="0" borderId="76" xfId="0" applyFont="1" applyBorder="1"/>
    <xf numFmtId="0" fontId="2" fillId="0" borderId="78" xfId="0" applyFont="1" applyBorder="1"/>
    <xf numFmtId="0" fontId="1" fillId="0" borderId="79" xfId="0" applyFont="1" applyBorder="1" applyAlignment="1">
      <alignment horizontal="right"/>
    </xf>
    <xf numFmtId="0" fontId="5" fillId="0" borderId="0" xfId="0" applyFont="1"/>
    <xf numFmtId="0" fontId="2" fillId="0" borderId="80" xfId="0" applyFont="1" applyBorder="1" applyAlignment="1">
      <alignment horizontal="right"/>
    </xf>
    <xf numFmtId="14" fontId="2" fillId="0" borderId="81" xfId="0" applyNumberFormat="1" applyFont="1" applyBorder="1" applyAlignment="1">
      <alignment horizontal="center"/>
    </xf>
    <xf numFmtId="0" fontId="6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19" fontId="1" fillId="0" borderId="0" xfId="0" applyNumberFormat="1" applyFont="1" applyAlignment="1">
      <alignment horizontal="center"/>
    </xf>
    <xf numFmtId="0" fontId="0" fillId="0" borderId="23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24" xfId="0" quotePrefix="1" applyBorder="1" applyAlignment="1">
      <alignment horizontal="center"/>
    </xf>
    <xf numFmtId="0" fontId="0" fillId="0" borderId="23" xfId="0" quotePrefix="1" applyBorder="1" applyAlignment="1">
      <alignment horizontal="center"/>
    </xf>
    <xf numFmtId="0" fontId="0" fillId="0" borderId="25" xfId="0" quotePrefix="1" applyBorder="1" applyAlignment="1">
      <alignment horizontal="center"/>
    </xf>
    <xf numFmtId="0" fontId="0" fillId="0" borderId="0" xfId="0" applyAlignment="1">
      <alignment horizontal="center"/>
    </xf>
    <xf numFmtId="164" fontId="0" fillId="0" borderId="30" xfId="0" applyNumberFormat="1" applyBorder="1" applyAlignment="1">
      <alignment horizontal="right"/>
    </xf>
    <xf numFmtId="164" fontId="0" fillId="0" borderId="31" xfId="0" applyNumberFormat="1" applyBorder="1" applyAlignment="1">
      <alignment horizontal="right"/>
    </xf>
    <xf numFmtId="164" fontId="0" fillId="0" borderId="90" xfId="0" applyNumberFormat="1" applyBorder="1" applyAlignment="1">
      <alignment horizontal="right"/>
    </xf>
    <xf numFmtId="164" fontId="0" fillId="0" borderId="32" xfId="0" applyNumberFormat="1" applyBorder="1" applyAlignment="1">
      <alignment horizontal="right"/>
    </xf>
    <xf numFmtId="164" fontId="0" fillId="0" borderId="33" xfId="0" applyNumberFormat="1" applyBorder="1" applyAlignment="1">
      <alignment horizontal="right"/>
    </xf>
    <xf numFmtId="0" fontId="0" fillId="0" borderId="34" xfId="0" applyBorder="1" applyAlignment="1">
      <alignment horizontal="right"/>
    </xf>
    <xf numFmtId="0" fontId="0" fillId="0" borderId="91" xfId="0" applyBorder="1" applyAlignment="1">
      <alignment horizontal="right"/>
    </xf>
    <xf numFmtId="0" fontId="0" fillId="0" borderId="36" xfId="0" applyBorder="1" applyAlignment="1">
      <alignment horizontal="right"/>
    </xf>
    <xf numFmtId="164" fontId="0" fillId="0" borderId="34" xfId="0" applyNumberFormat="1" applyBorder="1" applyAlignment="1">
      <alignment horizontal="right"/>
    </xf>
    <xf numFmtId="164" fontId="0" fillId="0" borderId="35" xfId="0" applyNumberFormat="1" applyBorder="1" applyAlignment="1">
      <alignment horizontal="right"/>
    </xf>
    <xf numFmtId="0" fontId="0" fillId="0" borderId="35" xfId="0" applyBorder="1" applyAlignment="1">
      <alignment horizontal="right"/>
    </xf>
    <xf numFmtId="164" fontId="0" fillId="0" borderId="92" xfId="0" applyNumberFormat="1" applyBorder="1" applyAlignment="1">
      <alignment horizontal="right"/>
    </xf>
    <xf numFmtId="164" fontId="0" fillId="0" borderId="93" xfId="0" applyNumberFormat="1" applyBorder="1" applyAlignment="1">
      <alignment horizontal="right"/>
    </xf>
    <xf numFmtId="164" fontId="0" fillId="0" borderId="39" xfId="0" applyNumberFormat="1" applyBorder="1" applyAlignment="1">
      <alignment horizontal="right"/>
    </xf>
    <xf numFmtId="164" fontId="0" fillId="0" borderId="40" xfId="0" applyNumberFormat="1" applyBorder="1" applyAlignment="1">
      <alignment horizontal="right"/>
    </xf>
    <xf numFmtId="164" fontId="0" fillId="0" borderId="94" xfId="0" applyNumberFormat="1" applyBorder="1" applyAlignment="1">
      <alignment horizontal="right"/>
    </xf>
    <xf numFmtId="164" fontId="0" fillId="0" borderId="95" xfId="0" applyNumberFormat="1" applyBorder="1" applyAlignment="1">
      <alignment horizontal="right"/>
    </xf>
    <xf numFmtId="164" fontId="0" fillId="0" borderId="42" xfId="0" applyNumberFormat="1" applyBorder="1" applyAlignment="1">
      <alignment horizontal="right"/>
    </xf>
    <xf numFmtId="0" fontId="0" fillId="0" borderId="43" xfId="0" applyBorder="1" applyAlignment="1">
      <alignment horizontal="right"/>
    </xf>
    <xf numFmtId="0" fontId="0" fillId="0" borderId="96" xfId="0" applyBorder="1" applyAlignment="1">
      <alignment horizontal="right"/>
    </xf>
    <xf numFmtId="0" fontId="0" fillId="0" borderId="45" xfId="0" applyBorder="1" applyAlignment="1">
      <alignment horizontal="right"/>
    </xf>
    <xf numFmtId="164" fontId="0" fillId="0" borderId="43" xfId="0" applyNumberFormat="1" applyBorder="1" applyAlignment="1">
      <alignment horizontal="right"/>
    </xf>
    <xf numFmtId="164" fontId="0" fillId="0" borderId="44" xfId="0" applyNumberFormat="1" applyBorder="1" applyAlignment="1">
      <alignment horizontal="right"/>
    </xf>
    <xf numFmtId="0" fontId="0" fillId="0" borderId="44" xfId="0" applyBorder="1" applyAlignment="1">
      <alignment horizontal="right"/>
    </xf>
    <xf numFmtId="164" fontId="0" fillId="0" borderId="96" xfId="0" applyNumberFormat="1" applyBorder="1" applyAlignment="1">
      <alignment horizontal="right"/>
    </xf>
    <xf numFmtId="164" fontId="0" fillId="0" borderId="59" xfId="0" applyNumberFormat="1" applyBorder="1" applyAlignment="1">
      <alignment horizontal="right"/>
    </xf>
    <xf numFmtId="164" fontId="0" fillId="0" borderId="60" xfId="0" applyNumberFormat="1" applyBorder="1" applyAlignment="1">
      <alignment horizontal="right"/>
    </xf>
    <xf numFmtId="164" fontId="0" fillId="0" borderId="97" xfId="0" applyNumberFormat="1" applyBorder="1" applyAlignment="1">
      <alignment horizontal="right"/>
    </xf>
    <xf numFmtId="164" fontId="0" fillId="0" borderId="98" xfId="0" applyNumberFormat="1" applyBorder="1" applyAlignment="1">
      <alignment horizontal="right"/>
    </xf>
    <xf numFmtId="164" fontId="0" fillId="0" borderId="62" xfId="0" applyNumberFormat="1" applyBorder="1" applyAlignment="1">
      <alignment horizontal="right"/>
    </xf>
    <xf numFmtId="0" fontId="0" fillId="0" borderId="63" xfId="0" applyBorder="1" applyAlignment="1">
      <alignment horizontal="right"/>
    </xf>
    <xf numFmtId="0" fontId="0" fillId="0" borderId="99" xfId="0" applyBorder="1" applyAlignment="1">
      <alignment horizontal="right"/>
    </xf>
    <xf numFmtId="0" fontId="0" fillId="0" borderId="65" xfId="0" applyBorder="1" applyAlignment="1">
      <alignment horizontal="right"/>
    </xf>
    <xf numFmtId="164" fontId="0" fillId="0" borderId="63" xfId="0" applyNumberFormat="1" applyBorder="1" applyAlignment="1">
      <alignment horizontal="right"/>
    </xf>
    <xf numFmtId="164" fontId="0" fillId="0" borderId="64" xfId="0" applyNumberFormat="1" applyBorder="1" applyAlignment="1">
      <alignment horizontal="right"/>
    </xf>
    <xf numFmtId="0" fontId="0" fillId="0" borderId="64" xfId="0" applyBorder="1" applyAlignment="1">
      <alignment horizontal="right"/>
    </xf>
    <xf numFmtId="164" fontId="0" fillId="0" borderId="100" xfId="0" applyNumberFormat="1" applyBorder="1" applyAlignment="1">
      <alignment horizontal="right"/>
    </xf>
    <xf numFmtId="164" fontId="0" fillId="0" borderId="101" xfId="0" applyNumberFormat="1" applyBorder="1" applyAlignment="1">
      <alignment horizontal="right"/>
    </xf>
    <xf numFmtId="164" fontId="0" fillId="0" borderId="102" xfId="0" applyNumberFormat="1" applyBorder="1" applyAlignment="1">
      <alignment horizontal="right"/>
    </xf>
    <xf numFmtId="164" fontId="0" fillId="0" borderId="103" xfId="0" applyNumberFormat="1" applyBorder="1" applyAlignment="1">
      <alignment horizontal="right"/>
    </xf>
    <xf numFmtId="164" fontId="0" fillId="0" borderId="104" xfId="0" applyNumberFormat="1" applyBorder="1" applyAlignment="1">
      <alignment horizontal="right"/>
    </xf>
    <xf numFmtId="0" fontId="0" fillId="0" borderId="69" xfId="0" applyBorder="1" applyAlignment="1">
      <alignment horizontal="right"/>
    </xf>
    <xf numFmtId="0" fontId="0" fillId="0" borderId="105" xfId="0" applyBorder="1" applyAlignment="1">
      <alignment horizontal="right"/>
    </xf>
    <xf numFmtId="0" fontId="0" fillId="0" borderId="71" xfId="0" applyBorder="1" applyAlignment="1">
      <alignment horizontal="right"/>
    </xf>
    <xf numFmtId="164" fontId="0" fillId="0" borderId="69" xfId="0" applyNumberFormat="1" applyBorder="1" applyAlignment="1">
      <alignment horizontal="right"/>
    </xf>
    <xf numFmtId="164" fontId="0" fillId="0" borderId="70" xfId="0" applyNumberFormat="1" applyBorder="1" applyAlignment="1">
      <alignment horizontal="right"/>
    </xf>
    <xf numFmtId="0" fontId="0" fillId="0" borderId="70" xfId="0" applyBorder="1" applyAlignment="1">
      <alignment horizontal="right"/>
    </xf>
    <xf numFmtId="164" fontId="0" fillId="0" borderId="105" xfId="0" applyNumberFormat="1" applyBorder="1" applyAlignment="1">
      <alignment horizontal="right"/>
    </xf>
    <xf numFmtId="0" fontId="0" fillId="0" borderId="92" xfId="0" applyBorder="1" applyAlignment="1">
      <alignment horizontal="right"/>
    </xf>
    <xf numFmtId="0" fontId="0" fillId="0" borderId="106" xfId="0" applyBorder="1" applyAlignment="1">
      <alignment horizontal="right"/>
    </xf>
    <xf numFmtId="0" fontId="0" fillId="0" borderId="107" xfId="0" applyBorder="1" applyAlignment="1">
      <alignment horizontal="right"/>
    </xf>
    <xf numFmtId="164" fontId="0" fillId="0" borderId="0" xfId="0" applyNumberFormat="1"/>
    <xf numFmtId="0" fontId="0" fillId="0" borderId="10" xfId="0" applyBorder="1"/>
    <xf numFmtId="0" fontId="0" fillId="0" borderId="76" xfId="0" applyBorder="1"/>
    <xf numFmtId="0" fontId="0" fillId="0" borderId="77" xfId="0" applyBorder="1"/>
    <xf numFmtId="0" fontId="0" fillId="0" borderId="78" xfId="0" applyBorder="1"/>
    <xf numFmtId="0" fontId="0" fillId="0" borderId="24" xfId="0" applyBorder="1" applyAlignment="1">
      <alignment horizontal="right"/>
    </xf>
    <xf numFmtId="0" fontId="0" fillId="0" borderId="23" xfId="0" applyBorder="1" applyAlignment="1">
      <alignment horizontal="right"/>
    </xf>
    <xf numFmtId="0" fontId="0" fillId="0" borderId="25" xfId="0" applyBorder="1" applyAlignment="1">
      <alignment horizontal="right"/>
    </xf>
    <xf numFmtId="14" fontId="1" fillId="0" borderId="15" xfId="0" applyNumberFormat="1" applyFont="1" applyBorder="1"/>
    <xf numFmtId="14" fontId="2" fillId="0" borderId="22" xfId="0" applyNumberFormat="1" applyFont="1" applyBorder="1" applyAlignment="1">
      <alignment horizontal="center"/>
    </xf>
    <xf numFmtId="0" fontId="0" fillId="0" borderId="108" xfId="0" applyBorder="1"/>
    <xf numFmtId="0" fontId="0" fillId="0" borderId="23" xfId="0" applyBorder="1"/>
    <xf numFmtId="0" fontId="0" fillId="0" borderId="109" xfId="0" applyBorder="1"/>
    <xf numFmtId="0" fontId="0" fillId="0" borderId="27" xfId="0" applyBorder="1" applyAlignment="1">
      <alignment horizontal="center"/>
    </xf>
    <xf numFmtId="14" fontId="0" fillId="0" borderId="38" xfId="0" applyNumberFormat="1" applyBorder="1"/>
    <xf numFmtId="0" fontId="0" fillId="0" borderId="73" xfId="0" applyBorder="1"/>
    <xf numFmtId="164" fontId="0" fillId="0" borderId="91" xfId="0" applyNumberFormat="1" applyBorder="1" applyAlignment="1">
      <alignment horizontal="right"/>
    </xf>
    <xf numFmtId="164" fontId="0" fillId="0" borderId="71" xfId="0" applyNumberFormat="1" applyBorder="1" applyAlignment="1">
      <alignment horizontal="right"/>
    </xf>
    <xf numFmtId="164" fontId="0" fillId="0" borderId="107" xfId="0" applyNumberFormat="1" applyBorder="1" applyAlignment="1">
      <alignment horizontal="right"/>
    </xf>
    <xf numFmtId="165" fontId="2" fillId="5" borderId="55" xfId="0" applyNumberFormat="1" applyFont="1" applyFill="1" applyBorder="1" applyAlignment="1" applyProtection="1">
      <alignment horizontal="right"/>
      <protection locked="0"/>
    </xf>
    <xf numFmtId="165" fontId="2" fillId="5" borderId="56" xfId="0" applyNumberFormat="1" applyFont="1" applyFill="1" applyBorder="1" applyAlignment="1" applyProtection="1">
      <alignment horizontal="right"/>
      <protection locked="0"/>
    </xf>
    <xf numFmtId="165" fontId="2" fillId="5" borderId="57" xfId="0" applyNumberFormat="1" applyFont="1" applyFill="1" applyBorder="1" applyAlignment="1" applyProtection="1">
      <alignment horizontal="right"/>
      <protection locked="0"/>
    </xf>
    <xf numFmtId="165" fontId="2" fillId="5" borderId="58" xfId="0" applyNumberFormat="1" applyFont="1" applyFill="1" applyBorder="1" applyAlignment="1" applyProtection="1">
      <alignment horizontal="right"/>
      <protection locked="0"/>
    </xf>
    <xf numFmtId="165" fontId="2" fillId="5" borderId="39" xfId="0" applyNumberFormat="1" applyFont="1" applyFill="1" applyBorder="1" applyAlignment="1" applyProtection="1">
      <alignment horizontal="right"/>
      <protection locked="0"/>
    </xf>
    <xf numFmtId="165" fontId="2" fillId="5" borderId="40" xfId="0" applyNumberFormat="1" applyFont="1" applyFill="1" applyBorder="1" applyAlignment="1" applyProtection="1">
      <alignment horizontal="right"/>
      <protection locked="0"/>
    </xf>
    <xf numFmtId="165" fontId="2" fillId="5" borderId="41" xfId="0" applyNumberFormat="1" applyFont="1" applyFill="1" applyBorder="1" applyAlignment="1" applyProtection="1">
      <alignment horizontal="right"/>
      <protection locked="0"/>
    </xf>
    <xf numFmtId="165" fontId="2" fillId="5" borderId="42" xfId="0" applyNumberFormat="1" applyFont="1" applyFill="1" applyBorder="1" applyAlignment="1" applyProtection="1">
      <alignment horizontal="right"/>
      <protection locked="0"/>
    </xf>
    <xf numFmtId="165" fontId="2" fillId="6" borderId="55" xfId="0" applyNumberFormat="1" applyFont="1" applyFill="1" applyBorder="1" applyAlignment="1" applyProtection="1">
      <alignment horizontal="right"/>
      <protection locked="0"/>
    </xf>
    <xf numFmtId="165" fontId="2" fillId="6" borderId="56" xfId="0" applyNumberFormat="1" applyFont="1" applyFill="1" applyBorder="1" applyAlignment="1" applyProtection="1">
      <alignment horizontal="right"/>
      <protection locked="0"/>
    </xf>
    <xf numFmtId="165" fontId="2" fillId="6" borderId="57" xfId="0" applyNumberFormat="1" applyFont="1" applyFill="1" applyBorder="1" applyAlignment="1" applyProtection="1">
      <alignment horizontal="right"/>
      <protection locked="0"/>
    </xf>
    <xf numFmtId="165" fontId="2" fillId="6" borderId="58" xfId="0" applyNumberFormat="1" applyFont="1" applyFill="1" applyBorder="1" applyAlignment="1" applyProtection="1">
      <alignment horizontal="right"/>
      <protection locked="0"/>
    </xf>
    <xf numFmtId="165" fontId="2" fillId="6" borderId="39" xfId="0" applyNumberFormat="1" applyFont="1" applyFill="1" applyBorder="1" applyAlignment="1" applyProtection="1">
      <alignment horizontal="right"/>
      <protection locked="0"/>
    </xf>
    <xf numFmtId="165" fontId="2" fillId="6" borderId="40" xfId="0" applyNumberFormat="1" applyFont="1" applyFill="1" applyBorder="1" applyAlignment="1" applyProtection="1">
      <alignment horizontal="right"/>
      <protection locked="0"/>
    </xf>
    <xf numFmtId="165" fontId="2" fillId="6" borderId="41" xfId="0" applyNumberFormat="1" applyFont="1" applyFill="1" applyBorder="1" applyAlignment="1" applyProtection="1">
      <alignment horizontal="right"/>
      <protection locked="0"/>
    </xf>
    <xf numFmtId="165" fontId="2" fillId="6" borderId="42" xfId="0" applyNumberFormat="1" applyFont="1" applyFill="1" applyBorder="1" applyAlignment="1" applyProtection="1">
      <alignment horizontal="right"/>
      <protection locked="0"/>
    </xf>
    <xf numFmtId="165" fontId="2" fillId="6" borderId="59" xfId="0" applyNumberFormat="1" applyFont="1" applyFill="1" applyBorder="1" applyAlignment="1" applyProtection="1">
      <alignment horizontal="right"/>
      <protection locked="0"/>
    </xf>
    <xf numFmtId="165" fontId="2" fillId="6" borderId="60" xfId="0" applyNumberFormat="1" applyFont="1" applyFill="1" applyBorder="1" applyAlignment="1" applyProtection="1">
      <alignment horizontal="right"/>
      <protection locked="0"/>
    </xf>
    <xf numFmtId="165" fontId="2" fillId="6" borderId="61" xfId="0" applyNumberFormat="1" applyFont="1" applyFill="1" applyBorder="1" applyAlignment="1" applyProtection="1">
      <alignment horizontal="right"/>
      <protection locked="0"/>
    </xf>
    <xf numFmtId="165" fontId="2" fillId="6" borderId="62" xfId="0" applyNumberFormat="1" applyFont="1" applyFill="1" applyBorder="1" applyAlignment="1" applyProtection="1">
      <alignment horizontal="right"/>
      <protection locked="0"/>
    </xf>
    <xf numFmtId="165" fontId="2" fillId="5" borderId="59" xfId="0" applyNumberFormat="1" applyFont="1" applyFill="1" applyBorder="1" applyAlignment="1" applyProtection="1">
      <alignment horizontal="right"/>
      <protection locked="0"/>
    </xf>
    <xf numFmtId="165" fontId="2" fillId="5" borderId="60" xfId="0" applyNumberFormat="1" applyFont="1" applyFill="1" applyBorder="1" applyAlignment="1" applyProtection="1">
      <alignment horizontal="right"/>
      <protection locked="0"/>
    </xf>
    <xf numFmtId="165" fontId="2" fillId="5" borderId="61" xfId="0" applyNumberFormat="1" applyFont="1" applyFill="1" applyBorder="1" applyAlignment="1" applyProtection="1">
      <alignment horizontal="right"/>
      <protection locked="0"/>
    </xf>
    <xf numFmtId="165" fontId="2" fillId="5" borderId="62" xfId="0" applyNumberFormat="1" applyFont="1" applyFill="1" applyBorder="1" applyAlignment="1" applyProtection="1">
      <alignment horizontal="right"/>
      <protection locked="0"/>
    </xf>
    <xf numFmtId="165" fontId="2" fillId="6" borderId="49" xfId="0" applyNumberFormat="1" applyFont="1" applyFill="1" applyBorder="1" applyAlignment="1" applyProtection="1">
      <alignment horizontal="right"/>
      <protection locked="0"/>
    </xf>
    <xf numFmtId="165" fontId="2" fillId="6" borderId="50" xfId="0" applyNumberFormat="1" applyFont="1" applyFill="1" applyBorder="1" applyAlignment="1" applyProtection="1">
      <alignment horizontal="right"/>
      <protection locked="0"/>
    </xf>
    <xf numFmtId="165" fontId="2" fillId="6" borderId="51" xfId="0" applyNumberFormat="1" applyFont="1" applyFill="1" applyBorder="1" applyAlignment="1" applyProtection="1">
      <alignment horizontal="right"/>
      <protection locked="0"/>
    </xf>
    <xf numFmtId="165" fontId="2" fillId="6" borderId="52" xfId="0" applyNumberFormat="1" applyFont="1" applyFill="1" applyBorder="1" applyAlignment="1" applyProtection="1">
      <alignment horizontal="right"/>
      <protection locked="0"/>
    </xf>
    <xf numFmtId="165" fontId="2" fillId="6" borderId="67" xfId="0" applyNumberFormat="1" applyFont="1" applyFill="1" applyBorder="1" applyAlignment="1" applyProtection="1">
      <alignment horizontal="right"/>
      <protection locked="0"/>
    </xf>
    <xf numFmtId="165" fontId="2" fillId="6" borderId="68" xfId="0" applyNumberFormat="1" applyFont="1" applyFill="1" applyBorder="1" applyAlignment="1" applyProtection="1">
      <alignment horizontal="right"/>
      <protection locked="0"/>
    </xf>
    <xf numFmtId="165" fontId="2" fillId="6" borderId="74" xfId="0" applyNumberFormat="1" applyFont="1" applyFill="1" applyBorder="1" applyAlignment="1" applyProtection="1">
      <alignment horizontal="right"/>
      <protection locked="0"/>
    </xf>
    <xf numFmtId="165" fontId="2" fillId="6" borderId="75" xfId="0" applyNumberFormat="1" applyFont="1" applyFill="1" applyBorder="1" applyAlignment="1" applyProtection="1">
      <alignment horizontal="right"/>
      <protection locked="0"/>
    </xf>
    <xf numFmtId="0" fontId="1" fillId="0" borderId="0" xfId="0" applyFont="1" applyAlignment="1">
      <alignment horizontal="right"/>
    </xf>
    <xf numFmtId="0" fontId="1" fillId="0" borderId="123" xfId="0" applyFont="1" applyBorder="1" applyAlignment="1">
      <alignment horizontal="right"/>
    </xf>
    <xf numFmtId="0" fontId="1" fillId="0" borderId="124" xfId="0" applyFont="1" applyBorder="1" applyAlignment="1">
      <alignment horizontal="right"/>
    </xf>
    <xf numFmtId="0" fontId="2" fillId="5" borderId="34" xfId="0" applyFont="1" applyFill="1" applyBorder="1" applyAlignment="1">
      <alignment horizontal="right"/>
    </xf>
    <xf numFmtId="0" fontId="2" fillId="5" borderId="36" xfId="0" applyFont="1" applyFill="1" applyBorder="1" applyAlignment="1">
      <alignment horizontal="right"/>
    </xf>
    <xf numFmtId="164" fontId="1" fillId="5" borderId="113" xfId="0" applyNumberFormat="1" applyFont="1" applyFill="1" applyBorder="1" applyAlignment="1">
      <alignment horizontal="right"/>
    </xf>
    <xf numFmtId="164" fontId="1" fillId="5" borderId="114" xfId="0" applyNumberFormat="1" applyFont="1" applyFill="1" applyBorder="1" applyAlignment="1">
      <alignment horizontal="right"/>
    </xf>
    <xf numFmtId="0" fontId="1" fillId="5" borderId="125" xfId="0" applyFont="1" applyFill="1" applyBorder="1" applyAlignment="1">
      <alignment horizontal="center"/>
    </xf>
    <xf numFmtId="0" fontId="2" fillId="6" borderId="34" xfId="0" applyFont="1" applyFill="1" applyBorder="1" applyAlignment="1">
      <alignment horizontal="right"/>
    </xf>
    <xf numFmtId="0" fontId="2" fillId="6" borderId="36" xfId="0" applyFont="1" applyFill="1" applyBorder="1" applyAlignment="1">
      <alignment horizontal="right"/>
    </xf>
    <xf numFmtId="164" fontId="1" fillId="6" borderId="113" xfId="0" applyNumberFormat="1" applyFont="1" applyFill="1" applyBorder="1" applyAlignment="1">
      <alignment horizontal="right"/>
    </xf>
    <xf numFmtId="164" fontId="1" fillId="6" borderId="114" xfId="0" applyNumberFormat="1" applyFont="1" applyFill="1" applyBorder="1" applyAlignment="1">
      <alignment horizontal="right"/>
    </xf>
    <xf numFmtId="0" fontId="1" fillId="6" borderId="126" xfId="0" applyFont="1" applyFill="1" applyBorder="1" applyAlignment="1">
      <alignment horizontal="center"/>
    </xf>
    <xf numFmtId="0" fontId="2" fillId="5" borderId="43" xfId="0" applyFont="1" applyFill="1" applyBorder="1" applyAlignment="1">
      <alignment horizontal="right"/>
    </xf>
    <xf numFmtId="0" fontId="2" fillId="5" borderId="45" xfId="0" applyFont="1" applyFill="1" applyBorder="1" applyAlignment="1">
      <alignment horizontal="right"/>
    </xf>
    <xf numFmtId="164" fontId="1" fillId="5" borderId="115" xfId="0" applyNumberFormat="1" applyFont="1" applyFill="1" applyBorder="1" applyAlignment="1">
      <alignment horizontal="right"/>
    </xf>
    <xf numFmtId="164" fontId="1" fillId="5" borderId="116" xfId="0" applyNumberFormat="1" applyFont="1" applyFill="1" applyBorder="1" applyAlignment="1">
      <alignment horizontal="right"/>
    </xf>
    <xf numFmtId="0" fontId="1" fillId="5" borderId="126" xfId="0" applyFont="1" applyFill="1" applyBorder="1" applyAlignment="1">
      <alignment horizontal="center"/>
    </xf>
    <xf numFmtId="0" fontId="2" fillId="6" borderId="43" xfId="0" applyFont="1" applyFill="1" applyBorder="1" applyAlignment="1">
      <alignment horizontal="right"/>
    </xf>
    <xf numFmtId="0" fontId="2" fillId="6" borderId="45" xfId="0" applyFont="1" applyFill="1" applyBorder="1" applyAlignment="1">
      <alignment horizontal="right"/>
    </xf>
    <xf numFmtId="164" fontId="1" fillId="6" borderId="115" xfId="0" applyNumberFormat="1" applyFont="1" applyFill="1" applyBorder="1" applyAlignment="1">
      <alignment horizontal="right"/>
    </xf>
    <xf numFmtId="164" fontId="1" fillId="6" borderId="116" xfId="0" applyNumberFormat="1" applyFont="1" applyFill="1" applyBorder="1" applyAlignment="1">
      <alignment horizontal="right"/>
    </xf>
    <xf numFmtId="0" fontId="2" fillId="6" borderId="63" xfId="0" applyFont="1" applyFill="1" applyBorder="1" applyAlignment="1">
      <alignment horizontal="right"/>
    </xf>
    <xf numFmtId="0" fontId="2" fillId="6" borderId="65" xfId="0" applyFont="1" applyFill="1" applyBorder="1" applyAlignment="1">
      <alignment horizontal="right"/>
    </xf>
    <xf numFmtId="164" fontId="1" fillId="6" borderId="117" xfId="0" applyNumberFormat="1" applyFont="1" applyFill="1" applyBorder="1" applyAlignment="1">
      <alignment horizontal="right"/>
    </xf>
    <xf numFmtId="164" fontId="1" fillId="6" borderId="118" xfId="0" applyNumberFormat="1" applyFont="1" applyFill="1" applyBorder="1" applyAlignment="1">
      <alignment horizontal="right"/>
    </xf>
    <xf numFmtId="0" fontId="2" fillId="5" borderId="63" xfId="0" applyFont="1" applyFill="1" applyBorder="1" applyAlignment="1">
      <alignment horizontal="right"/>
    </xf>
    <xf numFmtId="0" fontId="2" fillId="5" borderId="65" xfId="0" applyFont="1" applyFill="1" applyBorder="1" applyAlignment="1">
      <alignment horizontal="right"/>
    </xf>
    <xf numFmtId="164" fontId="1" fillId="5" borderId="117" xfId="0" applyNumberFormat="1" applyFont="1" applyFill="1" applyBorder="1" applyAlignment="1">
      <alignment horizontal="right"/>
    </xf>
    <xf numFmtId="164" fontId="1" fillId="5" borderId="118" xfId="0" applyNumberFormat="1" applyFont="1" applyFill="1" applyBorder="1" applyAlignment="1">
      <alignment horizontal="right"/>
    </xf>
    <xf numFmtId="0" fontId="2" fillId="6" borderId="53" xfId="0" applyFont="1" applyFill="1" applyBorder="1" applyAlignment="1">
      <alignment horizontal="right"/>
    </xf>
    <xf numFmtId="0" fontId="2" fillId="6" borderId="54" xfId="0" applyFont="1" applyFill="1" applyBorder="1" applyAlignment="1">
      <alignment horizontal="right"/>
    </xf>
    <xf numFmtId="164" fontId="1" fillId="6" borderId="119" xfId="0" applyNumberFormat="1" applyFont="1" applyFill="1" applyBorder="1" applyAlignment="1">
      <alignment horizontal="right"/>
    </xf>
    <xf numFmtId="164" fontId="1" fillId="6" borderId="120" xfId="0" applyNumberFormat="1" applyFont="1" applyFill="1" applyBorder="1" applyAlignment="1">
      <alignment horizontal="right"/>
    </xf>
    <xf numFmtId="164" fontId="1" fillId="6" borderId="127" xfId="0" applyNumberFormat="1" applyFont="1" applyFill="1" applyBorder="1" applyAlignment="1">
      <alignment horizontal="center"/>
    </xf>
    <xf numFmtId="164" fontId="1" fillId="6" borderId="121" xfId="0" applyNumberFormat="1" applyFont="1" applyFill="1" applyBorder="1" applyAlignment="1">
      <alignment horizontal="right"/>
    </xf>
    <xf numFmtId="164" fontId="1" fillId="6" borderId="122" xfId="0" applyNumberFormat="1" applyFont="1" applyFill="1" applyBorder="1" applyAlignment="1">
      <alignment horizontal="right"/>
    </xf>
    <xf numFmtId="164" fontId="1" fillId="6" borderId="128" xfId="0" applyNumberFormat="1" applyFont="1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9" fillId="0" borderId="0" xfId="0" applyFont="1"/>
    <xf numFmtId="0" fontId="10" fillId="0" borderId="0" xfId="0" applyFont="1"/>
    <xf numFmtId="0" fontId="11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165" fontId="12" fillId="0" borderId="0" xfId="0" applyNumberFormat="1" applyFont="1" applyAlignment="1">
      <alignment horizontal="center" vertical="center"/>
    </xf>
    <xf numFmtId="167" fontId="0" fillId="0" borderId="0" xfId="0" applyNumberFormat="1"/>
    <xf numFmtId="0" fontId="2" fillId="0" borderId="133" xfId="0" applyFont="1" applyBorder="1" applyAlignment="1">
      <alignment horizontal="center"/>
    </xf>
    <xf numFmtId="0" fontId="2" fillId="0" borderId="131" xfId="0" applyFont="1" applyBorder="1" applyAlignment="1">
      <alignment horizontal="center"/>
    </xf>
    <xf numFmtId="0" fontId="2" fillId="0" borderId="16" xfId="0" applyFont="1" applyBorder="1"/>
    <xf numFmtId="0" fontId="0" fillId="0" borderId="135" xfId="0" applyBorder="1"/>
    <xf numFmtId="0" fontId="15" fillId="0" borderId="0" xfId="0" applyFont="1"/>
    <xf numFmtId="0" fontId="5" fillId="0" borderId="0" xfId="0" applyFont="1" applyProtection="1">
      <protection locked="0"/>
    </xf>
    <xf numFmtId="0" fontId="0" fillId="0" borderId="14" xfId="0" applyBorder="1"/>
    <xf numFmtId="0" fontId="0" fillId="0" borderId="82" xfId="0" applyBorder="1"/>
    <xf numFmtId="0" fontId="0" fillId="0" borderId="83" xfId="0" applyBorder="1"/>
    <xf numFmtId="0" fontId="0" fillId="0" borderId="28" xfId="0" applyBorder="1"/>
    <xf numFmtId="0" fontId="0" fillId="0" borderId="110" xfId="0" applyBorder="1"/>
    <xf numFmtId="0" fontId="0" fillId="0" borderId="129" xfId="0" applyBorder="1"/>
    <xf numFmtId="0" fontId="0" fillId="0" borderId="111" xfId="0" applyBorder="1"/>
    <xf numFmtId="0" fontId="17" fillId="0" borderId="0" xfId="0" applyFont="1" applyAlignment="1">
      <alignment horizontal="center" vertical="center"/>
    </xf>
    <xf numFmtId="165" fontId="19" fillId="5" borderId="30" xfId="0" applyNumberFormat="1" applyFont="1" applyFill="1" applyBorder="1" applyAlignment="1" applyProtection="1">
      <alignment horizontal="right"/>
      <protection locked="0"/>
    </xf>
    <xf numFmtId="165" fontId="19" fillId="5" borderId="31" xfId="0" applyNumberFormat="1" applyFont="1" applyFill="1" applyBorder="1" applyAlignment="1" applyProtection="1">
      <alignment horizontal="right"/>
      <protection locked="0"/>
    </xf>
    <xf numFmtId="165" fontId="19" fillId="5" borderId="39" xfId="0" applyNumberFormat="1" applyFont="1" applyFill="1" applyBorder="1" applyAlignment="1" applyProtection="1">
      <alignment horizontal="right"/>
      <protection locked="0"/>
    </xf>
    <xf numFmtId="165" fontId="19" fillId="5" borderId="40" xfId="0" applyNumberFormat="1" applyFont="1" applyFill="1" applyBorder="1" applyAlignment="1" applyProtection="1">
      <alignment horizontal="right"/>
      <protection locked="0"/>
    </xf>
    <xf numFmtId="165" fontId="19" fillId="5" borderId="55" xfId="0" applyNumberFormat="1" applyFont="1" applyFill="1" applyBorder="1" applyAlignment="1" applyProtection="1">
      <alignment horizontal="right"/>
      <protection locked="0"/>
    </xf>
    <xf numFmtId="165" fontId="19" fillId="5" borderId="56" xfId="0" applyNumberFormat="1" applyFont="1" applyFill="1" applyBorder="1" applyAlignment="1" applyProtection="1">
      <alignment horizontal="right"/>
      <protection locked="0"/>
    </xf>
    <xf numFmtId="165" fontId="19" fillId="5" borderId="57" xfId="0" applyNumberFormat="1" applyFont="1" applyFill="1" applyBorder="1" applyAlignment="1" applyProtection="1">
      <alignment horizontal="right"/>
      <protection locked="0"/>
    </xf>
    <xf numFmtId="165" fontId="19" fillId="6" borderId="55" xfId="0" applyNumberFormat="1" applyFont="1" applyFill="1" applyBorder="1" applyAlignment="1" applyProtection="1">
      <alignment horizontal="right"/>
      <protection locked="0"/>
    </xf>
    <xf numFmtId="165" fontId="19" fillId="6" borderId="56" xfId="0" applyNumberFormat="1" applyFont="1" applyFill="1" applyBorder="1" applyAlignment="1" applyProtection="1">
      <alignment horizontal="right"/>
      <protection locked="0"/>
    </xf>
    <xf numFmtId="165" fontId="19" fillId="6" borderId="39" xfId="0" applyNumberFormat="1" applyFont="1" applyFill="1" applyBorder="1" applyAlignment="1" applyProtection="1">
      <alignment horizontal="right"/>
      <protection locked="0"/>
    </xf>
    <xf numFmtId="165" fontId="19" fillId="6" borderId="40" xfId="0" applyNumberFormat="1" applyFont="1" applyFill="1" applyBorder="1" applyAlignment="1" applyProtection="1">
      <alignment horizontal="right"/>
      <protection locked="0"/>
    </xf>
    <xf numFmtId="165" fontId="19" fillId="6" borderId="57" xfId="0" applyNumberFormat="1" applyFont="1" applyFill="1" applyBorder="1" applyAlignment="1" applyProtection="1">
      <alignment horizontal="right"/>
      <protection locked="0"/>
    </xf>
    <xf numFmtId="14" fontId="18" fillId="0" borderId="29" xfId="0" applyNumberFormat="1" applyFont="1" applyBorder="1" applyAlignment="1">
      <alignment horizontal="center"/>
    </xf>
    <xf numFmtId="167" fontId="0" fillId="0" borderId="16" xfId="0" applyNumberFormat="1" applyBorder="1" applyAlignment="1">
      <alignment horizontal="center"/>
    </xf>
    <xf numFmtId="167" fontId="0" fillId="0" borderId="23" xfId="0" applyNumberFormat="1" applyBorder="1" applyAlignment="1">
      <alignment horizontal="center"/>
    </xf>
    <xf numFmtId="167" fontId="0" fillId="0" borderId="135" xfId="0" applyNumberFormat="1" applyBorder="1" applyAlignment="1">
      <alignment horizontal="center"/>
    </xf>
    <xf numFmtId="0" fontId="2" fillId="0" borderId="16" xfId="0" applyFont="1" applyBorder="1" applyAlignment="1">
      <alignment horizontal="center"/>
    </xf>
    <xf numFmtId="0" fontId="0" fillId="0" borderId="135" xfId="0" applyBorder="1" applyAlignment="1">
      <alignment horizontal="center"/>
    </xf>
    <xf numFmtId="167" fontId="0" fillId="0" borderId="18" xfId="0" applyNumberFormat="1" applyBorder="1"/>
    <xf numFmtId="167" fontId="0" fillId="0" borderId="16" xfId="0" applyNumberFormat="1" applyBorder="1"/>
    <xf numFmtId="167" fontId="0" fillId="0" borderId="130" xfId="0" applyNumberFormat="1" applyBorder="1"/>
    <xf numFmtId="167" fontId="0" fillId="0" borderId="23" xfId="0" applyNumberFormat="1" applyBorder="1"/>
    <xf numFmtId="167" fontId="0" fillId="0" borderId="13" xfId="0" applyNumberFormat="1" applyBorder="1"/>
    <xf numFmtId="167" fontId="0" fillId="0" borderId="135" xfId="0" applyNumberFormat="1" applyBorder="1"/>
    <xf numFmtId="0" fontId="20" fillId="0" borderId="129" xfId="0" applyFont="1" applyBorder="1"/>
    <xf numFmtId="0" fontId="21" fillId="0" borderId="80" xfId="0" applyFont="1" applyBorder="1"/>
    <xf numFmtId="0" fontId="22" fillId="0" borderId="134" xfId="0" applyFont="1" applyBorder="1" applyAlignment="1">
      <alignment horizontal="center"/>
    </xf>
    <xf numFmtId="0" fontId="0" fillId="0" borderId="136" xfId="0" applyBorder="1" applyAlignment="1">
      <alignment horizontal="center"/>
    </xf>
    <xf numFmtId="0" fontId="22" fillId="0" borderId="134" xfId="0" applyFont="1" applyBorder="1"/>
    <xf numFmtId="0" fontId="0" fillId="0" borderId="25" xfId="0" applyBorder="1"/>
    <xf numFmtId="0" fontId="0" fillId="0" borderId="136" xfId="0" applyBorder="1"/>
    <xf numFmtId="165" fontId="19" fillId="5" borderId="32" xfId="0" applyNumberFormat="1" applyFont="1" applyFill="1" applyBorder="1" applyAlignment="1" applyProtection="1">
      <alignment horizontal="right"/>
      <protection locked="0"/>
    </xf>
    <xf numFmtId="165" fontId="19" fillId="5" borderId="33" xfId="0" applyNumberFormat="1" applyFont="1" applyFill="1" applyBorder="1" applyAlignment="1" applyProtection="1">
      <alignment horizontal="right"/>
      <protection locked="0"/>
    </xf>
    <xf numFmtId="165" fontId="19" fillId="5" borderId="41" xfId="0" applyNumberFormat="1" applyFont="1" applyFill="1" applyBorder="1" applyAlignment="1" applyProtection="1">
      <alignment horizontal="right"/>
      <protection locked="0"/>
    </xf>
    <xf numFmtId="165" fontId="19" fillId="5" borderId="42" xfId="0" applyNumberFormat="1" applyFont="1" applyFill="1" applyBorder="1" applyAlignment="1" applyProtection="1">
      <alignment horizontal="right"/>
      <protection locked="0"/>
    </xf>
    <xf numFmtId="165" fontId="19" fillId="5" borderId="58" xfId="0" applyNumberFormat="1" applyFont="1" applyFill="1" applyBorder="1" applyAlignment="1" applyProtection="1">
      <alignment horizontal="right"/>
      <protection locked="0"/>
    </xf>
    <xf numFmtId="165" fontId="19" fillId="6" borderId="58" xfId="0" applyNumberFormat="1" applyFont="1" applyFill="1" applyBorder="1" applyAlignment="1" applyProtection="1">
      <alignment horizontal="right"/>
      <protection locked="0"/>
    </xf>
    <xf numFmtId="165" fontId="19" fillId="6" borderId="41" xfId="0" applyNumberFormat="1" applyFont="1" applyFill="1" applyBorder="1" applyAlignment="1" applyProtection="1">
      <alignment horizontal="right"/>
      <protection locked="0"/>
    </xf>
    <xf numFmtId="165" fontId="19" fillId="6" borderId="42" xfId="0" applyNumberFormat="1" applyFont="1" applyFill="1" applyBorder="1" applyAlignment="1" applyProtection="1">
      <alignment horizontal="right"/>
      <protection locked="0"/>
    </xf>
    <xf numFmtId="0" fontId="2" fillId="0" borderId="28" xfId="0" applyFont="1" applyBorder="1" applyAlignment="1">
      <alignment vertical="center" wrapText="1"/>
    </xf>
    <xf numFmtId="0" fontId="2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2" fillId="0" borderId="28" xfId="0" applyFont="1" applyBorder="1" applyAlignment="1">
      <alignment vertical="center"/>
    </xf>
    <xf numFmtId="0" fontId="1" fillId="0" borderId="88" xfId="0" applyFont="1" applyBorder="1" applyAlignment="1">
      <alignment horizontal="center"/>
    </xf>
    <xf numFmtId="0" fontId="0" fillId="7" borderId="144" xfId="0" applyFill="1" applyBorder="1"/>
    <xf numFmtId="0" fontId="2" fillId="5" borderId="145" xfId="0" applyFont="1" applyFill="1" applyBorder="1" applyAlignment="1">
      <alignment horizontal="right"/>
    </xf>
    <xf numFmtId="0" fontId="2" fillId="6" borderId="145" xfId="0" applyFont="1" applyFill="1" applyBorder="1" applyAlignment="1">
      <alignment horizontal="right"/>
    </xf>
    <xf numFmtId="0" fontId="2" fillId="5" borderId="146" xfId="0" applyFont="1" applyFill="1" applyBorder="1" applyAlignment="1">
      <alignment horizontal="right"/>
    </xf>
    <xf numFmtId="0" fontId="2" fillId="6" borderId="146" xfId="0" applyFont="1" applyFill="1" applyBorder="1" applyAlignment="1">
      <alignment horizontal="right"/>
    </xf>
    <xf numFmtId="0" fontId="2" fillId="6" borderId="147" xfId="0" applyFont="1" applyFill="1" applyBorder="1" applyAlignment="1">
      <alignment horizontal="right"/>
    </xf>
    <xf numFmtId="0" fontId="2" fillId="5" borderId="147" xfId="0" applyFont="1" applyFill="1" applyBorder="1" applyAlignment="1">
      <alignment horizontal="right"/>
    </xf>
    <xf numFmtId="0" fontId="2" fillId="6" borderId="148" xfId="0" applyFont="1" applyFill="1" applyBorder="1" applyAlignment="1">
      <alignment horizontal="right"/>
    </xf>
    <xf numFmtId="0" fontId="2" fillId="6" borderId="149" xfId="0" applyFont="1" applyFill="1" applyBorder="1" applyAlignment="1">
      <alignment horizontal="right"/>
    </xf>
    <xf numFmtId="0" fontId="2" fillId="6" borderId="150" xfId="0" applyFont="1" applyFill="1" applyBorder="1" applyAlignment="1">
      <alignment horizontal="right"/>
    </xf>
    <xf numFmtId="0" fontId="2" fillId="6" borderId="151" xfId="0" applyFont="1" applyFill="1" applyBorder="1" applyAlignment="1">
      <alignment horizontal="right"/>
    </xf>
    <xf numFmtId="0" fontId="2" fillId="0" borderId="152" xfId="0" applyFont="1" applyBorder="1"/>
    <xf numFmtId="0" fontId="0" fillId="0" borderId="5" xfId="0" applyBorder="1"/>
    <xf numFmtId="49" fontId="0" fillId="0" borderId="156" xfId="0" applyNumberFormat="1" applyBorder="1"/>
    <xf numFmtId="14" fontId="0" fillId="0" borderId="159" xfId="0" applyNumberFormat="1" applyBorder="1"/>
    <xf numFmtId="20" fontId="0" fillId="0" borderId="159" xfId="0" applyNumberFormat="1" applyBorder="1"/>
    <xf numFmtId="49" fontId="0" fillId="0" borderId="160" xfId="0" applyNumberFormat="1" applyBorder="1"/>
    <xf numFmtId="49" fontId="0" fillId="0" borderId="157" xfId="0" applyNumberFormat="1" applyBorder="1"/>
    <xf numFmtId="14" fontId="0" fillId="0" borderId="158" xfId="0" applyNumberFormat="1" applyBorder="1"/>
    <xf numFmtId="20" fontId="0" fillId="0" borderId="158" xfId="0" applyNumberFormat="1" applyBorder="1"/>
    <xf numFmtId="49" fontId="0" fillId="0" borderId="141" xfId="0" applyNumberFormat="1" applyBorder="1"/>
    <xf numFmtId="0" fontId="0" fillId="0" borderId="80" xfId="0" applyBorder="1"/>
    <xf numFmtId="20" fontId="0" fillId="0" borderId="129" xfId="0" applyNumberFormat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0" borderId="0" xfId="0" applyFont="1" applyFill="1" applyBorder="1"/>
    <xf numFmtId="166" fontId="0" fillId="0" borderId="0" xfId="0" applyNumberFormat="1" applyFont="1" applyFill="1" applyBorder="1" applyAlignment="1">
      <alignment horizontal="center"/>
    </xf>
    <xf numFmtId="0" fontId="0" fillId="0" borderId="0" xfId="0" applyBorder="1"/>
    <xf numFmtId="0" fontId="0" fillId="0" borderId="167" xfId="0" applyBorder="1"/>
    <xf numFmtId="0" fontId="0" fillId="0" borderId="168" xfId="0" applyBorder="1"/>
    <xf numFmtId="20" fontId="0" fillId="0" borderId="168" xfId="0" applyNumberFormat="1" applyBorder="1"/>
    <xf numFmtId="20" fontId="0" fillId="0" borderId="23" xfId="0" applyNumberFormat="1" applyBorder="1"/>
    <xf numFmtId="0" fontId="0" fillId="0" borderId="7" xfId="0" applyFill="1" applyBorder="1"/>
    <xf numFmtId="0" fontId="0" fillId="0" borderId="169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10" borderId="0" xfId="0" applyFill="1" applyAlignment="1">
      <alignment horizontal="center" vertical="center"/>
    </xf>
    <xf numFmtId="0" fontId="22" fillId="0" borderId="0" xfId="0" applyFont="1" applyFill="1"/>
    <xf numFmtId="14" fontId="22" fillId="0" borderId="154" xfId="0" applyNumberFormat="1" applyFont="1" applyFill="1" applyBorder="1"/>
    <xf numFmtId="14" fontId="22" fillId="0" borderId="155" xfId="0" applyNumberFormat="1" applyFont="1" applyFill="1" applyBorder="1"/>
    <xf numFmtId="20" fontId="22" fillId="0" borderId="155" xfId="0" applyNumberFormat="1" applyFont="1" applyFill="1" applyBorder="1"/>
    <xf numFmtId="0" fontId="22" fillId="0" borderId="153" xfId="0" applyFont="1" applyFill="1" applyBorder="1"/>
    <xf numFmtId="0" fontId="22" fillId="0" borderId="161" xfId="0" applyFont="1" applyFill="1" applyBorder="1"/>
    <xf numFmtId="14" fontId="22" fillId="0" borderId="162" xfId="0" applyNumberFormat="1" applyFont="1" applyFill="1" applyBorder="1"/>
    <xf numFmtId="20" fontId="22" fillId="0" borderId="162" xfId="0" applyNumberFormat="1" applyFont="1" applyFill="1" applyBorder="1"/>
    <xf numFmtId="0" fontId="22" fillId="0" borderId="163" xfId="0" applyFont="1" applyFill="1" applyBorder="1"/>
    <xf numFmtId="0" fontId="22" fillId="0" borderId="162" xfId="0" applyFont="1" applyFill="1" applyBorder="1"/>
    <xf numFmtId="0" fontId="22" fillId="0" borderId="164" xfId="0" applyFont="1" applyFill="1" applyBorder="1"/>
    <xf numFmtId="0" fontId="22" fillId="0" borderId="165" xfId="0" applyFont="1" applyFill="1" applyBorder="1"/>
    <xf numFmtId="20" fontId="22" fillId="0" borderId="165" xfId="0" applyNumberFormat="1" applyFont="1" applyFill="1" applyBorder="1"/>
    <xf numFmtId="0" fontId="22" fillId="0" borderId="166" xfId="0" applyFont="1" applyFill="1" applyBorder="1"/>
    <xf numFmtId="0" fontId="22" fillId="0" borderId="170" xfId="0" applyFont="1" applyFill="1" applyBorder="1"/>
    <xf numFmtId="14" fontId="22" fillId="0" borderId="171" xfId="0" applyNumberFormat="1" applyFont="1" applyFill="1" applyBorder="1"/>
    <xf numFmtId="20" fontId="22" fillId="0" borderId="171" xfId="0" applyNumberFormat="1" applyFont="1" applyFill="1" applyBorder="1"/>
    <xf numFmtId="0" fontId="22" fillId="0" borderId="172" xfId="0" applyFont="1" applyFill="1" applyBorder="1"/>
    <xf numFmtId="0" fontId="0" fillId="10" borderId="0" xfId="0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30" xfId="0" applyBorder="1" applyAlignment="1">
      <alignment horizontal="center"/>
    </xf>
    <xf numFmtId="0" fontId="0" fillId="9" borderId="84" xfId="0" applyFill="1" applyBorder="1" applyAlignment="1">
      <alignment horizontal="center"/>
    </xf>
    <xf numFmtId="0" fontId="0" fillId="9" borderId="85" xfId="0" applyFill="1" applyBorder="1" applyAlignment="1">
      <alignment horizontal="center"/>
    </xf>
    <xf numFmtId="0" fontId="0" fillId="9" borderId="86" xfId="0" applyFill="1" applyBorder="1" applyAlignment="1">
      <alignment horizontal="center"/>
    </xf>
    <xf numFmtId="0" fontId="7" fillId="0" borderId="0" xfId="0" applyFont="1" applyAlignment="1">
      <alignment horizontal="center"/>
    </xf>
    <xf numFmtId="0" fontId="1" fillId="0" borderId="89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1" fillId="0" borderId="17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1" fillId="0" borderId="129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1" fillId="0" borderId="18" xfId="0" applyFont="1" applyBorder="1" applyAlignment="1">
      <alignment horizontal="center"/>
    </xf>
    <xf numFmtId="0" fontId="0" fillId="0" borderId="87" xfId="0" applyBorder="1" applyAlignment="1">
      <alignment horizontal="center"/>
    </xf>
    <xf numFmtId="14" fontId="0" fillId="0" borderId="0" xfId="0" applyNumberFormat="1" applyAlignment="1">
      <alignment horizontal="center"/>
    </xf>
    <xf numFmtId="0" fontId="0" fillId="8" borderId="84" xfId="0" applyFill="1" applyBorder="1" applyAlignment="1">
      <alignment horizontal="center"/>
    </xf>
    <xf numFmtId="0" fontId="0" fillId="8" borderId="85" xfId="0" applyFill="1" applyBorder="1" applyAlignment="1">
      <alignment horizontal="center"/>
    </xf>
    <xf numFmtId="0" fontId="0" fillId="8" borderId="86" xfId="0" applyFill="1" applyBorder="1" applyAlignment="1">
      <alignment horizontal="center"/>
    </xf>
    <xf numFmtId="0" fontId="1" fillId="3" borderId="14" xfId="0" applyFont="1" applyFill="1" applyBorder="1" applyAlignment="1">
      <alignment horizontal="center"/>
    </xf>
    <xf numFmtId="0" fontId="1" fillId="3" borderId="82" xfId="0" applyFont="1" applyFill="1" applyBorder="1" applyAlignment="1">
      <alignment horizontal="center"/>
    </xf>
    <xf numFmtId="0" fontId="1" fillId="3" borderId="83" xfId="0" applyFont="1" applyFill="1" applyBorder="1" applyAlignment="1">
      <alignment horizontal="center"/>
    </xf>
    <xf numFmtId="0" fontId="0" fillId="4" borderId="84" xfId="0" applyFill="1" applyBorder="1" applyAlignment="1">
      <alignment horizontal="center"/>
    </xf>
    <xf numFmtId="0" fontId="0" fillId="4" borderId="85" xfId="0" applyFill="1" applyBorder="1" applyAlignment="1">
      <alignment horizontal="center"/>
    </xf>
    <xf numFmtId="0" fontId="0" fillId="4" borderId="86" xfId="0" applyFill="1" applyBorder="1" applyAlignment="1">
      <alignment horizontal="center"/>
    </xf>
    <xf numFmtId="0" fontId="1" fillId="0" borderId="12" xfId="0" applyFont="1" applyBorder="1" applyAlignment="1">
      <alignment horizontal="left"/>
    </xf>
    <xf numFmtId="0" fontId="1" fillId="0" borderId="13" xfId="0" applyFont="1" applyBorder="1" applyAlignment="1">
      <alignment horizontal="left"/>
    </xf>
    <xf numFmtId="19" fontId="1" fillId="2" borderId="8" xfId="0" applyNumberFormat="1" applyFont="1" applyFill="1" applyBorder="1" applyAlignment="1">
      <alignment horizontal="center"/>
    </xf>
    <xf numFmtId="0" fontId="1" fillId="2" borderId="9" xfId="0" applyFont="1" applyFill="1" applyBorder="1" applyAlignment="1">
      <alignment horizontal="center"/>
    </xf>
    <xf numFmtId="0" fontId="1" fillId="0" borderId="14" xfId="0" applyFont="1" applyBorder="1" applyAlignment="1">
      <alignment horizontal="center" shrinkToFit="1"/>
    </xf>
    <xf numFmtId="0" fontId="0" fillId="0" borderId="82" xfId="0" applyBorder="1" applyAlignment="1">
      <alignment horizontal="center" shrinkToFit="1"/>
    </xf>
    <xf numFmtId="0" fontId="0" fillId="0" borderId="83" xfId="0" applyBorder="1" applyAlignment="1">
      <alignment horizontal="center" shrinkToFit="1"/>
    </xf>
    <xf numFmtId="0" fontId="1" fillId="0" borderId="87" xfId="0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1" fillId="0" borderId="88" xfId="0" applyFont="1" applyBorder="1" applyAlignment="1">
      <alignment horizontal="center"/>
    </xf>
    <xf numFmtId="0" fontId="1" fillId="0" borderId="20" xfId="0" applyFont="1" applyBorder="1" applyAlignment="1">
      <alignment horizontal="center"/>
    </xf>
    <xf numFmtId="0" fontId="11" fillId="0" borderId="0" xfId="0" applyFont="1" applyAlignment="1">
      <alignment horizontal="center" vertical="center"/>
    </xf>
    <xf numFmtId="0" fontId="14" fillId="0" borderId="140" xfId="0" applyFont="1" applyBorder="1" applyAlignment="1">
      <alignment horizontal="center" vertical="center"/>
    </xf>
    <xf numFmtId="0" fontId="14" fillId="0" borderId="24" xfId="0" applyFont="1" applyBorder="1" applyAlignment="1">
      <alignment horizontal="center" vertical="center"/>
    </xf>
    <xf numFmtId="0" fontId="14" fillId="0" borderId="143" xfId="0" applyFont="1" applyBorder="1" applyAlignment="1">
      <alignment horizontal="center" vertical="center"/>
    </xf>
    <xf numFmtId="167" fontId="2" fillId="0" borderId="16" xfId="0" applyNumberFormat="1" applyFont="1" applyBorder="1" applyAlignment="1">
      <alignment horizontal="center" vertical="center"/>
    </xf>
    <xf numFmtId="167" fontId="2" fillId="0" borderId="23" xfId="0" applyNumberFormat="1" applyFont="1" applyBorder="1" applyAlignment="1">
      <alignment horizontal="center" vertical="center"/>
    </xf>
    <xf numFmtId="167" fontId="2" fillId="0" borderId="135" xfId="0" applyNumberFormat="1" applyFont="1" applyBorder="1" applyAlignment="1">
      <alignment horizontal="center" vertical="center"/>
    </xf>
    <xf numFmtId="167" fontId="2" fillId="0" borderId="20" xfId="0" applyNumberFormat="1" applyFont="1" applyBorder="1" applyAlignment="1">
      <alignment horizontal="center" vertical="center"/>
    </xf>
    <xf numFmtId="167" fontId="2" fillId="0" borderId="9" xfId="0" applyNumberFormat="1" applyFont="1" applyBorder="1" applyAlignment="1">
      <alignment horizontal="center" vertical="center"/>
    </xf>
    <xf numFmtId="167" fontId="2" fillId="0" borderId="12" xfId="0" applyNumberFormat="1" applyFont="1" applyBorder="1" applyAlignment="1">
      <alignment horizontal="center" vertical="center"/>
    </xf>
    <xf numFmtId="0" fontId="2" fillId="1" borderId="8" xfId="0" applyFont="1" applyFill="1" applyBorder="1" applyAlignment="1">
      <alignment horizontal="center"/>
    </xf>
    <xf numFmtId="0" fontId="0" fillId="1" borderId="9" xfId="0" applyFill="1" applyBorder="1" applyAlignment="1">
      <alignment horizontal="center"/>
    </xf>
    <xf numFmtId="0" fontId="0" fillId="1" borderId="130" xfId="0" applyFill="1" applyBorder="1" applyAlignment="1">
      <alignment horizontal="center"/>
    </xf>
    <xf numFmtId="0" fontId="0" fillId="0" borderId="137" xfId="0" applyBorder="1"/>
    <xf numFmtId="0" fontId="0" fillId="0" borderId="10" xfId="0" applyBorder="1"/>
    <xf numFmtId="0" fontId="0" fillId="0" borderId="131" xfId="0" applyBorder="1"/>
    <xf numFmtId="0" fontId="0" fillId="0" borderId="112" xfId="0" applyBorder="1"/>
    <xf numFmtId="0" fontId="0" fillId="0" borderId="0" xfId="0"/>
    <xf numFmtId="0" fontId="0" fillId="0" borderId="29" xfId="0" applyBorder="1"/>
    <xf numFmtId="0" fontId="0" fillId="0" borderId="138" xfId="0" applyBorder="1"/>
    <xf numFmtId="0" fontId="0" fillId="0" borderId="139" xfId="0" applyBorder="1"/>
    <xf numFmtId="0" fontId="0" fillId="0" borderId="22" xfId="0" applyBorder="1"/>
    <xf numFmtId="0" fontId="2" fillId="0" borderId="8" xfId="0" applyFont="1" applyBorder="1" applyAlignment="1">
      <alignment horizontal="center"/>
    </xf>
    <xf numFmtId="0" fontId="2" fillId="0" borderId="130" xfId="0" applyFont="1" applyBorder="1" applyAlignment="1">
      <alignment horizontal="center"/>
    </xf>
    <xf numFmtId="167" fontId="2" fillId="0" borderId="20" xfId="0" applyNumberFormat="1" applyFont="1" applyBorder="1" applyAlignment="1">
      <alignment horizontal="center" vertical="center" wrapText="1"/>
    </xf>
    <xf numFmtId="0" fontId="1" fillId="0" borderId="0" xfId="0" applyFont="1" applyAlignment="1">
      <alignment horizontal="center"/>
    </xf>
    <xf numFmtId="0" fontId="13" fillId="0" borderId="140" xfId="0" applyFont="1" applyBorder="1" applyAlignment="1">
      <alignment horizontal="center" vertical="center" textRotation="90" wrapText="1"/>
    </xf>
    <xf numFmtId="0" fontId="13" fillId="0" borderId="24" xfId="0" applyFont="1" applyBorder="1" applyAlignment="1">
      <alignment horizontal="center" vertical="center" textRotation="90" wrapText="1"/>
    </xf>
    <xf numFmtId="0" fontId="13" fillId="0" borderId="142" xfId="0" applyFont="1" applyBorder="1" applyAlignment="1">
      <alignment horizontal="center" vertical="center" textRotation="90" wrapText="1"/>
    </xf>
    <xf numFmtId="0" fontId="2" fillId="0" borderId="16" xfId="0" applyFont="1" applyBorder="1" applyAlignment="1">
      <alignment horizontal="center" vertical="center" wrapText="1"/>
    </xf>
    <xf numFmtId="0" fontId="2" fillId="0" borderId="23" xfId="0" applyFont="1" applyBorder="1" applyAlignment="1">
      <alignment horizontal="center" vertical="center" wrapText="1"/>
    </xf>
    <xf numFmtId="0" fontId="2" fillId="0" borderId="133" xfId="0" applyFont="1" applyBorder="1" applyAlignment="1">
      <alignment horizontal="center" vertical="center" wrapText="1"/>
    </xf>
    <xf numFmtId="0" fontId="0" fillId="0" borderId="16" xfId="0" applyBorder="1" applyAlignment="1">
      <alignment horizontal="center" vertical="center" wrapText="1"/>
    </xf>
    <xf numFmtId="0" fontId="0" fillId="0" borderId="23" xfId="0" applyBorder="1" applyAlignment="1">
      <alignment horizontal="center" vertical="center" wrapText="1"/>
    </xf>
    <xf numFmtId="0" fontId="13" fillId="0" borderId="141" xfId="0" applyFont="1" applyBorder="1" applyAlignment="1">
      <alignment horizontal="center" vertical="center" textRotation="90"/>
    </xf>
    <xf numFmtId="0" fontId="13" fillId="0" borderId="132" xfId="0" applyFont="1" applyBorder="1" applyAlignment="1">
      <alignment horizontal="center" vertical="center" textRotation="90"/>
    </xf>
    <xf numFmtId="0" fontId="2" fillId="0" borderId="18" xfId="0" applyFont="1" applyBorder="1" applyAlignment="1">
      <alignment horizontal="center" vertical="center" wrapText="1"/>
    </xf>
    <xf numFmtId="0" fontId="0" fillId="0" borderId="130" xfId="0" applyBorder="1" applyAlignment="1">
      <alignment horizontal="center" vertical="center" wrapText="1"/>
    </xf>
    <xf numFmtId="0" fontId="2" fillId="0" borderId="82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0" fillId="0" borderId="144" xfId="0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00EE"/>
      <color rgb="FF0A6DE4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7.emf"/><Relationship Id="rId1" Type="http://schemas.openxmlformats.org/officeDocument/2006/relationships/image" Target="../media/image8.emf"/><Relationship Id="rId6" Type="http://schemas.openxmlformats.org/officeDocument/2006/relationships/image" Target="../media/image12.emf"/><Relationship Id="rId5" Type="http://schemas.openxmlformats.org/officeDocument/2006/relationships/image" Target="../media/image11.emf"/><Relationship Id="rId4" Type="http://schemas.openxmlformats.org/officeDocument/2006/relationships/image" Target="../media/image10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2" Type="http://schemas.openxmlformats.org/officeDocument/2006/relationships/image" Target="../media/image16.emf"/><Relationship Id="rId1" Type="http://schemas.openxmlformats.org/officeDocument/2006/relationships/image" Target="../media/image17.emf"/><Relationship Id="rId5" Type="http://schemas.openxmlformats.org/officeDocument/2006/relationships/image" Target="../media/image13.emf"/><Relationship Id="rId4" Type="http://schemas.openxmlformats.org/officeDocument/2006/relationships/image" Target="../media/image1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0</xdr:row>
          <xdr:rowOff>0</xdr:rowOff>
        </xdr:from>
        <xdr:to>
          <xdr:col>13</xdr:col>
          <xdr:colOff>0</xdr:colOff>
          <xdr:row>1</xdr:row>
          <xdr:rowOff>38100</xdr:rowOff>
        </xdr:to>
        <xdr:sp macro="" textlink="">
          <xdr:nvSpPr>
            <xdr:cNvPr id="4103" name="MonthMinus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0</xdr:row>
          <xdr:rowOff>0</xdr:rowOff>
        </xdr:from>
        <xdr:to>
          <xdr:col>17</xdr:col>
          <xdr:colOff>0</xdr:colOff>
          <xdr:row>1</xdr:row>
          <xdr:rowOff>38100</xdr:rowOff>
        </xdr:to>
        <xdr:sp macro="" textlink="">
          <xdr:nvSpPr>
            <xdr:cNvPr id="4104" name="MonthPlus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9525</xdr:colOff>
          <xdr:row>6</xdr:row>
          <xdr:rowOff>19050</xdr:rowOff>
        </xdr:from>
        <xdr:to>
          <xdr:col>37</xdr:col>
          <xdr:colOff>381000</xdr:colOff>
          <xdr:row>7</xdr:row>
          <xdr:rowOff>171450</xdr:rowOff>
        </xdr:to>
        <xdr:sp macro="" textlink="">
          <xdr:nvSpPr>
            <xdr:cNvPr id="4106" name="PrtRecap_btn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0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9525</xdr:colOff>
          <xdr:row>10</xdr:row>
          <xdr:rowOff>9525</xdr:rowOff>
        </xdr:from>
        <xdr:to>
          <xdr:col>37</xdr:col>
          <xdr:colOff>390525</xdr:colOff>
          <xdr:row>12</xdr:row>
          <xdr:rowOff>0</xdr:rowOff>
        </xdr:to>
        <xdr:sp macro="" textlink="">
          <xdr:nvSpPr>
            <xdr:cNvPr id="4107" name="PrtFHebdo_btn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0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66675</xdr:colOff>
          <xdr:row>3</xdr:row>
          <xdr:rowOff>161925</xdr:rowOff>
        </xdr:from>
        <xdr:to>
          <xdr:col>39</xdr:col>
          <xdr:colOff>361950</xdr:colOff>
          <xdr:row>5</xdr:row>
          <xdr:rowOff>57150</xdr:rowOff>
        </xdr:to>
        <xdr:sp macro="" textlink="">
          <xdr:nvSpPr>
            <xdr:cNvPr id="4111" name="ActuPrt_btn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0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238125</xdr:colOff>
          <xdr:row>12</xdr:row>
          <xdr:rowOff>85725</xdr:rowOff>
        </xdr:from>
        <xdr:to>
          <xdr:col>37</xdr:col>
          <xdr:colOff>142875</xdr:colOff>
          <xdr:row>13</xdr:row>
          <xdr:rowOff>152400</xdr:rowOff>
        </xdr:to>
        <xdr:sp macro="" textlink="">
          <xdr:nvSpPr>
            <xdr:cNvPr id="4113" name="ChkPreview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0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</xdr:row>
          <xdr:rowOff>123825</xdr:rowOff>
        </xdr:from>
        <xdr:to>
          <xdr:col>7</xdr:col>
          <xdr:colOff>390525</xdr:colOff>
          <xdr:row>4</xdr:row>
          <xdr:rowOff>76200</xdr:rowOff>
        </xdr:to>
        <xdr:sp macro="" textlink="">
          <xdr:nvSpPr>
            <xdr:cNvPr id="10242" name="DatePickerBtn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1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</xdr:row>
          <xdr:rowOff>180975</xdr:rowOff>
        </xdr:from>
        <xdr:to>
          <xdr:col>4</xdr:col>
          <xdr:colOff>647700</xdr:colOff>
          <xdr:row>13</xdr:row>
          <xdr:rowOff>66675</xdr:rowOff>
        </xdr:to>
        <xdr:sp macro="" textlink="">
          <xdr:nvSpPr>
            <xdr:cNvPr id="10243" name="DisableBtn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1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11</xdr:row>
          <xdr:rowOff>180975</xdr:rowOff>
        </xdr:from>
        <xdr:to>
          <xdr:col>7</xdr:col>
          <xdr:colOff>0</xdr:colOff>
          <xdr:row>13</xdr:row>
          <xdr:rowOff>66675</xdr:rowOff>
        </xdr:to>
        <xdr:sp macro="" textlink="">
          <xdr:nvSpPr>
            <xdr:cNvPr id="10248" name="DelBtn" hidden="1">
              <a:extLst>
                <a:ext uri="{63B3BB69-23CF-44E3-9099-C40C66FF867C}">
                  <a14:compatExt spid="_x0000_s10248"/>
                </a:ext>
                <a:ext uri="{FF2B5EF4-FFF2-40B4-BE49-F238E27FC236}">
                  <a16:creationId xmlns:a16="http://schemas.microsoft.com/office/drawing/2014/main" id="{00000000-0008-0000-0100-00000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18</xdr:row>
          <xdr:rowOff>38100</xdr:rowOff>
        </xdr:from>
        <xdr:to>
          <xdr:col>6</xdr:col>
          <xdr:colOff>647700</xdr:colOff>
          <xdr:row>19</xdr:row>
          <xdr:rowOff>114300</xdr:rowOff>
        </xdr:to>
        <xdr:sp macro="" textlink="">
          <xdr:nvSpPr>
            <xdr:cNvPr id="10249" name="NewPtBtn" hidden="1">
              <a:extLst>
                <a:ext uri="{63B3BB69-23CF-44E3-9099-C40C66FF867C}">
                  <a14:compatExt spid="_x0000_s10249"/>
                </a:ext>
                <a:ext uri="{FF2B5EF4-FFF2-40B4-BE49-F238E27FC236}">
                  <a16:creationId xmlns:a16="http://schemas.microsoft.com/office/drawing/2014/main" id="{00000000-0008-0000-0100-00000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11</xdr:row>
          <xdr:rowOff>171450</xdr:rowOff>
        </xdr:from>
        <xdr:to>
          <xdr:col>7</xdr:col>
          <xdr:colOff>1876425</xdr:colOff>
          <xdr:row>13</xdr:row>
          <xdr:rowOff>57150</xdr:rowOff>
        </xdr:to>
        <xdr:sp macro="" textlink="">
          <xdr:nvSpPr>
            <xdr:cNvPr id="10250" name="CorrBtn" hidden="1">
              <a:extLst>
                <a:ext uri="{63B3BB69-23CF-44E3-9099-C40C66FF867C}">
                  <a14:compatExt spid="_x0000_s10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13</xdr:row>
          <xdr:rowOff>152400</xdr:rowOff>
        </xdr:from>
        <xdr:to>
          <xdr:col>7</xdr:col>
          <xdr:colOff>1876425</xdr:colOff>
          <xdr:row>15</xdr:row>
          <xdr:rowOff>57150</xdr:rowOff>
        </xdr:to>
        <xdr:sp macro="" textlink="">
          <xdr:nvSpPr>
            <xdr:cNvPr id="10251" name="CorrRejBtn" hidden="1">
              <a:extLst>
                <a:ext uri="{63B3BB69-23CF-44E3-9099-C40C66FF867C}">
                  <a14:compatExt spid="_x0000_s102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742950</xdr:colOff>
          <xdr:row>0</xdr:row>
          <xdr:rowOff>190500</xdr:rowOff>
        </xdr:from>
        <xdr:to>
          <xdr:col>7</xdr:col>
          <xdr:colOff>514350</xdr:colOff>
          <xdr:row>2</xdr:row>
          <xdr:rowOff>66675</xdr:rowOff>
        </xdr:to>
        <xdr:sp macro="" textlink="">
          <xdr:nvSpPr>
            <xdr:cNvPr id="3073" name="DL_Pointages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457200</xdr:colOff>
          <xdr:row>31</xdr:row>
          <xdr:rowOff>0</xdr:rowOff>
        </xdr:from>
        <xdr:to>
          <xdr:col>2</xdr:col>
          <xdr:colOff>257175</xdr:colOff>
          <xdr:row>32</xdr:row>
          <xdr:rowOff>161925</xdr:rowOff>
        </xdr:to>
        <xdr:sp macro="" textlink="">
          <xdr:nvSpPr>
            <xdr:cNvPr id="3074" name="Upt_list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400050</xdr:colOff>
          <xdr:row>35</xdr:row>
          <xdr:rowOff>142875</xdr:rowOff>
        </xdr:from>
        <xdr:to>
          <xdr:col>3</xdr:col>
          <xdr:colOff>171450</xdr:colOff>
          <xdr:row>37</xdr:row>
          <xdr:rowOff>66675</xdr:rowOff>
        </xdr:to>
        <xdr:sp macro="" textlink="">
          <xdr:nvSpPr>
            <xdr:cNvPr id="3075" name="ReadCfg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44</xdr:row>
          <xdr:rowOff>180975</xdr:rowOff>
        </xdr:from>
        <xdr:to>
          <xdr:col>3</xdr:col>
          <xdr:colOff>238125</xdr:colOff>
          <xdr:row>46</xdr:row>
          <xdr:rowOff>114300</xdr:rowOff>
        </xdr:to>
        <xdr:sp macro="" textlink="">
          <xdr:nvSpPr>
            <xdr:cNvPr id="3076" name="UpdtCfg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28</xdr:row>
          <xdr:rowOff>180975</xdr:rowOff>
        </xdr:from>
        <xdr:to>
          <xdr:col>8</xdr:col>
          <xdr:colOff>457200</xdr:colOff>
          <xdr:row>30</xdr:row>
          <xdr:rowOff>133350</xdr:rowOff>
        </xdr:to>
        <xdr:sp macro="" textlink="">
          <xdr:nvSpPr>
            <xdr:cNvPr id="3078" name="ImportBtn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2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13" Type="http://schemas.openxmlformats.org/officeDocument/2006/relationships/control" Target="../activeX/activeX12.xml"/><Relationship Id="rId3" Type="http://schemas.openxmlformats.org/officeDocument/2006/relationships/control" Target="../activeX/activeX7.xml"/><Relationship Id="rId7" Type="http://schemas.openxmlformats.org/officeDocument/2006/relationships/control" Target="../activeX/activeX9.xml"/><Relationship Id="rId12" Type="http://schemas.openxmlformats.org/officeDocument/2006/relationships/image" Target="../media/image11.emf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8.emf"/><Relationship Id="rId11" Type="http://schemas.openxmlformats.org/officeDocument/2006/relationships/control" Target="../activeX/activeX11.xml"/><Relationship Id="rId5" Type="http://schemas.openxmlformats.org/officeDocument/2006/relationships/control" Target="../activeX/activeX8.xml"/><Relationship Id="rId10" Type="http://schemas.openxmlformats.org/officeDocument/2006/relationships/image" Target="../media/image10.emf"/><Relationship Id="rId4" Type="http://schemas.openxmlformats.org/officeDocument/2006/relationships/image" Target="../media/image7.emf"/><Relationship Id="rId9" Type="http://schemas.openxmlformats.org/officeDocument/2006/relationships/control" Target="../activeX/activeX10.xml"/><Relationship Id="rId14" Type="http://schemas.openxmlformats.org/officeDocument/2006/relationships/image" Target="../media/image12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.xml"/><Relationship Id="rId13" Type="http://schemas.openxmlformats.org/officeDocument/2006/relationships/image" Target="../media/image17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4.emf"/><Relationship Id="rId12" Type="http://schemas.openxmlformats.org/officeDocument/2006/relationships/control" Target="../activeX/activeX17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4.xml"/><Relationship Id="rId11" Type="http://schemas.openxmlformats.org/officeDocument/2006/relationships/image" Target="../media/image16.emf"/><Relationship Id="rId5" Type="http://schemas.openxmlformats.org/officeDocument/2006/relationships/image" Target="../media/image13.emf"/><Relationship Id="rId10" Type="http://schemas.openxmlformats.org/officeDocument/2006/relationships/control" Target="../activeX/activeX16.xml"/><Relationship Id="rId4" Type="http://schemas.openxmlformats.org/officeDocument/2006/relationships/control" Target="../activeX/activeX13.xml"/><Relationship Id="rId9" Type="http://schemas.openxmlformats.org/officeDocument/2006/relationships/image" Target="../media/image15.emf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B1:BA97"/>
  <sheetViews>
    <sheetView showZeros="0" topLeftCell="C1" zoomScaleNormal="100" workbookViewId="0">
      <selection activeCell="D2" sqref="D2"/>
    </sheetView>
  </sheetViews>
  <sheetFormatPr baseColWidth="10" defaultRowHeight="15" x14ac:dyDescent="0.25"/>
  <cols>
    <col min="1" max="1" width="4.28515625" customWidth="1"/>
    <col min="2" max="2" width="9.42578125" customWidth="1"/>
    <col min="4" max="45" width="6" customWidth="1"/>
    <col min="53" max="53" width="0" hidden="1" customWidth="1"/>
  </cols>
  <sheetData>
    <row r="1" spans="3:53" ht="16.5" thickBot="1" x14ac:dyDescent="0.3">
      <c r="M1" s="32"/>
      <c r="N1" s="309" t="s">
        <v>105</v>
      </c>
      <c r="O1" s="309"/>
      <c r="P1" s="309"/>
      <c r="Q1" s="32"/>
      <c r="S1" s="309">
        <v>2025</v>
      </c>
      <c r="T1" s="309"/>
      <c r="X1" t="s">
        <v>38</v>
      </c>
      <c r="AA1" s="302" t="s">
        <v>104</v>
      </c>
      <c r="AB1" s="302"/>
      <c r="BA1" t="s">
        <v>92</v>
      </c>
    </row>
    <row r="2" spans="3:53" ht="15.75" thickBot="1" x14ac:dyDescent="0.3">
      <c r="E2" s="306" t="s">
        <v>99</v>
      </c>
      <c r="F2" s="307"/>
      <c r="G2" s="308"/>
      <c r="AF2" s="195"/>
      <c r="AG2" s="196"/>
      <c r="AH2" s="196"/>
      <c r="AI2" s="196"/>
      <c r="AJ2" s="196"/>
      <c r="AK2" s="196"/>
      <c r="AL2" s="196"/>
      <c r="AM2" s="196"/>
      <c r="AN2" s="197"/>
      <c r="BA2" t="s">
        <v>75</v>
      </c>
    </row>
    <row r="3" spans="3:53" x14ac:dyDescent="0.25">
      <c r="AF3" s="198"/>
      <c r="AG3" s="302" t="s">
        <v>101</v>
      </c>
      <c r="AH3" s="302"/>
      <c r="AI3" s="302"/>
      <c r="AJ3" s="302"/>
      <c r="AK3" s="302"/>
      <c r="AL3" s="302"/>
      <c r="AM3" s="302"/>
      <c r="AN3" s="199"/>
      <c r="BA3" t="s">
        <v>76</v>
      </c>
    </row>
    <row r="4" spans="3:53" x14ac:dyDescent="0.25">
      <c r="D4" s="270"/>
      <c r="E4" s="270"/>
      <c r="F4" s="270"/>
      <c r="G4" s="270"/>
      <c r="H4" s="270"/>
      <c r="I4" s="270"/>
      <c r="J4" s="271"/>
      <c r="K4" s="270"/>
      <c r="L4" s="270"/>
      <c r="M4" s="270"/>
      <c r="N4" s="270"/>
      <c r="O4" s="270"/>
      <c r="P4" s="270"/>
      <c r="Q4" s="271"/>
      <c r="R4" s="270"/>
      <c r="S4" s="270"/>
      <c r="T4" s="270"/>
      <c r="U4" s="270"/>
      <c r="V4" s="270"/>
      <c r="W4" s="270"/>
      <c r="X4" s="271"/>
      <c r="Y4" s="270"/>
      <c r="Z4" s="270"/>
      <c r="AA4" s="270"/>
      <c r="AB4" s="270"/>
      <c r="AC4" s="270"/>
      <c r="AD4" s="270"/>
      <c r="AF4" s="198"/>
      <c r="AJ4" s="202" t="s">
        <v>64</v>
      </c>
      <c r="AN4" s="199"/>
      <c r="BA4" t="s">
        <v>65</v>
      </c>
    </row>
    <row r="5" spans="3:53" x14ac:dyDescent="0.25">
      <c r="C5" s="4"/>
      <c r="D5" s="270"/>
      <c r="E5" s="270"/>
      <c r="F5" s="270"/>
      <c r="G5" s="270"/>
      <c r="H5" s="270"/>
      <c r="I5" s="270"/>
      <c r="J5" s="270"/>
      <c r="K5" s="270"/>
      <c r="L5" s="270"/>
      <c r="M5" s="270"/>
      <c r="N5" s="270"/>
      <c r="O5" s="270"/>
      <c r="P5" s="270"/>
      <c r="Q5" s="271"/>
      <c r="R5" s="270"/>
      <c r="S5" s="270"/>
      <c r="T5" s="270"/>
      <c r="U5" s="270"/>
      <c r="V5" s="270"/>
      <c r="W5" s="270"/>
      <c r="X5" s="271"/>
      <c r="Y5" s="270"/>
      <c r="Z5" s="270"/>
      <c r="AA5" s="270"/>
      <c r="AB5" s="270"/>
      <c r="AC5" s="270"/>
      <c r="AD5" s="270"/>
      <c r="AF5" s="198"/>
      <c r="AG5" s="303" t="s">
        <v>65</v>
      </c>
      <c r="AH5" s="304"/>
      <c r="AI5" s="304"/>
      <c r="AJ5" s="304"/>
      <c r="AK5" s="304"/>
      <c r="AL5" s="304"/>
      <c r="AM5" s="305"/>
      <c r="AN5" s="199"/>
      <c r="BA5" t="s">
        <v>93</v>
      </c>
    </row>
    <row r="6" spans="3:53" x14ac:dyDescent="0.25">
      <c r="C6" s="4"/>
      <c r="D6" s="270"/>
      <c r="E6" s="270"/>
      <c r="F6" s="272"/>
      <c r="G6" s="272"/>
      <c r="H6" s="272"/>
      <c r="I6" s="272"/>
      <c r="J6" s="270"/>
      <c r="K6" s="270"/>
      <c r="L6" s="270"/>
      <c r="M6" s="272"/>
      <c r="N6" s="272"/>
      <c r="O6" s="272"/>
      <c r="P6" s="272"/>
      <c r="Q6" s="271"/>
      <c r="R6" s="270"/>
      <c r="S6" s="270"/>
      <c r="T6" s="272"/>
      <c r="U6" s="272"/>
      <c r="V6" s="272"/>
      <c r="W6" s="272"/>
      <c r="X6" s="271"/>
      <c r="Y6" s="270"/>
      <c r="Z6" s="270"/>
      <c r="AA6" s="272"/>
      <c r="AB6" s="272"/>
      <c r="AC6" s="272"/>
      <c r="AD6" s="272"/>
      <c r="AF6" s="198"/>
      <c r="AN6" s="199"/>
      <c r="BA6" t="s">
        <v>77</v>
      </c>
    </row>
    <row r="7" spans="3:53" x14ac:dyDescent="0.25">
      <c r="C7" s="4"/>
      <c r="D7" s="270"/>
      <c r="E7" s="270"/>
      <c r="F7" s="272"/>
      <c r="G7" s="272"/>
      <c r="H7" s="272"/>
      <c r="I7" s="272"/>
      <c r="J7" s="270"/>
      <c r="K7" s="270"/>
      <c r="L7" s="270"/>
      <c r="M7" s="272"/>
      <c r="N7" s="272"/>
      <c r="O7" s="272"/>
      <c r="P7" s="272"/>
      <c r="Q7" s="271"/>
      <c r="R7" s="270"/>
      <c r="S7" s="270"/>
      <c r="T7" s="272"/>
      <c r="U7" s="272"/>
      <c r="V7" s="272"/>
      <c r="W7" s="272"/>
      <c r="X7" s="271"/>
      <c r="Y7" s="270"/>
      <c r="Z7" s="270"/>
      <c r="AA7" s="272"/>
      <c r="AB7" s="272"/>
      <c r="AC7" s="272"/>
      <c r="AD7" s="272"/>
      <c r="AF7" s="198"/>
      <c r="AN7" s="199"/>
      <c r="BA7" t="s">
        <v>94</v>
      </c>
    </row>
    <row r="8" spans="3:53" x14ac:dyDescent="0.25">
      <c r="C8" s="4"/>
      <c r="D8" s="270"/>
      <c r="E8" s="270"/>
      <c r="F8" s="272"/>
      <c r="G8" s="272"/>
      <c r="H8" s="272"/>
      <c r="I8" s="272"/>
      <c r="J8" s="271"/>
      <c r="K8" s="270"/>
      <c r="L8" s="270"/>
      <c r="M8" s="272"/>
      <c r="N8" s="272"/>
      <c r="O8" s="272"/>
      <c r="P8" s="272"/>
      <c r="Q8" s="271"/>
      <c r="R8" s="270"/>
      <c r="S8" s="270"/>
      <c r="T8" s="272"/>
      <c r="U8" s="272"/>
      <c r="V8" s="272"/>
      <c r="W8" s="272"/>
      <c r="X8" s="271"/>
      <c r="Y8" s="270"/>
      <c r="Z8" s="270"/>
      <c r="AA8" s="272"/>
      <c r="AB8" s="272"/>
      <c r="AC8" s="272"/>
      <c r="AD8" s="272"/>
      <c r="AF8" s="198"/>
      <c r="AN8" s="199"/>
      <c r="BA8" t="s">
        <v>95</v>
      </c>
    </row>
    <row r="9" spans="3:53" x14ac:dyDescent="0.25">
      <c r="C9" s="4"/>
      <c r="D9" s="270"/>
      <c r="E9" s="270"/>
      <c r="F9" s="272"/>
      <c r="G9" s="272"/>
      <c r="H9" s="272"/>
      <c r="I9" s="272"/>
      <c r="J9" s="271"/>
      <c r="K9" s="270"/>
      <c r="L9" s="270"/>
      <c r="M9" s="272"/>
      <c r="N9" s="272"/>
      <c r="O9" s="272"/>
      <c r="P9" s="272"/>
      <c r="Q9" s="271"/>
      <c r="R9" s="270"/>
      <c r="S9" s="270"/>
      <c r="T9" s="272"/>
      <c r="U9" s="272"/>
      <c r="V9" s="272"/>
      <c r="W9" s="272"/>
      <c r="X9" s="271"/>
      <c r="Y9" s="270"/>
      <c r="Z9" s="270"/>
      <c r="AA9" s="272"/>
      <c r="AB9" s="272"/>
      <c r="AC9" s="272"/>
      <c r="AD9" s="272"/>
      <c r="AF9" s="198"/>
      <c r="AN9" s="199"/>
      <c r="BA9" t="s">
        <v>96</v>
      </c>
    </row>
    <row r="10" spans="3:53" x14ac:dyDescent="0.25">
      <c r="C10" s="4"/>
      <c r="D10" s="270"/>
      <c r="E10" s="270"/>
      <c r="F10" s="272"/>
      <c r="G10" s="272"/>
      <c r="H10" s="272"/>
      <c r="I10" s="272"/>
      <c r="J10" s="271"/>
      <c r="K10" s="270"/>
      <c r="L10" s="270"/>
      <c r="M10" s="272"/>
      <c r="N10" s="272"/>
      <c r="O10" s="272"/>
      <c r="P10" s="272"/>
      <c r="Q10" s="271"/>
      <c r="R10" s="270"/>
      <c r="S10" s="270"/>
      <c r="T10" s="272"/>
      <c r="U10" s="272"/>
      <c r="V10" s="272"/>
      <c r="W10" s="272"/>
      <c r="X10" s="271"/>
      <c r="Y10" s="270"/>
      <c r="Z10" s="270"/>
      <c r="AA10" s="272"/>
      <c r="AB10" s="272"/>
      <c r="AC10" s="272"/>
      <c r="AD10" s="272"/>
      <c r="AF10" s="198"/>
      <c r="AN10" s="199"/>
    </row>
    <row r="11" spans="3:53" x14ac:dyDescent="0.25">
      <c r="C11" s="4"/>
      <c r="D11" s="270"/>
      <c r="E11" s="270"/>
      <c r="F11" s="272"/>
      <c r="G11" s="272"/>
      <c r="H11" s="272"/>
      <c r="I11" s="272"/>
      <c r="J11" s="271"/>
      <c r="K11" s="270"/>
      <c r="L11" s="270"/>
      <c r="M11" s="272"/>
      <c r="N11" s="272"/>
      <c r="O11" s="272"/>
      <c r="P11" s="272"/>
      <c r="Q11" s="271"/>
      <c r="R11" s="270"/>
      <c r="S11" s="270"/>
      <c r="T11" s="272"/>
      <c r="U11" s="272"/>
      <c r="V11" s="272"/>
      <c r="W11" s="272"/>
      <c r="X11" s="271"/>
      <c r="Y11" s="270"/>
      <c r="Z11" s="270"/>
      <c r="AA11" s="272"/>
      <c r="AB11" s="272"/>
      <c r="AC11" s="272"/>
      <c r="AD11" s="272"/>
      <c r="AF11" s="198"/>
      <c r="AN11" s="199"/>
    </row>
    <row r="12" spans="3:53" x14ac:dyDescent="0.25">
      <c r="C12" s="4"/>
      <c r="D12" s="271"/>
      <c r="E12" s="271"/>
      <c r="F12" s="271"/>
      <c r="G12" s="271"/>
      <c r="H12" s="271"/>
      <c r="I12" s="271"/>
      <c r="J12" s="271"/>
      <c r="K12" s="271"/>
      <c r="L12" s="271"/>
      <c r="M12" s="271"/>
      <c r="N12" s="271"/>
      <c r="O12" s="271"/>
      <c r="P12" s="271"/>
      <c r="Q12" s="271"/>
      <c r="R12" s="271"/>
      <c r="S12" s="271"/>
      <c r="T12" s="271"/>
      <c r="U12" s="271"/>
      <c r="V12" s="271"/>
      <c r="W12" s="271"/>
      <c r="X12" s="271"/>
      <c r="Y12" s="271"/>
      <c r="Z12" s="271"/>
      <c r="AA12" s="271"/>
      <c r="AB12" s="271"/>
      <c r="AC12" s="271"/>
      <c r="AD12" s="271"/>
      <c r="AF12" s="198"/>
      <c r="AN12" s="199"/>
    </row>
    <row r="13" spans="3:53" x14ac:dyDescent="0.25">
      <c r="C13" s="4"/>
      <c r="D13" s="270"/>
      <c r="E13" s="270"/>
      <c r="F13" s="270"/>
      <c r="G13" s="270"/>
      <c r="H13" s="270"/>
      <c r="I13" s="270"/>
      <c r="J13" s="271"/>
      <c r="K13" s="270"/>
      <c r="L13" s="270"/>
      <c r="M13" s="270"/>
      <c r="N13" s="270"/>
      <c r="O13" s="270"/>
      <c r="P13" s="270"/>
      <c r="Q13" s="271"/>
      <c r="R13" s="270"/>
      <c r="S13" s="270"/>
      <c r="T13" s="270"/>
      <c r="U13" s="270"/>
      <c r="V13" s="270"/>
      <c r="W13" s="270"/>
      <c r="X13" s="271"/>
      <c r="Y13" s="270"/>
      <c r="Z13" s="270"/>
      <c r="AA13" s="270"/>
      <c r="AB13" s="270"/>
      <c r="AC13" s="270"/>
      <c r="AD13" s="270"/>
      <c r="AF13" s="198"/>
      <c r="AN13" s="199"/>
    </row>
    <row r="14" spans="3:53" ht="15.75" thickBot="1" x14ac:dyDescent="0.3">
      <c r="C14" s="4"/>
      <c r="D14" s="270"/>
      <c r="E14" s="270"/>
      <c r="F14" s="270"/>
      <c r="G14" s="270"/>
      <c r="H14" s="270"/>
      <c r="I14" s="270"/>
      <c r="J14" s="271"/>
      <c r="K14" s="270"/>
      <c r="L14" s="270"/>
      <c r="M14" s="270"/>
      <c r="N14" s="270"/>
      <c r="O14" s="270"/>
      <c r="P14" s="270"/>
      <c r="Q14" s="271"/>
      <c r="R14" s="270"/>
      <c r="S14" s="270"/>
      <c r="T14" s="270"/>
      <c r="U14" s="270"/>
      <c r="V14" s="270"/>
      <c r="W14" s="270"/>
      <c r="X14" s="271"/>
      <c r="Y14" s="270"/>
      <c r="Z14" s="270"/>
      <c r="AA14" s="270"/>
      <c r="AB14" s="270"/>
      <c r="AC14" s="270"/>
      <c r="AD14" s="270"/>
      <c r="AF14" s="228"/>
      <c r="AG14" s="227">
        <v>6</v>
      </c>
      <c r="AH14" s="200"/>
      <c r="AI14" s="200"/>
      <c r="AJ14" s="200"/>
      <c r="AK14" s="200"/>
      <c r="AL14" s="200"/>
      <c r="AM14" s="200"/>
      <c r="AN14" s="201"/>
    </row>
    <row r="15" spans="3:53" x14ac:dyDescent="0.25">
      <c r="C15" s="4"/>
      <c r="D15" s="270"/>
      <c r="E15" s="270"/>
      <c r="F15" s="272"/>
      <c r="G15" s="272"/>
      <c r="H15" s="272"/>
      <c r="I15" s="272"/>
      <c r="J15" s="271"/>
      <c r="K15" s="270"/>
      <c r="L15" s="270"/>
      <c r="M15" s="272"/>
      <c r="N15" s="272"/>
      <c r="O15" s="272"/>
      <c r="P15" s="272"/>
      <c r="Q15" s="271"/>
      <c r="R15" s="270"/>
      <c r="S15" s="270"/>
      <c r="T15" s="272"/>
      <c r="U15" s="272"/>
      <c r="V15" s="272"/>
      <c r="W15" s="272"/>
      <c r="X15" s="271"/>
      <c r="Y15" s="270"/>
      <c r="Z15" s="270"/>
      <c r="AA15" s="272"/>
      <c r="AB15" s="272"/>
      <c r="AC15" s="272"/>
      <c r="AD15" s="272"/>
    </row>
    <row r="16" spans="3:53" x14ac:dyDescent="0.25">
      <c r="C16" s="4"/>
      <c r="D16" s="270"/>
      <c r="E16" s="270"/>
      <c r="F16" s="272"/>
      <c r="G16" s="272"/>
      <c r="H16" s="272"/>
      <c r="I16" s="272"/>
      <c r="J16" s="271"/>
      <c r="K16" s="270"/>
      <c r="L16" s="270"/>
      <c r="M16" s="272"/>
      <c r="N16" s="272"/>
      <c r="O16" s="272"/>
      <c r="P16" s="272"/>
      <c r="Q16" s="271"/>
      <c r="R16" s="270"/>
      <c r="S16" s="270"/>
      <c r="T16" s="272"/>
      <c r="U16" s="272"/>
      <c r="V16" s="272"/>
      <c r="W16" s="272"/>
      <c r="X16" s="271"/>
      <c r="Y16" s="270"/>
      <c r="Z16" s="270"/>
      <c r="AA16" s="272"/>
      <c r="AB16" s="272"/>
      <c r="AC16" s="272"/>
      <c r="AD16" s="272"/>
    </row>
    <row r="17" spans="2:30" x14ac:dyDescent="0.25">
      <c r="C17" s="4"/>
      <c r="D17" s="270"/>
      <c r="E17" s="270"/>
      <c r="F17" s="272"/>
      <c r="G17" s="272"/>
      <c r="H17" s="272"/>
      <c r="I17" s="272"/>
      <c r="J17" s="271"/>
      <c r="K17" s="270"/>
      <c r="L17" s="270"/>
      <c r="M17" s="272"/>
      <c r="N17" s="272"/>
      <c r="O17" s="272"/>
      <c r="P17" s="272"/>
      <c r="Q17" s="271"/>
      <c r="R17" s="270"/>
      <c r="S17" s="270"/>
      <c r="T17" s="272"/>
      <c r="U17" s="272"/>
      <c r="V17" s="272"/>
      <c r="W17" s="272"/>
      <c r="X17" s="271"/>
      <c r="Y17" s="270"/>
      <c r="Z17" s="270"/>
      <c r="AA17" s="272"/>
      <c r="AB17" s="272"/>
      <c r="AC17" s="272"/>
      <c r="AD17" s="272"/>
    </row>
    <row r="18" spans="2:30" x14ac:dyDescent="0.25">
      <c r="C18" s="4"/>
      <c r="D18" s="270"/>
      <c r="E18" s="270"/>
      <c r="F18" s="272"/>
      <c r="G18" s="272"/>
      <c r="H18" s="272"/>
      <c r="I18" s="272"/>
      <c r="J18" s="271"/>
      <c r="K18" s="270"/>
      <c r="L18" s="270"/>
      <c r="M18" s="272"/>
      <c r="N18" s="272"/>
      <c r="O18" s="272"/>
      <c r="P18" s="272"/>
      <c r="Q18" s="271"/>
      <c r="R18" s="270"/>
      <c r="S18" s="270"/>
      <c r="T18" s="272"/>
      <c r="U18" s="272"/>
      <c r="V18" s="272"/>
      <c r="W18" s="272"/>
      <c r="X18" s="271"/>
      <c r="Y18" s="270"/>
      <c r="Z18" s="270"/>
      <c r="AA18" s="272"/>
      <c r="AB18" s="272"/>
      <c r="AC18" s="272"/>
      <c r="AD18" s="272"/>
    </row>
    <row r="19" spans="2:30" x14ac:dyDescent="0.25">
      <c r="C19" s="4"/>
      <c r="D19" s="270"/>
      <c r="E19" s="270"/>
      <c r="F19" s="272"/>
      <c r="G19" s="272"/>
      <c r="H19" s="272"/>
      <c r="I19" s="272"/>
      <c r="J19" s="271"/>
      <c r="K19" s="270"/>
      <c r="L19" s="270"/>
      <c r="M19" s="272"/>
      <c r="N19" s="272"/>
      <c r="O19" s="272"/>
      <c r="P19" s="272"/>
      <c r="Q19" s="271"/>
      <c r="R19" s="270"/>
      <c r="S19" s="270"/>
      <c r="T19" s="272"/>
      <c r="U19" s="272"/>
      <c r="V19" s="272"/>
      <c r="W19" s="272"/>
      <c r="X19" s="271"/>
      <c r="Y19" s="270"/>
      <c r="Z19" s="270"/>
      <c r="AA19" s="272"/>
      <c r="AB19" s="272"/>
      <c r="AC19" s="272"/>
      <c r="AD19" s="272"/>
    </row>
    <row r="20" spans="2:30" x14ac:dyDescent="0.25">
      <c r="C20" s="4"/>
      <c r="D20" s="270"/>
      <c r="E20" s="270"/>
      <c r="F20" s="272"/>
      <c r="G20" s="272"/>
      <c r="H20" s="272"/>
      <c r="I20" s="272"/>
      <c r="J20" s="271"/>
      <c r="K20" s="270"/>
      <c r="L20" s="270"/>
      <c r="M20" s="272"/>
      <c r="N20" s="272"/>
      <c r="O20" s="272"/>
      <c r="P20" s="272"/>
      <c r="Q20" s="271"/>
      <c r="R20" s="270"/>
      <c r="S20" s="270"/>
      <c r="T20" s="272"/>
      <c r="U20" s="272"/>
      <c r="V20" s="272"/>
      <c r="W20" s="272"/>
      <c r="X20" s="271"/>
      <c r="Y20" s="270"/>
      <c r="Z20" s="270"/>
      <c r="AA20" s="272"/>
      <c r="AB20" s="272"/>
      <c r="AC20" s="272"/>
      <c r="AD20" s="272"/>
    </row>
    <row r="21" spans="2:30" x14ac:dyDescent="0.25">
      <c r="C21" s="4"/>
    </row>
    <row r="22" spans="2:30" ht="15.75" thickBot="1" x14ac:dyDescent="0.3">
      <c r="C22" s="4"/>
    </row>
    <row r="23" spans="2:30" ht="15.75" thickBot="1" x14ac:dyDescent="0.3">
      <c r="C23" s="4"/>
      <c r="I23" s="303"/>
      <c r="J23" s="304"/>
      <c r="K23" s="304"/>
      <c r="L23" s="304"/>
      <c r="M23" s="304"/>
      <c r="N23" s="305"/>
      <c r="Q23" s="247"/>
      <c r="R23" s="319" t="s">
        <v>69</v>
      </c>
      <c r="S23" s="304"/>
      <c r="T23" s="304"/>
      <c r="U23" s="304"/>
      <c r="V23" s="305"/>
    </row>
    <row r="24" spans="2:30" ht="15.75" thickBot="1" x14ac:dyDescent="0.3">
      <c r="B24" s="314" t="s">
        <v>4</v>
      </c>
      <c r="C24" s="315"/>
      <c r="D24" s="315"/>
      <c r="E24" s="315"/>
      <c r="F24" s="315"/>
      <c r="G24" s="315"/>
      <c r="H24" s="315"/>
      <c r="I24" s="316"/>
      <c r="J24" s="316"/>
      <c r="K24" s="316"/>
      <c r="L24" s="316"/>
      <c r="M24" s="316"/>
      <c r="N24" s="316"/>
      <c r="O24" s="315"/>
      <c r="P24" s="315"/>
      <c r="Q24" s="316"/>
      <c r="R24" s="315"/>
      <c r="S24" s="315"/>
      <c r="T24" s="315"/>
      <c r="U24" s="315"/>
      <c r="V24" s="315"/>
      <c r="W24" s="317"/>
      <c r="X24" s="8"/>
      <c r="Y24" s="8"/>
      <c r="Z24" s="8"/>
      <c r="AA24" s="9"/>
      <c r="AB24" s="9"/>
      <c r="AC24" s="9"/>
      <c r="AD24" s="7"/>
    </row>
    <row r="25" spans="2:30" ht="15.75" thickBot="1" x14ac:dyDescent="0.3">
      <c r="B25" s="10"/>
      <c r="C25" s="100"/>
      <c r="D25" s="312">
        <v>1</v>
      </c>
      <c r="E25" s="312"/>
      <c r="F25" s="312">
        <v>2</v>
      </c>
      <c r="G25" s="312"/>
      <c r="H25" s="312">
        <v>3</v>
      </c>
      <c r="I25" s="312"/>
      <c r="J25" s="312">
        <v>4</v>
      </c>
      <c r="K25" s="312"/>
      <c r="L25" s="312">
        <v>5</v>
      </c>
      <c r="M25" s="313"/>
      <c r="N25" s="313">
        <v>6</v>
      </c>
      <c r="O25" s="318"/>
      <c r="P25" s="313">
        <v>7</v>
      </c>
      <c r="Q25" s="318"/>
      <c r="R25" s="313">
        <v>8</v>
      </c>
      <c r="S25" s="318"/>
      <c r="T25" s="313">
        <v>9</v>
      </c>
      <c r="U25" s="318"/>
      <c r="V25" s="313">
        <v>10</v>
      </c>
      <c r="W25" s="311"/>
      <c r="X25" s="310" t="s">
        <v>68</v>
      </c>
      <c r="Y25" s="311"/>
      <c r="AA25" s="11"/>
      <c r="AB25" s="11"/>
      <c r="AC25" s="11"/>
      <c r="AD25" s="11"/>
    </row>
    <row r="26" spans="2:30" x14ac:dyDescent="0.25">
      <c r="B26" s="12"/>
      <c r="C26" s="101"/>
      <c r="D26" s="13" t="s">
        <v>6</v>
      </c>
      <c r="E26" s="13" t="s">
        <v>7</v>
      </c>
      <c r="F26" s="13" t="s">
        <v>6</v>
      </c>
      <c r="G26" s="13" t="s">
        <v>7</v>
      </c>
      <c r="H26" s="13" t="s">
        <v>6</v>
      </c>
      <c r="I26" s="13" t="s">
        <v>7</v>
      </c>
      <c r="J26" s="13" t="s">
        <v>6</v>
      </c>
      <c r="K26" s="13" t="s">
        <v>7</v>
      </c>
      <c r="L26" s="13" t="s">
        <v>6</v>
      </c>
      <c r="M26" s="13" t="s">
        <v>7</v>
      </c>
      <c r="N26" s="13" t="s">
        <v>6</v>
      </c>
      <c r="O26" s="13" t="s">
        <v>7</v>
      </c>
      <c r="P26" s="13" t="s">
        <v>6</v>
      </c>
      <c r="Q26" s="13" t="s">
        <v>7</v>
      </c>
      <c r="R26" s="13" t="s">
        <v>6</v>
      </c>
      <c r="S26" s="13" t="s">
        <v>7</v>
      </c>
      <c r="T26" s="13" t="s">
        <v>6</v>
      </c>
      <c r="U26" s="13" t="s">
        <v>7</v>
      </c>
      <c r="V26" s="13" t="s">
        <v>6</v>
      </c>
      <c r="W26" s="13" t="s">
        <v>7</v>
      </c>
      <c r="X26" s="14" t="s">
        <v>67</v>
      </c>
      <c r="Y26" s="16" t="s">
        <v>70</v>
      </c>
      <c r="Z26" s="246"/>
      <c r="AA26" s="310" t="s">
        <v>11</v>
      </c>
      <c r="AB26" s="311"/>
      <c r="AC26" s="310" t="s">
        <v>12</v>
      </c>
      <c r="AD26" s="311"/>
    </row>
    <row r="27" spans="2:30" ht="14.1" customHeight="1" x14ac:dyDescent="0.25">
      <c r="B27" s="18" t="s">
        <v>14</v>
      </c>
      <c r="C27" s="19">
        <v>45740</v>
      </c>
      <c r="D27" s="203"/>
      <c r="E27" s="204"/>
      <c r="F27" s="203"/>
      <c r="G27" s="204"/>
      <c r="H27" s="203"/>
      <c r="I27" s="204"/>
      <c r="J27" s="203"/>
      <c r="K27" s="204"/>
      <c r="L27" s="203"/>
      <c r="M27" s="204"/>
      <c r="N27" s="234"/>
      <c r="O27" s="204"/>
      <c r="P27" s="203"/>
      <c r="Q27" s="204"/>
      <c r="R27" s="203"/>
      <c r="S27" s="204"/>
      <c r="T27" s="203"/>
      <c r="U27" s="204"/>
      <c r="V27" s="203"/>
      <c r="W27" s="235"/>
      <c r="X27" s="146"/>
      <c r="Y27" s="147"/>
      <c r="Z27" s="248"/>
      <c r="AA27" s="148"/>
      <c r="AB27" s="149"/>
      <c r="AC27" s="150"/>
      <c r="AD27" s="150"/>
    </row>
    <row r="28" spans="2:30" ht="14.1" customHeight="1" x14ac:dyDescent="0.25">
      <c r="B28" s="18"/>
      <c r="C28" s="19"/>
      <c r="D28" s="210"/>
      <c r="E28" s="211"/>
      <c r="F28" s="210"/>
      <c r="G28" s="211"/>
      <c r="H28" s="210"/>
      <c r="I28" s="211"/>
      <c r="J28" s="210"/>
      <c r="K28" s="211"/>
      <c r="L28" s="210"/>
      <c r="M28" s="211"/>
      <c r="N28" s="214"/>
      <c r="O28" s="211"/>
      <c r="P28" s="210"/>
      <c r="Q28" s="211"/>
      <c r="R28" s="210"/>
      <c r="S28" s="211"/>
      <c r="T28" s="210"/>
      <c r="U28" s="211"/>
      <c r="V28" s="210"/>
      <c r="W28" s="239"/>
      <c r="X28" s="151"/>
      <c r="Y28" s="152"/>
      <c r="Z28" s="249"/>
      <c r="AA28" s="153"/>
      <c r="AB28" s="154"/>
      <c r="AC28" s="155"/>
      <c r="AD28" s="155"/>
    </row>
    <row r="29" spans="2:30" ht="14.1" customHeight="1" x14ac:dyDescent="0.25">
      <c r="B29" s="18" t="s">
        <v>15</v>
      </c>
      <c r="C29" s="19">
        <v>45741</v>
      </c>
      <c r="D29" s="205"/>
      <c r="E29" s="206"/>
      <c r="F29" s="205"/>
      <c r="G29" s="206"/>
      <c r="H29" s="205"/>
      <c r="I29" s="206"/>
      <c r="J29" s="205"/>
      <c r="K29" s="206"/>
      <c r="L29" s="205"/>
      <c r="M29" s="206"/>
      <c r="N29" s="236"/>
      <c r="O29" s="206"/>
      <c r="P29" s="205"/>
      <c r="Q29" s="206"/>
      <c r="R29" s="205"/>
      <c r="S29" s="206"/>
      <c r="T29" s="205"/>
      <c r="U29" s="206"/>
      <c r="V29" s="205"/>
      <c r="W29" s="237"/>
      <c r="X29" s="156"/>
      <c r="Y29" s="157"/>
      <c r="Z29" s="250"/>
      <c r="AA29" s="158"/>
      <c r="AB29" s="159"/>
      <c r="AC29" s="160"/>
      <c r="AD29" s="160"/>
    </row>
    <row r="30" spans="2:30" ht="14.1" customHeight="1" x14ac:dyDescent="0.25">
      <c r="B30" s="18"/>
      <c r="C30" s="19"/>
      <c r="D30" s="212"/>
      <c r="E30" s="213"/>
      <c r="F30" s="212"/>
      <c r="G30" s="213"/>
      <c r="H30" s="212"/>
      <c r="I30" s="213"/>
      <c r="J30" s="212"/>
      <c r="K30" s="213"/>
      <c r="L30" s="212"/>
      <c r="M30" s="213"/>
      <c r="N30" s="240"/>
      <c r="O30" s="213"/>
      <c r="P30" s="212"/>
      <c r="Q30" s="213"/>
      <c r="R30" s="212"/>
      <c r="S30" s="213"/>
      <c r="T30" s="212"/>
      <c r="U30" s="213"/>
      <c r="V30" s="212"/>
      <c r="W30" s="241"/>
      <c r="X30" s="161"/>
      <c r="Y30" s="162"/>
      <c r="Z30" s="251"/>
      <c r="AA30" s="163"/>
      <c r="AB30" s="164"/>
      <c r="AC30" s="155"/>
      <c r="AD30" s="155"/>
    </row>
    <row r="31" spans="2:30" ht="14.1" customHeight="1" x14ac:dyDescent="0.25">
      <c r="B31" s="18" t="s">
        <v>16</v>
      </c>
      <c r="C31" s="19">
        <v>45742</v>
      </c>
      <c r="D31" s="205"/>
      <c r="E31" s="206"/>
      <c r="F31" s="205"/>
      <c r="G31" s="206"/>
      <c r="H31" s="205"/>
      <c r="I31" s="206"/>
      <c r="J31" s="205"/>
      <c r="K31" s="206"/>
      <c r="L31" s="205"/>
      <c r="M31" s="206"/>
      <c r="N31" s="236"/>
      <c r="O31" s="206"/>
      <c r="P31" s="205"/>
      <c r="Q31" s="206"/>
      <c r="R31" s="205"/>
      <c r="S31" s="206"/>
      <c r="T31" s="205"/>
      <c r="U31" s="206"/>
      <c r="V31" s="205"/>
      <c r="W31" s="237"/>
      <c r="X31" s="156"/>
      <c r="Y31" s="157"/>
      <c r="Z31" s="250"/>
      <c r="AA31" s="158"/>
      <c r="AB31" s="159"/>
      <c r="AC31" s="160"/>
      <c r="AD31" s="160"/>
    </row>
    <row r="32" spans="2:30" ht="14.1" customHeight="1" x14ac:dyDescent="0.25">
      <c r="B32" s="18"/>
      <c r="C32" s="19"/>
      <c r="D32" s="212"/>
      <c r="E32" s="213"/>
      <c r="F32" s="212"/>
      <c r="G32" s="213"/>
      <c r="H32" s="212"/>
      <c r="I32" s="213"/>
      <c r="J32" s="212"/>
      <c r="K32" s="213"/>
      <c r="L32" s="212"/>
      <c r="M32" s="213"/>
      <c r="N32" s="240"/>
      <c r="O32" s="213"/>
      <c r="P32" s="212"/>
      <c r="Q32" s="213"/>
      <c r="R32" s="212"/>
      <c r="S32" s="213"/>
      <c r="T32" s="212"/>
      <c r="U32" s="213"/>
      <c r="V32" s="212"/>
      <c r="W32" s="241"/>
      <c r="X32" s="161"/>
      <c r="Y32" s="162"/>
      <c r="Z32" s="251"/>
      <c r="AA32" s="163"/>
      <c r="AB32" s="164"/>
      <c r="AC32" s="155"/>
      <c r="AD32" s="155"/>
    </row>
    <row r="33" spans="2:30" ht="14.1" customHeight="1" x14ac:dyDescent="0.25">
      <c r="B33" s="18" t="s">
        <v>17</v>
      </c>
      <c r="C33" s="19">
        <v>45743</v>
      </c>
      <c r="D33" s="205"/>
      <c r="E33" s="206"/>
      <c r="F33" s="205"/>
      <c r="G33" s="206"/>
      <c r="H33" s="205"/>
      <c r="I33" s="206"/>
      <c r="J33" s="205"/>
      <c r="K33" s="206"/>
      <c r="L33" s="205"/>
      <c r="M33" s="206"/>
      <c r="N33" s="236"/>
      <c r="O33" s="206"/>
      <c r="P33" s="205"/>
      <c r="Q33" s="206"/>
      <c r="R33" s="205"/>
      <c r="S33" s="206"/>
      <c r="T33" s="205"/>
      <c r="U33" s="206"/>
      <c r="V33" s="205"/>
      <c r="W33" s="237"/>
      <c r="X33" s="156"/>
      <c r="Y33" s="157"/>
      <c r="Z33" s="250"/>
      <c r="AA33" s="158"/>
      <c r="AB33" s="159"/>
      <c r="AC33" s="160"/>
      <c r="AD33" s="160"/>
    </row>
    <row r="34" spans="2:30" ht="14.1" customHeight="1" x14ac:dyDescent="0.25">
      <c r="B34" s="18"/>
      <c r="C34" s="19"/>
      <c r="D34" s="212"/>
      <c r="E34" s="213"/>
      <c r="F34" s="212"/>
      <c r="G34" s="213"/>
      <c r="H34" s="212"/>
      <c r="I34" s="213"/>
      <c r="J34" s="212"/>
      <c r="K34" s="213"/>
      <c r="L34" s="212"/>
      <c r="M34" s="213"/>
      <c r="N34" s="240"/>
      <c r="O34" s="213"/>
      <c r="P34" s="212"/>
      <c r="Q34" s="213"/>
      <c r="R34" s="212"/>
      <c r="S34" s="213"/>
      <c r="T34" s="212"/>
      <c r="U34" s="213"/>
      <c r="V34" s="212"/>
      <c r="W34" s="241"/>
      <c r="X34" s="161"/>
      <c r="Y34" s="162"/>
      <c r="Z34" s="251"/>
      <c r="AA34" s="163"/>
      <c r="AB34" s="164"/>
      <c r="AC34" s="155"/>
      <c r="AD34" s="155"/>
    </row>
    <row r="35" spans="2:30" ht="14.1" customHeight="1" x14ac:dyDescent="0.25">
      <c r="B35" s="18" t="s">
        <v>18</v>
      </c>
      <c r="C35" s="19">
        <v>45744</v>
      </c>
      <c r="D35" s="205"/>
      <c r="E35" s="206"/>
      <c r="F35" s="205"/>
      <c r="G35" s="206"/>
      <c r="H35" s="205"/>
      <c r="I35" s="206"/>
      <c r="J35" s="205"/>
      <c r="K35" s="206"/>
      <c r="L35" s="205"/>
      <c r="M35" s="206"/>
      <c r="N35" s="236"/>
      <c r="O35" s="206"/>
      <c r="P35" s="205"/>
      <c r="Q35" s="206"/>
      <c r="R35" s="205"/>
      <c r="S35" s="206"/>
      <c r="T35" s="205"/>
      <c r="U35" s="206"/>
      <c r="V35" s="205"/>
      <c r="W35" s="237"/>
      <c r="X35" s="156"/>
      <c r="Y35" s="157"/>
      <c r="Z35" s="250"/>
      <c r="AA35" s="158"/>
      <c r="AB35" s="159"/>
      <c r="AC35" s="160"/>
      <c r="AD35" s="160"/>
    </row>
    <row r="36" spans="2:30" ht="14.1" customHeight="1" x14ac:dyDescent="0.25">
      <c r="B36" s="18"/>
      <c r="C36" s="19"/>
      <c r="D36" s="212"/>
      <c r="E36" s="213"/>
      <c r="F36" s="212"/>
      <c r="G36" s="213"/>
      <c r="H36" s="212"/>
      <c r="I36" s="213"/>
      <c r="J36" s="212"/>
      <c r="K36" s="213"/>
      <c r="L36" s="212"/>
      <c r="M36" s="213"/>
      <c r="N36" s="240"/>
      <c r="O36" s="213"/>
      <c r="P36" s="212"/>
      <c r="Q36" s="213"/>
      <c r="R36" s="212"/>
      <c r="S36" s="213"/>
      <c r="T36" s="212"/>
      <c r="U36" s="213"/>
      <c r="V36" s="212"/>
      <c r="W36" s="241"/>
      <c r="X36" s="161"/>
      <c r="Y36" s="162"/>
      <c r="Z36" s="251"/>
      <c r="AA36" s="163"/>
      <c r="AB36" s="164"/>
      <c r="AC36" s="155"/>
      <c r="AD36" s="155"/>
    </row>
    <row r="37" spans="2:30" ht="14.1" customHeight="1" x14ac:dyDescent="0.25">
      <c r="B37" s="18" t="s">
        <v>19</v>
      </c>
      <c r="C37" s="19">
        <v>45745</v>
      </c>
      <c r="D37" s="115"/>
      <c r="E37" s="116"/>
      <c r="F37" s="115"/>
      <c r="G37" s="116"/>
      <c r="H37" s="115"/>
      <c r="I37" s="116"/>
      <c r="J37" s="115"/>
      <c r="K37" s="116"/>
      <c r="L37" s="115"/>
      <c r="M37" s="116"/>
      <c r="N37" s="117"/>
      <c r="O37" s="116"/>
      <c r="P37" s="115"/>
      <c r="Q37" s="116"/>
      <c r="R37" s="115"/>
      <c r="S37" s="116"/>
      <c r="T37" s="115"/>
      <c r="U37" s="116"/>
      <c r="V37" s="115"/>
      <c r="W37" s="118"/>
      <c r="X37" s="156"/>
      <c r="Y37" s="157"/>
      <c r="Z37" s="250"/>
      <c r="AA37" s="158"/>
      <c r="AB37" s="159"/>
      <c r="AC37" s="160"/>
      <c r="AD37" s="160"/>
    </row>
    <row r="38" spans="2:30" ht="14.1" customHeight="1" x14ac:dyDescent="0.25">
      <c r="B38" s="18"/>
      <c r="C38" s="19"/>
      <c r="D38" s="127"/>
      <c r="E38" s="128"/>
      <c r="F38" s="127"/>
      <c r="G38" s="128"/>
      <c r="H38" s="127"/>
      <c r="I38" s="128"/>
      <c r="J38" s="127"/>
      <c r="K38" s="128"/>
      <c r="L38" s="127"/>
      <c r="M38" s="128"/>
      <c r="N38" s="129"/>
      <c r="O38" s="128"/>
      <c r="P38" s="127"/>
      <c r="Q38" s="128"/>
      <c r="R38" s="127"/>
      <c r="S38" s="128"/>
      <c r="T38" s="127"/>
      <c r="U38" s="128"/>
      <c r="V38" s="127"/>
      <c r="W38" s="130"/>
      <c r="X38" s="165"/>
      <c r="Y38" s="166"/>
      <c r="Z38" s="252"/>
      <c r="AA38" s="167"/>
      <c r="AB38" s="168"/>
      <c r="AC38" s="155"/>
      <c r="AD38" s="155"/>
    </row>
    <row r="39" spans="2:30" ht="14.1" customHeight="1" x14ac:dyDescent="0.25">
      <c r="B39" s="18" t="s">
        <v>20</v>
      </c>
      <c r="C39" s="19">
        <v>45746</v>
      </c>
      <c r="D39" s="131"/>
      <c r="E39" s="132"/>
      <c r="F39" s="131"/>
      <c r="G39" s="132"/>
      <c r="H39" s="131"/>
      <c r="I39" s="132"/>
      <c r="J39" s="131"/>
      <c r="K39" s="132"/>
      <c r="L39" s="131"/>
      <c r="M39" s="132"/>
      <c r="N39" s="133"/>
      <c r="O39" s="132"/>
      <c r="P39" s="131"/>
      <c r="Q39" s="132"/>
      <c r="R39" s="131"/>
      <c r="S39" s="132"/>
      <c r="T39" s="131"/>
      <c r="U39" s="132"/>
      <c r="V39" s="131"/>
      <c r="W39" s="134"/>
      <c r="X39" s="169"/>
      <c r="Y39" s="170"/>
      <c r="Z39" s="253"/>
      <c r="AA39" s="171"/>
      <c r="AB39" s="172"/>
      <c r="AC39" s="160" t="str">
        <f>TRUNC(SUM(AA27:AA40)*24,0) &amp; ":" &amp; RIGHT("00"&amp;ROUND(((SUM(AA27:AA40)*24)-TRUNC(SUM(AA27:AA40)*24,0))*60,2),2)</f>
        <v>0:00</v>
      </c>
      <c r="AD39" s="160"/>
    </row>
    <row r="40" spans="2:30" ht="14.1" customHeight="1" x14ac:dyDescent="0.25">
      <c r="B40" s="22"/>
      <c r="C40" s="23"/>
      <c r="D40" s="135"/>
      <c r="E40" s="136"/>
      <c r="F40" s="135"/>
      <c r="G40" s="136"/>
      <c r="H40" s="135"/>
      <c r="I40" s="136"/>
      <c r="J40" s="135"/>
      <c r="K40" s="136"/>
      <c r="L40" s="135"/>
      <c r="M40" s="136"/>
      <c r="N40" s="137"/>
      <c r="O40" s="136"/>
      <c r="P40" s="135"/>
      <c r="Q40" s="136"/>
      <c r="R40" s="135"/>
      <c r="S40" s="136"/>
      <c r="T40" s="135"/>
      <c r="U40" s="136"/>
      <c r="V40" s="135"/>
      <c r="W40" s="138"/>
      <c r="X40" s="173"/>
      <c r="Y40" s="174"/>
      <c r="Z40" s="254"/>
      <c r="AA40" s="175"/>
      <c r="AB40" s="176"/>
      <c r="AC40" s="177"/>
      <c r="AD40" s="177" t="str">
        <f>TRUNC(SUM(AB27:AB40)*24,0) &amp; ":" &amp; RIGHT("00"&amp;ROUND(((SUM(AB27:AB40)*24)-TRUNC(SUM(AB27:AB40)*24,0))*60,2),2)</f>
        <v>0:00</v>
      </c>
    </row>
    <row r="41" spans="2:30" ht="14.1" customHeight="1" x14ac:dyDescent="0.25">
      <c r="B41" s="18" t="s">
        <v>14</v>
      </c>
      <c r="C41" s="19">
        <v>45747</v>
      </c>
      <c r="D41" s="207"/>
      <c r="E41" s="208"/>
      <c r="F41" s="207"/>
      <c r="G41" s="208"/>
      <c r="H41" s="207"/>
      <c r="I41" s="208"/>
      <c r="J41" s="207"/>
      <c r="K41" s="208"/>
      <c r="L41" s="207"/>
      <c r="M41" s="208"/>
      <c r="N41" s="209"/>
      <c r="O41" s="208"/>
      <c r="P41" s="207"/>
      <c r="Q41" s="208"/>
      <c r="R41" s="207"/>
      <c r="S41" s="208"/>
      <c r="T41" s="207"/>
      <c r="U41" s="208"/>
      <c r="V41" s="207"/>
      <c r="W41" s="238"/>
      <c r="X41" s="146"/>
      <c r="Y41" s="147"/>
      <c r="Z41" s="248"/>
      <c r="AA41" s="148"/>
      <c r="AB41" s="149"/>
      <c r="AC41" s="160"/>
      <c r="AD41" s="160"/>
    </row>
    <row r="42" spans="2:30" ht="14.1" customHeight="1" x14ac:dyDescent="0.25">
      <c r="B42" s="18"/>
      <c r="C42" s="19"/>
      <c r="D42" s="210"/>
      <c r="E42" s="211"/>
      <c r="F42" s="210"/>
      <c r="G42" s="211"/>
      <c r="H42" s="210"/>
      <c r="I42" s="211"/>
      <c r="J42" s="210"/>
      <c r="K42" s="211"/>
      <c r="L42" s="210"/>
      <c r="M42" s="211"/>
      <c r="N42" s="214"/>
      <c r="O42" s="211"/>
      <c r="P42" s="210"/>
      <c r="Q42" s="211"/>
      <c r="R42" s="210"/>
      <c r="S42" s="211"/>
      <c r="T42" s="210"/>
      <c r="U42" s="211"/>
      <c r="V42" s="210"/>
      <c r="W42" s="239"/>
      <c r="X42" s="151"/>
      <c r="Y42" s="152"/>
      <c r="Z42" s="249"/>
      <c r="AA42" s="153"/>
      <c r="AB42" s="154"/>
      <c r="AC42" s="155"/>
      <c r="AD42" s="155"/>
    </row>
    <row r="43" spans="2:30" ht="14.1" customHeight="1" x14ac:dyDescent="0.25">
      <c r="B43" s="18" t="s">
        <v>15</v>
      </c>
      <c r="C43" s="19">
        <v>45748</v>
      </c>
      <c r="D43" s="205"/>
      <c r="E43" s="206"/>
      <c r="F43" s="205"/>
      <c r="G43" s="206"/>
      <c r="H43" s="205"/>
      <c r="I43" s="206"/>
      <c r="J43" s="205"/>
      <c r="K43" s="206"/>
      <c r="L43" s="205"/>
      <c r="M43" s="206"/>
      <c r="N43" s="236"/>
      <c r="O43" s="206"/>
      <c r="P43" s="205"/>
      <c r="Q43" s="206"/>
      <c r="R43" s="205"/>
      <c r="S43" s="206"/>
      <c r="T43" s="205"/>
      <c r="U43" s="206"/>
      <c r="V43" s="205"/>
      <c r="W43" s="237"/>
      <c r="X43" s="156"/>
      <c r="Y43" s="157"/>
      <c r="Z43" s="250"/>
      <c r="AA43" s="158"/>
      <c r="AB43" s="159"/>
      <c r="AC43" s="160"/>
      <c r="AD43" s="160"/>
    </row>
    <row r="44" spans="2:30" ht="14.1" customHeight="1" x14ac:dyDescent="0.25">
      <c r="B44" s="18"/>
      <c r="C44" s="19"/>
      <c r="D44" s="212"/>
      <c r="E44" s="213"/>
      <c r="F44" s="212"/>
      <c r="G44" s="213"/>
      <c r="H44" s="212"/>
      <c r="I44" s="213"/>
      <c r="J44" s="212"/>
      <c r="K44" s="213"/>
      <c r="L44" s="212"/>
      <c r="M44" s="213"/>
      <c r="N44" s="240"/>
      <c r="O44" s="213"/>
      <c r="P44" s="212"/>
      <c r="Q44" s="213"/>
      <c r="R44" s="212"/>
      <c r="S44" s="213"/>
      <c r="T44" s="212"/>
      <c r="U44" s="213"/>
      <c r="V44" s="212"/>
      <c r="W44" s="241"/>
      <c r="X44" s="161"/>
      <c r="Y44" s="162"/>
      <c r="Z44" s="251"/>
      <c r="AA44" s="163"/>
      <c r="AB44" s="164"/>
      <c r="AC44" s="155"/>
      <c r="AD44" s="155"/>
    </row>
    <row r="45" spans="2:30" ht="14.1" customHeight="1" x14ac:dyDescent="0.25">
      <c r="B45" s="18" t="s">
        <v>16</v>
      </c>
      <c r="C45" s="19">
        <v>45749</v>
      </c>
      <c r="D45" s="205"/>
      <c r="E45" s="206"/>
      <c r="F45" s="205"/>
      <c r="G45" s="206"/>
      <c r="H45" s="205"/>
      <c r="I45" s="206"/>
      <c r="J45" s="205"/>
      <c r="K45" s="206"/>
      <c r="L45" s="205"/>
      <c r="M45" s="206"/>
      <c r="N45" s="236"/>
      <c r="O45" s="206"/>
      <c r="P45" s="205"/>
      <c r="Q45" s="206"/>
      <c r="R45" s="205"/>
      <c r="S45" s="206"/>
      <c r="T45" s="205"/>
      <c r="U45" s="206"/>
      <c r="V45" s="205"/>
      <c r="W45" s="237"/>
      <c r="X45" s="156"/>
      <c r="Y45" s="157"/>
      <c r="Z45" s="250"/>
      <c r="AA45" s="158"/>
      <c r="AB45" s="159"/>
      <c r="AC45" s="160"/>
      <c r="AD45" s="160"/>
    </row>
    <row r="46" spans="2:30" ht="14.1" customHeight="1" x14ac:dyDescent="0.25">
      <c r="B46" s="18"/>
      <c r="C46" s="19"/>
      <c r="D46" s="212"/>
      <c r="E46" s="213"/>
      <c r="F46" s="212"/>
      <c r="G46" s="213"/>
      <c r="H46" s="212"/>
      <c r="I46" s="213"/>
      <c r="J46" s="212"/>
      <c r="K46" s="213"/>
      <c r="L46" s="212"/>
      <c r="M46" s="213"/>
      <c r="N46" s="240"/>
      <c r="O46" s="213"/>
      <c r="P46" s="212"/>
      <c r="Q46" s="213"/>
      <c r="R46" s="212"/>
      <c r="S46" s="213"/>
      <c r="T46" s="212"/>
      <c r="U46" s="213"/>
      <c r="V46" s="212"/>
      <c r="W46" s="241"/>
      <c r="X46" s="161"/>
      <c r="Y46" s="162"/>
      <c r="Z46" s="251"/>
      <c r="AA46" s="163"/>
      <c r="AB46" s="164"/>
      <c r="AC46" s="155"/>
      <c r="AD46" s="155"/>
    </row>
    <row r="47" spans="2:30" ht="14.1" customHeight="1" x14ac:dyDescent="0.25">
      <c r="B47" s="18" t="s">
        <v>17</v>
      </c>
      <c r="C47" s="19">
        <v>45750</v>
      </c>
      <c r="D47" s="205"/>
      <c r="E47" s="206"/>
      <c r="F47" s="205"/>
      <c r="G47" s="206"/>
      <c r="H47" s="205"/>
      <c r="I47" s="206"/>
      <c r="J47" s="205"/>
      <c r="K47" s="206"/>
      <c r="L47" s="205"/>
      <c r="M47" s="206"/>
      <c r="N47" s="236"/>
      <c r="O47" s="206"/>
      <c r="P47" s="205"/>
      <c r="Q47" s="206"/>
      <c r="R47" s="205"/>
      <c r="S47" s="206"/>
      <c r="T47" s="205"/>
      <c r="U47" s="206"/>
      <c r="V47" s="205"/>
      <c r="W47" s="237"/>
      <c r="X47" s="156"/>
      <c r="Y47" s="157"/>
      <c r="Z47" s="250"/>
      <c r="AA47" s="158"/>
      <c r="AB47" s="159"/>
      <c r="AC47" s="160"/>
      <c r="AD47" s="160"/>
    </row>
    <row r="48" spans="2:30" ht="14.1" customHeight="1" x14ac:dyDescent="0.25">
      <c r="B48" s="18"/>
      <c r="C48" s="19"/>
      <c r="D48" s="212"/>
      <c r="E48" s="213"/>
      <c r="F48" s="212"/>
      <c r="G48" s="213"/>
      <c r="H48" s="212"/>
      <c r="I48" s="213"/>
      <c r="J48" s="212"/>
      <c r="K48" s="213"/>
      <c r="L48" s="212"/>
      <c r="M48" s="213"/>
      <c r="N48" s="240"/>
      <c r="O48" s="213"/>
      <c r="P48" s="212"/>
      <c r="Q48" s="213"/>
      <c r="R48" s="212"/>
      <c r="S48" s="213"/>
      <c r="T48" s="212"/>
      <c r="U48" s="213"/>
      <c r="V48" s="212"/>
      <c r="W48" s="241"/>
      <c r="X48" s="161"/>
      <c r="Y48" s="162"/>
      <c r="Z48" s="251"/>
      <c r="AA48" s="163"/>
      <c r="AB48" s="164"/>
      <c r="AC48" s="155"/>
      <c r="AD48" s="155"/>
    </row>
    <row r="49" spans="2:30" ht="14.1" customHeight="1" x14ac:dyDescent="0.25">
      <c r="B49" s="18" t="s">
        <v>18</v>
      </c>
      <c r="C49" s="19">
        <v>45751</v>
      </c>
      <c r="D49" s="205"/>
      <c r="E49" s="206"/>
      <c r="F49" s="205"/>
      <c r="G49" s="206"/>
      <c r="H49" s="205"/>
      <c r="I49" s="206"/>
      <c r="J49" s="205"/>
      <c r="K49" s="206"/>
      <c r="L49" s="205"/>
      <c r="M49" s="206"/>
      <c r="N49" s="236"/>
      <c r="O49" s="206"/>
      <c r="P49" s="205"/>
      <c r="Q49" s="206"/>
      <c r="R49" s="205"/>
      <c r="S49" s="206"/>
      <c r="T49" s="205"/>
      <c r="U49" s="206"/>
      <c r="V49" s="205"/>
      <c r="W49" s="237"/>
      <c r="X49" s="156"/>
      <c r="Y49" s="157"/>
      <c r="Z49" s="250"/>
      <c r="AA49" s="158"/>
      <c r="AB49" s="159"/>
      <c r="AC49" s="160"/>
      <c r="AD49" s="160"/>
    </row>
    <row r="50" spans="2:30" ht="14.1" customHeight="1" x14ac:dyDescent="0.25">
      <c r="B50" s="18"/>
      <c r="C50" s="19"/>
      <c r="D50" s="212"/>
      <c r="E50" s="213"/>
      <c r="F50" s="212"/>
      <c r="G50" s="213"/>
      <c r="H50" s="212"/>
      <c r="I50" s="213"/>
      <c r="J50" s="212"/>
      <c r="K50" s="213"/>
      <c r="L50" s="212"/>
      <c r="M50" s="213"/>
      <c r="N50" s="240"/>
      <c r="O50" s="213"/>
      <c r="P50" s="212"/>
      <c r="Q50" s="213"/>
      <c r="R50" s="212"/>
      <c r="S50" s="213"/>
      <c r="T50" s="212"/>
      <c r="U50" s="213"/>
      <c r="V50" s="212"/>
      <c r="W50" s="241"/>
      <c r="X50" s="161"/>
      <c r="Y50" s="162"/>
      <c r="Z50" s="251"/>
      <c r="AA50" s="163"/>
      <c r="AB50" s="164"/>
      <c r="AC50" s="155"/>
      <c r="AD50" s="155"/>
    </row>
    <row r="51" spans="2:30" ht="14.1" customHeight="1" x14ac:dyDescent="0.25">
      <c r="B51" s="18" t="s">
        <v>19</v>
      </c>
      <c r="C51" s="19">
        <v>45752</v>
      </c>
      <c r="D51" s="205"/>
      <c r="E51" s="206"/>
      <c r="F51" s="205"/>
      <c r="G51" s="206"/>
      <c r="H51" s="115"/>
      <c r="I51" s="116"/>
      <c r="J51" s="115"/>
      <c r="K51" s="116"/>
      <c r="L51" s="115"/>
      <c r="M51" s="116"/>
      <c r="N51" s="117"/>
      <c r="O51" s="116"/>
      <c r="P51" s="115"/>
      <c r="Q51" s="116"/>
      <c r="R51" s="115"/>
      <c r="S51" s="116"/>
      <c r="T51" s="115"/>
      <c r="U51" s="116"/>
      <c r="V51" s="115"/>
      <c r="W51" s="118"/>
      <c r="X51" s="156"/>
      <c r="Y51" s="157"/>
      <c r="Z51" s="250"/>
      <c r="AA51" s="158"/>
      <c r="AB51" s="159"/>
      <c r="AC51" s="160"/>
      <c r="AD51" s="160"/>
    </row>
    <row r="52" spans="2:30" ht="14.1" customHeight="1" x14ac:dyDescent="0.25">
      <c r="B52" s="18"/>
      <c r="C52" s="19"/>
      <c r="D52" s="127"/>
      <c r="E52" s="128"/>
      <c r="F52" s="127"/>
      <c r="G52" s="128"/>
      <c r="H52" s="127"/>
      <c r="I52" s="128"/>
      <c r="J52" s="127"/>
      <c r="K52" s="128"/>
      <c r="L52" s="127"/>
      <c r="M52" s="128"/>
      <c r="N52" s="129"/>
      <c r="O52" s="128"/>
      <c r="P52" s="127"/>
      <c r="Q52" s="128"/>
      <c r="R52" s="127"/>
      <c r="S52" s="128"/>
      <c r="T52" s="127"/>
      <c r="U52" s="128"/>
      <c r="V52" s="127"/>
      <c r="W52" s="130"/>
      <c r="X52" s="165"/>
      <c r="Y52" s="166"/>
      <c r="Z52" s="252"/>
      <c r="AA52" s="167"/>
      <c r="AB52" s="168"/>
      <c r="AC52" s="155"/>
      <c r="AD52" s="155"/>
    </row>
    <row r="53" spans="2:30" ht="14.1" customHeight="1" x14ac:dyDescent="0.25">
      <c r="B53" s="18" t="s">
        <v>20</v>
      </c>
      <c r="C53" s="19">
        <v>45753</v>
      </c>
      <c r="D53" s="131"/>
      <c r="E53" s="132"/>
      <c r="F53" s="131"/>
      <c r="G53" s="132"/>
      <c r="H53" s="131"/>
      <c r="I53" s="132"/>
      <c r="J53" s="131"/>
      <c r="K53" s="132"/>
      <c r="L53" s="131"/>
      <c r="M53" s="132"/>
      <c r="N53" s="133"/>
      <c r="O53" s="132"/>
      <c r="P53" s="131"/>
      <c r="Q53" s="132"/>
      <c r="R53" s="131"/>
      <c r="S53" s="132"/>
      <c r="T53" s="131"/>
      <c r="U53" s="132"/>
      <c r="V53" s="131"/>
      <c r="W53" s="134"/>
      <c r="X53" s="169"/>
      <c r="Y53" s="170"/>
      <c r="Z53" s="253"/>
      <c r="AA53" s="171"/>
      <c r="AB53" s="172"/>
      <c r="AC53" s="160" t="str">
        <f>TRUNC(SUM(AA41:AA54)*24,0) &amp; ":" &amp; RIGHT("00"&amp;ROUND(((SUM(AA41:AA54)*24)-TRUNC(SUM(AA41:AA54)*24,0))*60,2),2)</f>
        <v>0:00</v>
      </c>
      <c r="AD53" s="160"/>
    </row>
    <row r="54" spans="2:30" ht="14.1" customHeight="1" x14ac:dyDescent="0.25">
      <c r="B54" s="22"/>
      <c r="C54" s="23"/>
      <c r="D54" s="135"/>
      <c r="E54" s="136"/>
      <c r="F54" s="135"/>
      <c r="G54" s="136"/>
      <c r="H54" s="135"/>
      <c r="I54" s="136"/>
      <c r="J54" s="135"/>
      <c r="K54" s="136"/>
      <c r="L54" s="135"/>
      <c r="M54" s="136"/>
      <c r="N54" s="137"/>
      <c r="O54" s="136"/>
      <c r="P54" s="135"/>
      <c r="Q54" s="136"/>
      <c r="R54" s="135"/>
      <c r="S54" s="136"/>
      <c r="T54" s="135"/>
      <c r="U54" s="136"/>
      <c r="V54" s="135"/>
      <c r="W54" s="138"/>
      <c r="X54" s="173"/>
      <c r="Y54" s="174"/>
      <c r="Z54" s="254"/>
      <c r="AA54" s="175"/>
      <c r="AB54" s="176"/>
      <c r="AC54" s="177"/>
      <c r="AD54" s="177" t="str">
        <f>TRUNC(SUM(AB41:AB54)*24,0) &amp; ":" &amp; RIGHT("00"&amp;ROUND(((SUM(AB41:AB54)*24)-TRUNC(SUM(AB41:AB54)*24,0))*60,2),2)</f>
        <v>0:00</v>
      </c>
    </row>
    <row r="55" spans="2:30" ht="14.1" customHeight="1" x14ac:dyDescent="0.25">
      <c r="B55" s="18" t="s">
        <v>14</v>
      </c>
      <c r="C55" s="19">
        <v>45754</v>
      </c>
      <c r="D55" s="207"/>
      <c r="E55" s="208"/>
      <c r="F55" s="207"/>
      <c r="G55" s="208"/>
      <c r="H55" s="207"/>
      <c r="I55" s="208"/>
      <c r="J55" s="207"/>
      <c r="K55" s="208"/>
      <c r="L55" s="207"/>
      <c r="M55" s="208"/>
      <c r="N55" s="209"/>
      <c r="O55" s="208"/>
      <c r="P55" s="207"/>
      <c r="Q55" s="208"/>
      <c r="R55" s="207"/>
      <c r="S55" s="208"/>
      <c r="T55" s="207"/>
      <c r="U55" s="208"/>
      <c r="V55" s="207"/>
      <c r="W55" s="238"/>
      <c r="X55" s="146"/>
      <c r="Y55" s="147"/>
      <c r="Z55" s="248"/>
      <c r="AA55" s="148"/>
      <c r="AB55" s="149"/>
      <c r="AC55" s="160"/>
      <c r="AD55" s="160"/>
    </row>
    <row r="56" spans="2:30" ht="14.1" customHeight="1" x14ac:dyDescent="0.25">
      <c r="B56" s="18"/>
      <c r="C56" s="19"/>
      <c r="D56" s="210"/>
      <c r="E56" s="211"/>
      <c r="F56" s="210"/>
      <c r="G56" s="211"/>
      <c r="H56" s="210"/>
      <c r="I56" s="211"/>
      <c r="J56" s="210"/>
      <c r="K56" s="211"/>
      <c r="L56" s="210"/>
      <c r="M56" s="211"/>
      <c r="N56" s="214"/>
      <c r="O56" s="211"/>
      <c r="P56" s="210"/>
      <c r="Q56" s="211"/>
      <c r="R56" s="210"/>
      <c r="S56" s="211"/>
      <c r="T56" s="210"/>
      <c r="U56" s="211"/>
      <c r="V56" s="210"/>
      <c r="W56" s="239"/>
      <c r="X56" s="151"/>
      <c r="Y56" s="152"/>
      <c r="Z56" s="249"/>
      <c r="AA56" s="153"/>
      <c r="AB56" s="154"/>
      <c r="AC56" s="155"/>
      <c r="AD56" s="155"/>
    </row>
    <row r="57" spans="2:30" ht="14.1" customHeight="1" x14ac:dyDescent="0.25">
      <c r="B57" s="18" t="s">
        <v>15</v>
      </c>
      <c r="C57" s="19">
        <v>45755</v>
      </c>
      <c r="D57" s="205"/>
      <c r="E57" s="206"/>
      <c r="F57" s="205"/>
      <c r="G57" s="206"/>
      <c r="H57" s="205"/>
      <c r="I57" s="206"/>
      <c r="J57" s="205"/>
      <c r="K57" s="206"/>
      <c r="L57" s="205"/>
      <c r="M57" s="206"/>
      <c r="N57" s="236"/>
      <c r="O57" s="206"/>
      <c r="P57" s="205"/>
      <c r="Q57" s="206"/>
      <c r="R57" s="205"/>
      <c r="S57" s="206"/>
      <c r="T57" s="205"/>
      <c r="U57" s="206"/>
      <c r="V57" s="205"/>
      <c r="W57" s="237"/>
      <c r="X57" s="156"/>
      <c r="Y57" s="157"/>
      <c r="Z57" s="250"/>
      <c r="AA57" s="158"/>
      <c r="AB57" s="159"/>
      <c r="AC57" s="160"/>
      <c r="AD57" s="160"/>
    </row>
    <row r="58" spans="2:30" ht="14.1" customHeight="1" x14ac:dyDescent="0.25">
      <c r="B58" s="18"/>
      <c r="C58" s="19"/>
      <c r="D58" s="212"/>
      <c r="E58" s="213"/>
      <c r="F58" s="212"/>
      <c r="G58" s="213"/>
      <c r="H58" s="212"/>
      <c r="I58" s="213"/>
      <c r="J58" s="212"/>
      <c r="K58" s="213"/>
      <c r="L58" s="212"/>
      <c r="M58" s="213"/>
      <c r="N58" s="240"/>
      <c r="O58" s="213"/>
      <c r="P58" s="212"/>
      <c r="Q58" s="213"/>
      <c r="R58" s="212"/>
      <c r="S58" s="213"/>
      <c r="T58" s="212"/>
      <c r="U58" s="213"/>
      <c r="V58" s="212"/>
      <c r="W58" s="241"/>
      <c r="X58" s="161"/>
      <c r="Y58" s="162"/>
      <c r="Z58" s="251"/>
      <c r="AA58" s="163"/>
      <c r="AB58" s="164"/>
      <c r="AC58" s="155"/>
      <c r="AD58" s="155"/>
    </row>
    <row r="59" spans="2:30" ht="14.1" customHeight="1" x14ac:dyDescent="0.25">
      <c r="B59" s="18" t="s">
        <v>16</v>
      </c>
      <c r="C59" s="19">
        <v>45756</v>
      </c>
      <c r="D59" s="205"/>
      <c r="E59" s="206"/>
      <c r="F59" s="205"/>
      <c r="G59" s="206"/>
      <c r="H59" s="205"/>
      <c r="I59" s="206"/>
      <c r="J59" s="205"/>
      <c r="K59" s="206"/>
      <c r="L59" s="205"/>
      <c r="M59" s="206"/>
      <c r="N59" s="236"/>
      <c r="O59" s="206"/>
      <c r="P59" s="205"/>
      <c r="Q59" s="206"/>
      <c r="R59" s="205"/>
      <c r="S59" s="206"/>
      <c r="T59" s="205"/>
      <c r="U59" s="206"/>
      <c r="V59" s="205"/>
      <c r="W59" s="237"/>
      <c r="X59" s="156"/>
      <c r="Y59" s="157"/>
      <c r="Z59" s="250"/>
      <c r="AA59" s="158"/>
      <c r="AB59" s="159"/>
      <c r="AC59" s="160"/>
      <c r="AD59" s="160"/>
    </row>
    <row r="60" spans="2:30" ht="14.1" customHeight="1" x14ac:dyDescent="0.25">
      <c r="B60" s="18"/>
      <c r="C60" s="19"/>
      <c r="D60" s="212"/>
      <c r="E60" s="213"/>
      <c r="F60" s="212"/>
      <c r="G60" s="213"/>
      <c r="H60" s="212"/>
      <c r="I60" s="213"/>
      <c r="J60" s="212"/>
      <c r="K60" s="213"/>
      <c r="L60" s="212"/>
      <c r="M60" s="213"/>
      <c r="N60" s="240"/>
      <c r="O60" s="213"/>
      <c r="P60" s="212"/>
      <c r="Q60" s="213"/>
      <c r="R60" s="212"/>
      <c r="S60" s="213"/>
      <c r="T60" s="212"/>
      <c r="U60" s="213"/>
      <c r="V60" s="212"/>
      <c r="W60" s="241"/>
      <c r="X60" s="161"/>
      <c r="Y60" s="162"/>
      <c r="Z60" s="251"/>
      <c r="AA60" s="163"/>
      <c r="AB60" s="164"/>
      <c r="AC60" s="155"/>
      <c r="AD60" s="155"/>
    </row>
    <row r="61" spans="2:30" ht="14.1" customHeight="1" x14ac:dyDescent="0.25">
      <c r="B61" s="18" t="s">
        <v>17</v>
      </c>
      <c r="C61" s="19">
        <v>45757</v>
      </c>
      <c r="D61" s="205"/>
      <c r="E61" s="206"/>
      <c r="F61" s="205"/>
      <c r="G61" s="206"/>
      <c r="H61" s="205"/>
      <c r="I61" s="206"/>
      <c r="J61" s="205"/>
      <c r="K61" s="206"/>
      <c r="L61" s="205"/>
      <c r="M61" s="206"/>
      <c r="N61" s="236"/>
      <c r="O61" s="206"/>
      <c r="P61" s="205"/>
      <c r="Q61" s="206"/>
      <c r="R61" s="205"/>
      <c r="S61" s="206"/>
      <c r="T61" s="205"/>
      <c r="U61" s="206"/>
      <c r="V61" s="205"/>
      <c r="W61" s="237"/>
      <c r="X61" s="156"/>
      <c r="Y61" s="157"/>
      <c r="Z61" s="250"/>
      <c r="AA61" s="158"/>
      <c r="AB61" s="159"/>
      <c r="AC61" s="160"/>
      <c r="AD61" s="160"/>
    </row>
    <row r="62" spans="2:30" ht="14.1" customHeight="1" x14ac:dyDescent="0.25">
      <c r="B62" s="18"/>
      <c r="C62" s="19"/>
      <c r="D62" s="212"/>
      <c r="E62" s="213"/>
      <c r="F62" s="212"/>
      <c r="G62" s="213"/>
      <c r="H62" s="212"/>
      <c r="I62" s="213"/>
      <c r="J62" s="212"/>
      <c r="K62" s="213"/>
      <c r="L62" s="212"/>
      <c r="M62" s="213"/>
      <c r="N62" s="240"/>
      <c r="O62" s="213"/>
      <c r="P62" s="212"/>
      <c r="Q62" s="213"/>
      <c r="R62" s="212"/>
      <c r="S62" s="213"/>
      <c r="T62" s="212"/>
      <c r="U62" s="213"/>
      <c r="V62" s="212"/>
      <c r="W62" s="241"/>
      <c r="X62" s="161"/>
      <c r="Y62" s="162"/>
      <c r="Z62" s="251"/>
      <c r="AA62" s="163"/>
      <c r="AB62" s="164"/>
      <c r="AC62" s="155"/>
      <c r="AD62" s="155"/>
    </row>
    <row r="63" spans="2:30" ht="14.1" customHeight="1" x14ac:dyDescent="0.25">
      <c r="B63" s="18" t="s">
        <v>18</v>
      </c>
      <c r="C63" s="19">
        <v>45758</v>
      </c>
      <c r="D63" s="205"/>
      <c r="E63" s="206"/>
      <c r="F63" s="205"/>
      <c r="G63" s="206"/>
      <c r="H63" s="205"/>
      <c r="I63" s="206"/>
      <c r="J63" s="205"/>
      <c r="K63" s="206"/>
      <c r="L63" s="205"/>
      <c r="M63" s="206"/>
      <c r="N63" s="236"/>
      <c r="O63" s="206"/>
      <c r="P63" s="205"/>
      <c r="Q63" s="206"/>
      <c r="R63" s="205"/>
      <c r="S63" s="206"/>
      <c r="T63" s="205"/>
      <c r="U63" s="206"/>
      <c r="V63" s="205"/>
      <c r="W63" s="237"/>
      <c r="X63" s="156"/>
      <c r="Y63" s="157"/>
      <c r="Z63" s="250"/>
      <c r="AA63" s="158"/>
      <c r="AB63" s="159"/>
      <c r="AC63" s="160"/>
      <c r="AD63" s="160"/>
    </row>
    <row r="64" spans="2:30" ht="14.1" customHeight="1" x14ac:dyDescent="0.25">
      <c r="B64" s="18"/>
      <c r="C64" s="215"/>
      <c r="D64" s="212"/>
      <c r="E64" s="213"/>
      <c r="F64" s="212"/>
      <c r="G64" s="213"/>
      <c r="H64" s="212"/>
      <c r="I64" s="213"/>
      <c r="J64" s="212"/>
      <c r="K64" s="213"/>
      <c r="L64" s="212"/>
      <c r="M64" s="213"/>
      <c r="N64" s="240"/>
      <c r="O64" s="213"/>
      <c r="P64" s="212"/>
      <c r="Q64" s="213"/>
      <c r="R64" s="212"/>
      <c r="S64" s="213"/>
      <c r="T64" s="212"/>
      <c r="U64" s="213"/>
      <c r="V64" s="212"/>
      <c r="W64" s="241"/>
      <c r="X64" s="161"/>
      <c r="Y64" s="162"/>
      <c r="Z64" s="251"/>
      <c r="AA64" s="163"/>
      <c r="AB64" s="164"/>
      <c r="AC64" s="155"/>
      <c r="AD64" s="155"/>
    </row>
    <row r="65" spans="2:30" ht="14.1" customHeight="1" x14ac:dyDescent="0.25">
      <c r="B65" s="18" t="s">
        <v>19</v>
      </c>
      <c r="C65" s="19">
        <v>45759</v>
      </c>
      <c r="D65" s="115"/>
      <c r="E65" s="116"/>
      <c r="F65" s="115"/>
      <c r="G65" s="116"/>
      <c r="H65" s="115"/>
      <c r="I65" s="116"/>
      <c r="J65" s="115"/>
      <c r="K65" s="116"/>
      <c r="L65" s="115"/>
      <c r="M65" s="116"/>
      <c r="N65" s="117"/>
      <c r="O65" s="116"/>
      <c r="P65" s="115"/>
      <c r="Q65" s="116"/>
      <c r="R65" s="115"/>
      <c r="S65" s="116"/>
      <c r="T65" s="115"/>
      <c r="U65" s="116"/>
      <c r="V65" s="115"/>
      <c r="W65" s="118"/>
      <c r="X65" s="156"/>
      <c r="Y65" s="157"/>
      <c r="Z65" s="250"/>
      <c r="AA65" s="158"/>
      <c r="AB65" s="159"/>
      <c r="AC65" s="160"/>
      <c r="AD65" s="160"/>
    </row>
    <row r="66" spans="2:30" ht="14.1" customHeight="1" x14ac:dyDescent="0.25">
      <c r="B66" s="18"/>
      <c r="C66" s="19"/>
      <c r="D66" s="127"/>
      <c r="E66" s="128"/>
      <c r="F66" s="127"/>
      <c r="G66" s="128"/>
      <c r="H66" s="127"/>
      <c r="I66" s="128"/>
      <c r="J66" s="127"/>
      <c r="K66" s="128"/>
      <c r="L66" s="127"/>
      <c r="M66" s="128"/>
      <c r="N66" s="129"/>
      <c r="O66" s="128"/>
      <c r="P66" s="127"/>
      <c r="Q66" s="128"/>
      <c r="R66" s="127"/>
      <c r="S66" s="128"/>
      <c r="T66" s="127"/>
      <c r="U66" s="128"/>
      <c r="V66" s="127"/>
      <c r="W66" s="130"/>
      <c r="X66" s="165"/>
      <c r="Y66" s="166"/>
      <c r="Z66" s="252"/>
      <c r="AA66" s="167"/>
      <c r="AB66" s="168"/>
      <c r="AC66" s="155"/>
      <c r="AD66" s="155"/>
    </row>
    <row r="67" spans="2:30" ht="14.1" customHeight="1" x14ac:dyDescent="0.25">
      <c r="B67" s="18" t="s">
        <v>20</v>
      </c>
      <c r="C67" s="19">
        <v>45760</v>
      </c>
      <c r="D67" s="131"/>
      <c r="E67" s="132"/>
      <c r="F67" s="131"/>
      <c r="G67" s="132"/>
      <c r="H67" s="131"/>
      <c r="I67" s="132"/>
      <c r="J67" s="131"/>
      <c r="K67" s="132"/>
      <c r="L67" s="131"/>
      <c r="M67" s="132"/>
      <c r="N67" s="133"/>
      <c r="O67" s="132"/>
      <c r="P67" s="131"/>
      <c r="Q67" s="132"/>
      <c r="R67" s="131"/>
      <c r="S67" s="132"/>
      <c r="T67" s="131"/>
      <c r="U67" s="132"/>
      <c r="V67" s="131"/>
      <c r="W67" s="134"/>
      <c r="X67" s="169"/>
      <c r="Y67" s="170"/>
      <c r="Z67" s="253"/>
      <c r="AA67" s="171"/>
      <c r="AB67" s="172"/>
      <c r="AC67" s="160" t="str">
        <f>TRUNC(SUM(AA55:AA68)*24,0) &amp; ":" &amp; RIGHT("00"&amp;ROUND(((SUM(AA55:AA68)*24)-TRUNC(SUM(AA55:AA68)*24,0))*60,2),2)</f>
        <v>0:00</v>
      </c>
      <c r="AD67" s="160"/>
    </row>
    <row r="68" spans="2:30" ht="14.1" customHeight="1" x14ac:dyDescent="0.25">
      <c r="B68" s="22"/>
      <c r="C68" s="23"/>
      <c r="D68" s="135"/>
      <c r="E68" s="136"/>
      <c r="F68" s="135"/>
      <c r="G68" s="136"/>
      <c r="H68" s="135"/>
      <c r="I68" s="136"/>
      <c r="J68" s="135"/>
      <c r="K68" s="136"/>
      <c r="L68" s="135"/>
      <c r="M68" s="136"/>
      <c r="N68" s="137"/>
      <c r="O68" s="136"/>
      <c r="P68" s="135"/>
      <c r="Q68" s="136"/>
      <c r="R68" s="135"/>
      <c r="S68" s="136"/>
      <c r="T68" s="135"/>
      <c r="U68" s="136"/>
      <c r="V68" s="135"/>
      <c r="W68" s="138"/>
      <c r="X68" s="173"/>
      <c r="Y68" s="174"/>
      <c r="Z68" s="254"/>
      <c r="AA68" s="175"/>
      <c r="AB68" s="176"/>
      <c r="AC68" s="177"/>
      <c r="AD68" s="177" t="str">
        <f>TRUNC(SUM(AB55:AB68)*24,0) &amp; ":" &amp; RIGHT("00"&amp;ROUND(((SUM(AB55:AB68)*24)-TRUNC(SUM(AB55:AB68)*24,0))*60,2),2)</f>
        <v>0:00</v>
      </c>
    </row>
    <row r="69" spans="2:30" ht="14.1" customHeight="1" x14ac:dyDescent="0.25">
      <c r="B69" s="18" t="s">
        <v>14</v>
      </c>
      <c r="C69" s="19">
        <v>45761</v>
      </c>
      <c r="D69" s="207"/>
      <c r="E69" s="208"/>
      <c r="F69" s="207"/>
      <c r="G69" s="208"/>
      <c r="H69" s="207"/>
      <c r="I69" s="208"/>
      <c r="J69" s="207"/>
      <c r="K69" s="208"/>
      <c r="L69" s="207"/>
      <c r="M69" s="208"/>
      <c r="N69" s="209"/>
      <c r="O69" s="208"/>
      <c r="P69" s="207"/>
      <c r="Q69" s="208"/>
      <c r="R69" s="207"/>
      <c r="S69" s="208"/>
      <c r="T69" s="207"/>
      <c r="U69" s="208"/>
      <c r="V69" s="207"/>
      <c r="W69" s="238"/>
      <c r="X69" s="146"/>
      <c r="Y69" s="147"/>
      <c r="Z69" s="248"/>
      <c r="AA69" s="148"/>
      <c r="AB69" s="149"/>
      <c r="AC69" s="160"/>
      <c r="AD69" s="160"/>
    </row>
    <row r="70" spans="2:30" ht="14.1" customHeight="1" x14ac:dyDescent="0.25">
      <c r="B70" s="18"/>
      <c r="C70" s="19"/>
      <c r="D70" s="210"/>
      <c r="E70" s="211"/>
      <c r="F70" s="210"/>
      <c r="G70" s="211"/>
      <c r="H70" s="210"/>
      <c r="I70" s="211"/>
      <c r="J70" s="210"/>
      <c r="K70" s="211"/>
      <c r="L70" s="210"/>
      <c r="M70" s="211"/>
      <c r="N70" s="214"/>
      <c r="O70" s="211"/>
      <c r="P70" s="210"/>
      <c r="Q70" s="211"/>
      <c r="R70" s="210"/>
      <c r="S70" s="211"/>
      <c r="T70" s="210"/>
      <c r="U70" s="211"/>
      <c r="V70" s="210"/>
      <c r="W70" s="239"/>
      <c r="X70" s="151"/>
      <c r="Y70" s="152"/>
      <c r="Z70" s="249"/>
      <c r="AA70" s="153"/>
      <c r="AB70" s="154"/>
      <c r="AC70" s="155"/>
      <c r="AD70" s="155"/>
    </row>
    <row r="71" spans="2:30" ht="14.1" customHeight="1" x14ac:dyDescent="0.25">
      <c r="B71" s="18" t="s">
        <v>15</v>
      </c>
      <c r="C71" s="19">
        <v>45762</v>
      </c>
      <c r="D71" s="205"/>
      <c r="E71" s="206"/>
      <c r="F71" s="205"/>
      <c r="G71" s="206"/>
      <c r="H71" s="205"/>
      <c r="I71" s="206"/>
      <c r="J71" s="205"/>
      <c r="K71" s="206"/>
      <c r="L71" s="205"/>
      <c r="M71" s="206"/>
      <c r="N71" s="236"/>
      <c r="O71" s="206"/>
      <c r="P71" s="205"/>
      <c r="Q71" s="206"/>
      <c r="R71" s="205"/>
      <c r="S71" s="206"/>
      <c r="T71" s="205"/>
      <c r="U71" s="206"/>
      <c r="V71" s="205"/>
      <c r="W71" s="237"/>
      <c r="X71" s="156"/>
      <c r="Y71" s="157"/>
      <c r="Z71" s="250"/>
      <c r="AA71" s="158"/>
      <c r="AB71" s="159"/>
      <c r="AC71" s="160"/>
      <c r="AD71" s="160"/>
    </row>
    <row r="72" spans="2:30" ht="14.1" customHeight="1" x14ac:dyDescent="0.25">
      <c r="B72" s="18"/>
      <c r="C72" s="19"/>
      <c r="D72" s="212"/>
      <c r="E72" s="213"/>
      <c r="F72" s="212"/>
      <c r="G72" s="213"/>
      <c r="H72" s="212"/>
      <c r="I72" s="213"/>
      <c r="J72" s="212"/>
      <c r="K72" s="213"/>
      <c r="L72" s="212"/>
      <c r="M72" s="213"/>
      <c r="N72" s="240"/>
      <c r="O72" s="213"/>
      <c r="P72" s="212"/>
      <c r="Q72" s="213"/>
      <c r="R72" s="212"/>
      <c r="S72" s="213"/>
      <c r="T72" s="212"/>
      <c r="U72" s="213"/>
      <c r="V72" s="212"/>
      <c r="W72" s="241"/>
      <c r="X72" s="161"/>
      <c r="Y72" s="162"/>
      <c r="Z72" s="251"/>
      <c r="AA72" s="163"/>
      <c r="AB72" s="164"/>
      <c r="AC72" s="155"/>
      <c r="AD72" s="155"/>
    </row>
    <row r="73" spans="2:30" ht="14.1" customHeight="1" x14ac:dyDescent="0.25">
      <c r="B73" s="18" t="s">
        <v>16</v>
      </c>
      <c r="C73" s="19">
        <v>45763</v>
      </c>
      <c r="D73" s="205"/>
      <c r="E73" s="206"/>
      <c r="F73" s="205"/>
      <c r="G73" s="206"/>
      <c r="H73" s="205"/>
      <c r="I73" s="206"/>
      <c r="J73" s="205"/>
      <c r="K73" s="206"/>
      <c r="L73" s="205"/>
      <c r="M73" s="206"/>
      <c r="N73" s="236"/>
      <c r="O73" s="206"/>
      <c r="P73" s="205"/>
      <c r="Q73" s="206"/>
      <c r="R73" s="205"/>
      <c r="S73" s="206"/>
      <c r="T73" s="205"/>
      <c r="U73" s="206"/>
      <c r="V73" s="205"/>
      <c r="W73" s="237"/>
      <c r="X73" s="156"/>
      <c r="Y73" s="157"/>
      <c r="Z73" s="250"/>
      <c r="AA73" s="158"/>
      <c r="AB73" s="159"/>
      <c r="AC73" s="160"/>
      <c r="AD73" s="160"/>
    </row>
    <row r="74" spans="2:30" ht="14.1" customHeight="1" x14ac:dyDescent="0.25">
      <c r="B74" s="18"/>
      <c r="C74" s="19"/>
      <c r="D74" s="212"/>
      <c r="E74" s="213"/>
      <c r="F74" s="212"/>
      <c r="G74" s="213"/>
      <c r="H74" s="212"/>
      <c r="I74" s="213"/>
      <c r="J74" s="212"/>
      <c r="K74" s="213"/>
      <c r="L74" s="212"/>
      <c r="M74" s="213"/>
      <c r="N74" s="240"/>
      <c r="O74" s="213"/>
      <c r="P74" s="212"/>
      <c r="Q74" s="213"/>
      <c r="R74" s="212"/>
      <c r="S74" s="213"/>
      <c r="T74" s="212"/>
      <c r="U74" s="213"/>
      <c r="V74" s="212"/>
      <c r="W74" s="241"/>
      <c r="X74" s="161"/>
      <c r="Y74" s="162"/>
      <c r="Z74" s="251"/>
      <c r="AA74" s="163"/>
      <c r="AB74" s="164"/>
      <c r="AC74" s="155"/>
      <c r="AD74" s="155"/>
    </row>
    <row r="75" spans="2:30" ht="14.1" customHeight="1" x14ac:dyDescent="0.25">
      <c r="B75" s="18" t="s">
        <v>17</v>
      </c>
      <c r="C75" s="19">
        <v>45764</v>
      </c>
      <c r="D75" s="205"/>
      <c r="E75" s="206"/>
      <c r="F75" s="205"/>
      <c r="G75" s="206"/>
      <c r="H75" s="205"/>
      <c r="I75" s="206"/>
      <c r="J75" s="205"/>
      <c r="K75" s="206"/>
      <c r="L75" s="205"/>
      <c r="M75" s="206"/>
      <c r="N75" s="236"/>
      <c r="O75" s="206"/>
      <c r="P75" s="205"/>
      <c r="Q75" s="206"/>
      <c r="R75" s="205"/>
      <c r="S75" s="206"/>
      <c r="T75" s="205"/>
      <c r="U75" s="206"/>
      <c r="V75" s="205"/>
      <c r="W75" s="237"/>
      <c r="X75" s="156"/>
      <c r="Y75" s="157"/>
      <c r="Z75" s="250"/>
      <c r="AA75" s="158"/>
      <c r="AB75" s="159"/>
      <c r="AC75" s="160"/>
      <c r="AD75" s="160"/>
    </row>
    <row r="76" spans="2:30" ht="14.1" customHeight="1" x14ac:dyDescent="0.25">
      <c r="B76" s="18"/>
      <c r="C76" s="19"/>
      <c r="D76" s="212"/>
      <c r="E76" s="213"/>
      <c r="F76" s="212"/>
      <c r="G76" s="213"/>
      <c r="H76" s="212"/>
      <c r="I76" s="213"/>
      <c r="J76" s="212"/>
      <c r="K76" s="213"/>
      <c r="L76" s="212"/>
      <c r="M76" s="213"/>
      <c r="N76" s="240"/>
      <c r="O76" s="213"/>
      <c r="P76" s="212"/>
      <c r="Q76" s="213"/>
      <c r="R76" s="212"/>
      <c r="S76" s="213"/>
      <c r="T76" s="212"/>
      <c r="U76" s="213"/>
      <c r="V76" s="212"/>
      <c r="W76" s="241"/>
      <c r="X76" s="161"/>
      <c r="Y76" s="162"/>
      <c r="Z76" s="251"/>
      <c r="AA76" s="163"/>
      <c r="AB76" s="164"/>
      <c r="AC76" s="155"/>
      <c r="AD76" s="155"/>
    </row>
    <row r="77" spans="2:30" ht="14.1" customHeight="1" x14ac:dyDescent="0.25">
      <c r="B77" s="18" t="s">
        <v>18</v>
      </c>
      <c r="C77" s="19">
        <v>45765</v>
      </c>
      <c r="D77" s="205"/>
      <c r="E77" s="206"/>
      <c r="F77" s="205"/>
      <c r="G77" s="206"/>
      <c r="H77" s="205"/>
      <c r="I77" s="206"/>
      <c r="J77" s="205"/>
      <c r="K77" s="206"/>
      <c r="L77" s="205"/>
      <c r="M77" s="206"/>
      <c r="N77" s="236"/>
      <c r="O77" s="206"/>
      <c r="P77" s="205"/>
      <c r="Q77" s="206"/>
      <c r="R77" s="205"/>
      <c r="S77" s="206"/>
      <c r="T77" s="205"/>
      <c r="U77" s="206"/>
      <c r="V77" s="205"/>
      <c r="W77" s="237"/>
      <c r="X77" s="156"/>
      <c r="Y77" s="157"/>
      <c r="Z77" s="250"/>
      <c r="AA77" s="158"/>
      <c r="AB77" s="159"/>
      <c r="AC77" s="160"/>
      <c r="AD77" s="160"/>
    </row>
    <row r="78" spans="2:30" ht="14.1" customHeight="1" x14ac:dyDescent="0.25">
      <c r="B78" s="18"/>
      <c r="C78" s="19"/>
      <c r="D78" s="212"/>
      <c r="E78" s="213"/>
      <c r="F78" s="212"/>
      <c r="G78" s="213"/>
      <c r="H78" s="212"/>
      <c r="I78" s="213"/>
      <c r="J78" s="212"/>
      <c r="K78" s="213"/>
      <c r="L78" s="212"/>
      <c r="M78" s="213"/>
      <c r="N78" s="240"/>
      <c r="O78" s="213"/>
      <c r="P78" s="212"/>
      <c r="Q78" s="213"/>
      <c r="R78" s="212"/>
      <c r="S78" s="213"/>
      <c r="T78" s="212"/>
      <c r="U78" s="213"/>
      <c r="V78" s="212"/>
      <c r="W78" s="241"/>
      <c r="X78" s="161"/>
      <c r="Y78" s="162"/>
      <c r="Z78" s="251"/>
      <c r="AA78" s="163"/>
      <c r="AB78" s="164"/>
      <c r="AC78" s="155"/>
      <c r="AD78" s="155"/>
    </row>
    <row r="79" spans="2:30" ht="14.1" customHeight="1" x14ac:dyDescent="0.25">
      <c r="B79" s="18" t="s">
        <v>19</v>
      </c>
      <c r="C79" s="19">
        <v>45766</v>
      </c>
      <c r="D79" s="115"/>
      <c r="E79" s="116"/>
      <c r="F79" s="115"/>
      <c r="G79" s="116"/>
      <c r="H79" s="115"/>
      <c r="I79" s="116"/>
      <c r="J79" s="115"/>
      <c r="K79" s="116"/>
      <c r="L79" s="115"/>
      <c r="M79" s="116"/>
      <c r="N79" s="117"/>
      <c r="O79" s="116"/>
      <c r="P79" s="115"/>
      <c r="Q79" s="116"/>
      <c r="R79" s="115"/>
      <c r="S79" s="116"/>
      <c r="T79" s="115"/>
      <c r="U79" s="116"/>
      <c r="V79" s="115"/>
      <c r="W79" s="118"/>
      <c r="X79" s="156"/>
      <c r="Y79" s="157"/>
      <c r="Z79" s="250"/>
      <c r="AA79" s="158"/>
      <c r="AB79" s="159"/>
      <c r="AC79" s="160"/>
      <c r="AD79" s="160"/>
    </row>
    <row r="80" spans="2:30" ht="14.1" customHeight="1" x14ac:dyDescent="0.25">
      <c r="B80" s="18"/>
      <c r="C80" s="19"/>
      <c r="D80" s="123"/>
      <c r="E80" s="124"/>
      <c r="F80" s="123"/>
      <c r="G80" s="124"/>
      <c r="H80" s="123"/>
      <c r="I80" s="124"/>
      <c r="J80" s="123"/>
      <c r="K80" s="124"/>
      <c r="L80" s="123"/>
      <c r="M80" s="124"/>
      <c r="N80" s="125"/>
      <c r="O80" s="124"/>
      <c r="P80" s="123"/>
      <c r="Q80" s="124"/>
      <c r="R80" s="123"/>
      <c r="S80" s="124"/>
      <c r="T80" s="123"/>
      <c r="U80" s="124"/>
      <c r="V80" s="123"/>
      <c r="W80" s="126"/>
      <c r="X80" s="161"/>
      <c r="Y80" s="162"/>
      <c r="Z80" s="251"/>
      <c r="AA80" s="163"/>
      <c r="AB80" s="164"/>
      <c r="AC80" s="155"/>
      <c r="AD80" s="155"/>
    </row>
    <row r="81" spans="2:30" ht="14.1" customHeight="1" x14ac:dyDescent="0.25">
      <c r="B81" s="18" t="s">
        <v>20</v>
      </c>
      <c r="C81" s="19">
        <v>45767</v>
      </c>
      <c r="D81" s="115"/>
      <c r="E81" s="116"/>
      <c r="F81" s="115"/>
      <c r="G81" s="116"/>
      <c r="H81" s="115"/>
      <c r="I81" s="116"/>
      <c r="J81" s="115"/>
      <c r="K81" s="116"/>
      <c r="L81" s="115"/>
      <c r="M81" s="116"/>
      <c r="N81" s="117"/>
      <c r="O81" s="116"/>
      <c r="P81" s="115"/>
      <c r="Q81" s="116"/>
      <c r="R81" s="115"/>
      <c r="S81" s="116"/>
      <c r="T81" s="115"/>
      <c r="U81" s="116"/>
      <c r="V81" s="115"/>
      <c r="W81" s="118"/>
      <c r="X81" s="156"/>
      <c r="Y81" s="157"/>
      <c r="Z81" s="250"/>
      <c r="AA81" s="158"/>
      <c r="AB81" s="159"/>
      <c r="AC81" s="160" t="str">
        <f>TRUNC(SUM(AA69:AA82)*24,0) &amp; ":" &amp; RIGHT("00"&amp;ROUND(((SUM(AA69:AA82)*24)-TRUNC(SUM(AA69:AA82)*24,0))*60,2),2)</f>
        <v>0:00</v>
      </c>
      <c r="AD81" s="160"/>
    </row>
    <row r="82" spans="2:30" ht="14.1" customHeight="1" x14ac:dyDescent="0.25">
      <c r="B82" s="22"/>
      <c r="C82" s="23"/>
      <c r="D82" s="135"/>
      <c r="E82" s="136"/>
      <c r="F82" s="135"/>
      <c r="G82" s="136"/>
      <c r="H82" s="135"/>
      <c r="I82" s="136"/>
      <c r="J82" s="135"/>
      <c r="K82" s="136"/>
      <c r="L82" s="135"/>
      <c r="M82" s="136"/>
      <c r="N82" s="137"/>
      <c r="O82" s="136"/>
      <c r="P82" s="135"/>
      <c r="Q82" s="136"/>
      <c r="R82" s="135"/>
      <c r="S82" s="136"/>
      <c r="T82" s="135"/>
      <c r="U82" s="136"/>
      <c r="V82" s="135"/>
      <c r="W82" s="138"/>
      <c r="X82" s="173"/>
      <c r="Y82" s="174"/>
      <c r="Z82" s="254"/>
      <c r="AA82" s="175"/>
      <c r="AB82" s="176"/>
      <c r="AC82" s="177"/>
      <c r="AD82" s="177" t="str">
        <f>TRUNC(SUM(AB69:AB82)*24,0) &amp; ":" &amp; RIGHT("00"&amp;ROUND(((SUM(AB69:AB82)*24)-TRUNC(SUM(AB69:AB82)*24,0))*60,2),2)</f>
        <v>0:00</v>
      </c>
    </row>
    <row r="83" spans="2:30" ht="14.1" customHeight="1" x14ac:dyDescent="0.25">
      <c r="B83" s="18"/>
      <c r="C83" s="19"/>
      <c r="D83" s="207"/>
      <c r="E83" s="208"/>
      <c r="F83" s="207"/>
      <c r="G83" s="208"/>
      <c r="H83" s="111"/>
      <c r="I83" s="112"/>
      <c r="J83" s="111"/>
      <c r="K83" s="112"/>
      <c r="L83" s="111"/>
      <c r="M83" s="112"/>
      <c r="N83" s="113"/>
      <c r="O83" s="112"/>
      <c r="P83" s="111"/>
      <c r="Q83" s="112"/>
      <c r="R83" s="111"/>
      <c r="S83" s="112"/>
      <c r="T83" s="111"/>
      <c r="U83" s="112"/>
      <c r="V83" s="111"/>
      <c r="W83" s="114"/>
      <c r="X83" s="146"/>
      <c r="Y83" s="147"/>
      <c r="Z83" s="248"/>
      <c r="AA83" s="148"/>
      <c r="AB83" s="149"/>
      <c r="AC83" s="160"/>
      <c r="AD83" s="160"/>
    </row>
    <row r="84" spans="2:30" ht="14.1" customHeight="1" x14ac:dyDescent="0.25">
      <c r="B84" s="18"/>
      <c r="C84" s="19"/>
      <c r="D84" s="119"/>
      <c r="E84" s="120"/>
      <c r="F84" s="119"/>
      <c r="G84" s="120"/>
      <c r="H84" s="119"/>
      <c r="I84" s="120"/>
      <c r="J84" s="119"/>
      <c r="K84" s="120"/>
      <c r="L84" s="119"/>
      <c r="M84" s="120"/>
      <c r="N84" s="121"/>
      <c r="O84" s="120"/>
      <c r="P84" s="119"/>
      <c r="Q84" s="120"/>
      <c r="R84" s="119"/>
      <c r="S84" s="120"/>
      <c r="T84" s="119"/>
      <c r="U84" s="120"/>
      <c r="V84" s="119"/>
      <c r="W84" s="122"/>
      <c r="X84" s="151"/>
      <c r="Y84" s="152"/>
      <c r="Z84" s="249"/>
      <c r="AA84" s="153"/>
      <c r="AB84" s="154"/>
      <c r="AC84" s="155"/>
      <c r="AD84" s="155"/>
    </row>
    <row r="85" spans="2:30" ht="14.1" customHeight="1" x14ac:dyDescent="0.25">
      <c r="B85" s="18"/>
      <c r="C85" s="19"/>
      <c r="D85" s="207"/>
      <c r="E85" s="208"/>
      <c r="F85" s="207"/>
      <c r="G85" s="208"/>
      <c r="H85" s="207"/>
      <c r="I85" s="208"/>
      <c r="J85" s="207"/>
      <c r="K85" s="208"/>
      <c r="L85" s="111"/>
      <c r="M85" s="112"/>
      <c r="N85" s="113"/>
      <c r="O85" s="112"/>
      <c r="P85" s="111"/>
      <c r="Q85" s="112"/>
      <c r="R85" s="111"/>
      <c r="S85" s="112"/>
      <c r="T85" s="111"/>
      <c r="U85" s="112"/>
      <c r="V85" s="111"/>
      <c r="W85" s="114"/>
      <c r="X85" s="146"/>
      <c r="Y85" s="147"/>
      <c r="Z85" s="248"/>
      <c r="AA85" s="148"/>
      <c r="AB85" s="149"/>
      <c r="AC85" s="160"/>
      <c r="AD85" s="160"/>
    </row>
    <row r="86" spans="2:30" ht="14.1" customHeight="1" x14ac:dyDescent="0.25">
      <c r="B86" s="18"/>
      <c r="C86" s="19"/>
      <c r="D86" s="119"/>
      <c r="E86" s="120"/>
      <c r="F86" s="119"/>
      <c r="G86" s="120"/>
      <c r="H86" s="119"/>
      <c r="I86" s="120"/>
      <c r="J86" s="119"/>
      <c r="K86" s="120"/>
      <c r="L86" s="119"/>
      <c r="M86" s="120"/>
      <c r="N86" s="121"/>
      <c r="O86" s="120"/>
      <c r="P86" s="119"/>
      <c r="Q86" s="120"/>
      <c r="R86" s="119"/>
      <c r="S86" s="120"/>
      <c r="T86" s="119"/>
      <c r="U86" s="120"/>
      <c r="V86" s="119"/>
      <c r="W86" s="122"/>
      <c r="X86" s="151"/>
      <c r="Y86" s="152"/>
      <c r="Z86" s="249"/>
      <c r="AA86" s="153"/>
      <c r="AB86" s="154"/>
      <c r="AC86" s="155"/>
      <c r="AD86" s="155"/>
    </row>
    <row r="87" spans="2:30" ht="14.1" customHeight="1" x14ac:dyDescent="0.25">
      <c r="B87" s="18"/>
      <c r="C87" s="19"/>
      <c r="D87" s="207"/>
      <c r="E87" s="208"/>
      <c r="F87" s="207"/>
      <c r="G87" s="208"/>
      <c r="H87" s="207"/>
      <c r="I87" s="208"/>
      <c r="J87" s="111"/>
      <c r="K87" s="112"/>
      <c r="L87" s="111"/>
      <c r="M87" s="112"/>
      <c r="N87" s="113"/>
      <c r="O87" s="112"/>
      <c r="P87" s="111"/>
      <c r="Q87" s="112"/>
      <c r="R87" s="111"/>
      <c r="S87" s="112"/>
      <c r="T87" s="111"/>
      <c r="U87" s="112"/>
      <c r="V87" s="111"/>
      <c r="W87" s="114"/>
      <c r="X87" s="146"/>
      <c r="Y87" s="147"/>
      <c r="Z87" s="248"/>
      <c r="AA87" s="148"/>
      <c r="AB87" s="149"/>
      <c r="AC87" s="160"/>
      <c r="AD87" s="160"/>
    </row>
    <row r="88" spans="2:30" ht="14.1" customHeight="1" x14ac:dyDescent="0.25">
      <c r="B88" s="18"/>
      <c r="C88" s="19"/>
      <c r="D88" s="119"/>
      <c r="E88" s="120"/>
      <c r="F88" s="119"/>
      <c r="G88" s="120"/>
      <c r="H88" s="119"/>
      <c r="I88" s="120"/>
      <c r="J88" s="119"/>
      <c r="K88" s="120"/>
      <c r="L88" s="119"/>
      <c r="M88" s="120"/>
      <c r="N88" s="121"/>
      <c r="O88" s="120"/>
      <c r="P88" s="119"/>
      <c r="Q88" s="120"/>
      <c r="R88" s="119"/>
      <c r="S88" s="120"/>
      <c r="T88" s="119"/>
      <c r="U88" s="120"/>
      <c r="V88" s="119"/>
      <c r="W88" s="122"/>
      <c r="X88" s="151"/>
      <c r="Y88" s="152"/>
      <c r="Z88" s="249"/>
      <c r="AA88" s="153"/>
      <c r="AB88" s="154"/>
      <c r="AC88" s="155"/>
      <c r="AD88" s="155"/>
    </row>
    <row r="89" spans="2:30" ht="14.1" customHeight="1" x14ac:dyDescent="0.25">
      <c r="B89" s="18"/>
      <c r="C89" s="19"/>
      <c r="D89" s="111"/>
      <c r="E89" s="112"/>
      <c r="F89" s="111"/>
      <c r="G89" s="112"/>
      <c r="H89" s="111"/>
      <c r="I89" s="112"/>
      <c r="J89" s="111"/>
      <c r="K89" s="112"/>
      <c r="L89" s="111"/>
      <c r="M89" s="112"/>
      <c r="N89" s="113"/>
      <c r="O89" s="112"/>
      <c r="P89" s="111"/>
      <c r="Q89" s="112"/>
      <c r="R89" s="111"/>
      <c r="S89" s="112"/>
      <c r="T89" s="111"/>
      <c r="U89" s="112"/>
      <c r="V89" s="111"/>
      <c r="W89" s="114"/>
      <c r="X89" s="146"/>
      <c r="Y89" s="147"/>
      <c r="Z89" s="248"/>
      <c r="AA89" s="148"/>
      <c r="AB89" s="149"/>
      <c r="AC89" s="160"/>
      <c r="AD89" s="160"/>
    </row>
    <row r="90" spans="2:30" ht="14.1" customHeight="1" x14ac:dyDescent="0.25">
      <c r="B90" s="18"/>
      <c r="C90" s="19"/>
      <c r="D90" s="119"/>
      <c r="E90" s="120"/>
      <c r="F90" s="119"/>
      <c r="G90" s="120"/>
      <c r="H90" s="119"/>
      <c r="I90" s="120"/>
      <c r="J90" s="119"/>
      <c r="K90" s="120"/>
      <c r="L90" s="119"/>
      <c r="M90" s="120"/>
      <c r="N90" s="121"/>
      <c r="O90" s="120"/>
      <c r="P90" s="119"/>
      <c r="Q90" s="120"/>
      <c r="R90" s="119"/>
      <c r="S90" s="120"/>
      <c r="T90" s="119"/>
      <c r="U90" s="120"/>
      <c r="V90" s="119"/>
      <c r="W90" s="122"/>
      <c r="X90" s="151"/>
      <c r="Y90" s="152"/>
      <c r="Z90" s="249"/>
      <c r="AA90" s="153"/>
      <c r="AB90" s="154"/>
      <c r="AC90" s="155"/>
      <c r="AD90" s="155"/>
    </row>
    <row r="91" spans="2:30" ht="14.1" customHeight="1" x14ac:dyDescent="0.25">
      <c r="B91" s="18"/>
      <c r="C91" s="19"/>
      <c r="D91" s="205"/>
      <c r="E91" s="206"/>
      <c r="F91" s="205"/>
      <c r="G91" s="206"/>
      <c r="H91" s="115"/>
      <c r="I91" s="116"/>
      <c r="J91" s="115"/>
      <c r="K91" s="116"/>
      <c r="L91" s="115"/>
      <c r="M91" s="116"/>
      <c r="N91" s="117"/>
      <c r="O91" s="116"/>
      <c r="P91" s="115"/>
      <c r="Q91" s="116"/>
      <c r="R91" s="115"/>
      <c r="S91" s="116"/>
      <c r="T91" s="115"/>
      <c r="U91" s="116"/>
      <c r="V91" s="115"/>
      <c r="W91" s="118"/>
      <c r="X91" s="156"/>
      <c r="Y91" s="157"/>
      <c r="Z91" s="250"/>
      <c r="AA91" s="158"/>
      <c r="AB91" s="159"/>
      <c r="AC91" s="160"/>
      <c r="AD91" s="160"/>
    </row>
    <row r="92" spans="2:30" ht="14.1" customHeight="1" x14ac:dyDescent="0.25">
      <c r="B92" s="18"/>
      <c r="C92" s="19"/>
      <c r="D92" s="127"/>
      <c r="E92" s="128"/>
      <c r="F92" s="127"/>
      <c r="G92" s="128"/>
      <c r="H92" s="127"/>
      <c r="I92" s="128"/>
      <c r="J92" s="127"/>
      <c r="K92" s="128"/>
      <c r="L92" s="127"/>
      <c r="M92" s="128"/>
      <c r="N92" s="129"/>
      <c r="O92" s="128"/>
      <c r="P92" s="127"/>
      <c r="Q92" s="128"/>
      <c r="R92" s="127"/>
      <c r="S92" s="128"/>
      <c r="T92" s="127"/>
      <c r="U92" s="128"/>
      <c r="V92" s="127"/>
      <c r="W92" s="130"/>
      <c r="X92" s="165"/>
      <c r="Y92" s="166"/>
      <c r="Z92" s="252"/>
      <c r="AA92" s="167"/>
      <c r="AB92" s="168"/>
      <c r="AC92" s="155"/>
      <c r="AD92" s="155"/>
    </row>
    <row r="93" spans="2:30" ht="14.1" customHeight="1" x14ac:dyDescent="0.25">
      <c r="B93" s="18"/>
      <c r="C93" s="19"/>
      <c r="D93" s="131"/>
      <c r="E93" s="132"/>
      <c r="F93" s="131"/>
      <c r="G93" s="132"/>
      <c r="H93" s="131"/>
      <c r="I93" s="132"/>
      <c r="J93" s="131"/>
      <c r="K93" s="132"/>
      <c r="L93" s="131"/>
      <c r="M93" s="132"/>
      <c r="N93" s="133"/>
      <c r="O93" s="132"/>
      <c r="P93" s="131"/>
      <c r="Q93" s="132"/>
      <c r="R93" s="131"/>
      <c r="S93" s="132"/>
      <c r="T93" s="131"/>
      <c r="U93" s="132"/>
      <c r="V93" s="131"/>
      <c r="W93" s="134"/>
      <c r="X93" s="169"/>
      <c r="Y93" s="170"/>
      <c r="Z93" s="253"/>
      <c r="AA93" s="171"/>
      <c r="AB93" s="172"/>
      <c r="AC93" s="160"/>
      <c r="AD93" s="160"/>
    </row>
    <row r="94" spans="2:30" ht="14.1" customHeight="1" x14ac:dyDescent="0.25">
      <c r="B94" s="18"/>
      <c r="C94" s="19"/>
      <c r="D94" s="127"/>
      <c r="E94" s="128"/>
      <c r="F94" s="127"/>
      <c r="G94" s="128"/>
      <c r="H94" s="127"/>
      <c r="I94" s="128"/>
      <c r="J94" s="127"/>
      <c r="K94" s="128"/>
      <c r="L94" s="127"/>
      <c r="M94" s="128"/>
      <c r="N94" s="129"/>
      <c r="O94" s="128"/>
      <c r="P94" s="127"/>
      <c r="Q94" s="128"/>
      <c r="R94" s="127"/>
      <c r="S94" s="128"/>
      <c r="T94" s="127"/>
      <c r="U94" s="128"/>
      <c r="V94" s="127"/>
      <c r="W94" s="130"/>
      <c r="X94" s="165"/>
      <c r="Y94" s="166"/>
      <c r="Z94" s="252"/>
      <c r="AA94" s="167"/>
      <c r="AB94" s="168"/>
      <c r="AC94" s="155"/>
      <c r="AD94" s="155"/>
    </row>
    <row r="95" spans="2:30" ht="14.1" customHeight="1" x14ac:dyDescent="0.25">
      <c r="B95" s="18"/>
      <c r="C95" s="19"/>
      <c r="D95" s="131"/>
      <c r="E95" s="132"/>
      <c r="F95" s="131"/>
      <c r="G95" s="132"/>
      <c r="H95" s="131"/>
      <c r="I95" s="132"/>
      <c r="J95" s="131"/>
      <c r="K95" s="132"/>
      <c r="L95" s="131"/>
      <c r="M95" s="132"/>
      <c r="N95" s="133"/>
      <c r="O95" s="132"/>
      <c r="P95" s="131"/>
      <c r="Q95" s="132"/>
      <c r="R95" s="131"/>
      <c r="S95" s="132"/>
      <c r="T95" s="131"/>
      <c r="U95" s="132"/>
      <c r="V95" s="131"/>
      <c r="W95" s="134"/>
      <c r="X95" s="169"/>
      <c r="Y95" s="170"/>
      <c r="Z95" s="253"/>
      <c r="AA95" s="171"/>
      <c r="AB95" s="172"/>
      <c r="AC95" s="160" t="str">
        <f>TRUNC(SUM(AA83:AA96)*24,0) &amp; ":" &amp; RIGHT("00"&amp;ROUND(((SUM(AA83:AA96)*24)-TRUNC(SUM(AA83:AA96)*24,0))*60,2),2)</f>
        <v>0:00</v>
      </c>
      <c r="AD95" s="160"/>
    </row>
    <row r="96" spans="2:30" ht="14.1" customHeight="1" thickBot="1" x14ac:dyDescent="0.3">
      <c r="B96" s="30"/>
      <c r="C96" s="31"/>
      <c r="D96" s="139"/>
      <c r="E96" s="140"/>
      <c r="F96" s="139"/>
      <c r="G96" s="140"/>
      <c r="H96" s="139"/>
      <c r="I96" s="140"/>
      <c r="J96" s="139"/>
      <c r="K96" s="140"/>
      <c r="L96" s="139"/>
      <c r="M96" s="140"/>
      <c r="N96" s="141"/>
      <c r="O96" s="140"/>
      <c r="P96" s="139"/>
      <c r="Q96" s="140"/>
      <c r="R96" s="139"/>
      <c r="S96" s="140"/>
      <c r="T96" s="139"/>
      <c r="U96" s="140"/>
      <c r="V96" s="139"/>
      <c r="W96" s="142"/>
      <c r="X96" s="256"/>
      <c r="Y96" s="257"/>
      <c r="Z96" s="255"/>
      <c r="AA96" s="178"/>
      <c r="AB96" s="179"/>
      <c r="AC96" s="180"/>
      <c r="AD96" s="177" t="str">
        <f>TRUNC(SUM(AB83:AB96)*24,0) &amp; ":" &amp; RIGHT("00"&amp;ROUND(((SUM(AB83:AB96)*24)-TRUNC(SUM(AB83:AB96)*24,0))*60,2),2)</f>
        <v>0:00</v>
      </c>
    </row>
    <row r="97" spans="2:30" ht="16.5" thickTop="1" thickBot="1" x14ac:dyDescent="0.3">
      <c r="B97" s="6"/>
      <c r="C97" s="6"/>
      <c r="D97" s="6"/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26"/>
      <c r="Y97" s="27"/>
      <c r="Z97" s="258"/>
      <c r="AA97" s="144" t="str">
        <f>TRUNC(SUM(AA27:AA96)*24,0) &amp; ":" &amp; RIGHT("00"&amp;ROUND(((SUM(AA27:AA96)*24)-TRUNC(SUM(AA27:AA96)*24,0))*60,2),2)</f>
        <v>0:00</v>
      </c>
      <c r="AB97" s="145" t="str">
        <f>TRUNC(SUM(AB27:AB96)*24,0) &amp; ":" &amp; RIGHT("00"&amp;ROUND(((SUM(AB27:AB96)*24)-TRUNC(SUM(AB27:AB96)*24,0))*60,2),2)</f>
        <v>0:00</v>
      </c>
      <c r="AC97" s="143"/>
      <c r="AD97" s="29"/>
    </row>
  </sheetData>
  <mergeCells count="22">
    <mergeCell ref="AA26:AB26"/>
    <mergeCell ref="AC26:AD26"/>
    <mergeCell ref="I23:N23"/>
    <mergeCell ref="L25:M25"/>
    <mergeCell ref="B24:W24"/>
    <mergeCell ref="J25:K25"/>
    <mergeCell ref="D25:E25"/>
    <mergeCell ref="F25:G25"/>
    <mergeCell ref="H25:I25"/>
    <mergeCell ref="P25:Q25"/>
    <mergeCell ref="R25:S25"/>
    <mergeCell ref="T25:U25"/>
    <mergeCell ref="N25:O25"/>
    <mergeCell ref="V25:W25"/>
    <mergeCell ref="X25:Y25"/>
    <mergeCell ref="R23:V23"/>
    <mergeCell ref="AG3:AM3"/>
    <mergeCell ref="AG5:AM5"/>
    <mergeCell ref="AA1:AB1"/>
    <mergeCell ref="E2:G2"/>
    <mergeCell ref="N1:P1"/>
    <mergeCell ref="S1:T1"/>
  </mergeCells>
  <dataValidations count="3">
    <dataValidation type="list" allowBlank="1" showInputMessage="1" showErrorMessage="1" sqref="N1:P1">
      <formula1>"Janvier,Février,Mars,Avril,Mai,Juin,Juillet,Août,Septembre,Octobre,Novembre,Décembre"</formula1>
    </dataValidation>
    <dataValidation type="list" allowBlank="1" showInputMessage="1" showErrorMessage="1" sqref="AG5:AM5">
      <formula1>$BA$1:$BA$9</formula1>
    </dataValidation>
    <dataValidation type="list" allowBlank="1" showInputMessage="1" showErrorMessage="1" sqref="AA1:AB1">
      <formula1>"1 à 0"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03" r:id="rId4" name="MonthMinus">
          <controlPr defaultSize="0" autoLine="0" r:id="rId5">
            <anchor moveWithCells="1">
              <from>
                <xdr:col>12</xdr:col>
                <xdr:colOff>0</xdr:colOff>
                <xdr:row>0</xdr:row>
                <xdr:rowOff>0</xdr:rowOff>
              </from>
              <to>
                <xdr:col>13</xdr:col>
                <xdr:colOff>0</xdr:colOff>
                <xdr:row>1</xdr:row>
                <xdr:rowOff>38100</xdr:rowOff>
              </to>
            </anchor>
          </controlPr>
        </control>
      </mc:Choice>
      <mc:Fallback>
        <control shapeId="4103" r:id="rId4" name="MonthMinus"/>
      </mc:Fallback>
    </mc:AlternateContent>
    <mc:AlternateContent xmlns:mc="http://schemas.openxmlformats.org/markup-compatibility/2006">
      <mc:Choice Requires="x14">
        <control shapeId="4104" r:id="rId6" name="MonthPlus">
          <controlPr defaultSize="0" autoLine="0" r:id="rId7">
            <anchor moveWithCells="1">
              <from>
                <xdr:col>16</xdr:col>
                <xdr:colOff>0</xdr:colOff>
                <xdr:row>0</xdr:row>
                <xdr:rowOff>0</xdr:rowOff>
              </from>
              <to>
                <xdr:col>17</xdr:col>
                <xdr:colOff>0</xdr:colOff>
                <xdr:row>1</xdr:row>
                <xdr:rowOff>38100</xdr:rowOff>
              </to>
            </anchor>
          </controlPr>
        </control>
      </mc:Choice>
      <mc:Fallback>
        <control shapeId="4104" r:id="rId6" name="MonthPlus"/>
      </mc:Fallback>
    </mc:AlternateContent>
    <mc:AlternateContent xmlns:mc="http://schemas.openxmlformats.org/markup-compatibility/2006">
      <mc:Choice Requires="x14">
        <control shapeId="4106" r:id="rId8" name="PrtRecap_btn">
          <controlPr defaultSize="0" autoLine="0" autoPict="0" r:id="rId9">
            <anchor moveWithCells="1">
              <from>
                <xdr:col>33</xdr:col>
                <xdr:colOff>9525</xdr:colOff>
                <xdr:row>6</xdr:row>
                <xdr:rowOff>19050</xdr:rowOff>
              </from>
              <to>
                <xdr:col>37</xdr:col>
                <xdr:colOff>381000</xdr:colOff>
                <xdr:row>7</xdr:row>
                <xdr:rowOff>171450</xdr:rowOff>
              </to>
            </anchor>
          </controlPr>
        </control>
      </mc:Choice>
      <mc:Fallback>
        <control shapeId="4106" r:id="rId8" name="PrtRecap_btn"/>
      </mc:Fallback>
    </mc:AlternateContent>
    <mc:AlternateContent xmlns:mc="http://schemas.openxmlformats.org/markup-compatibility/2006">
      <mc:Choice Requires="x14">
        <control shapeId="4107" r:id="rId10" name="PrtFHebdo_btn">
          <controlPr defaultSize="0" autoLine="0" autoPict="0" r:id="rId11">
            <anchor moveWithCells="1">
              <from>
                <xdr:col>33</xdr:col>
                <xdr:colOff>9525</xdr:colOff>
                <xdr:row>10</xdr:row>
                <xdr:rowOff>9525</xdr:rowOff>
              </from>
              <to>
                <xdr:col>37</xdr:col>
                <xdr:colOff>390525</xdr:colOff>
                <xdr:row>12</xdr:row>
                <xdr:rowOff>0</xdr:rowOff>
              </to>
            </anchor>
          </controlPr>
        </control>
      </mc:Choice>
      <mc:Fallback>
        <control shapeId="4107" r:id="rId10" name="PrtFHebdo_btn"/>
      </mc:Fallback>
    </mc:AlternateContent>
    <mc:AlternateContent xmlns:mc="http://schemas.openxmlformats.org/markup-compatibility/2006">
      <mc:Choice Requires="x14">
        <control shapeId="4111" r:id="rId12" name="ActuPrt_btn">
          <controlPr defaultSize="0" autoLine="0" r:id="rId13">
            <anchor moveWithCells="1">
              <from>
                <xdr:col>39</xdr:col>
                <xdr:colOff>66675</xdr:colOff>
                <xdr:row>3</xdr:row>
                <xdr:rowOff>161925</xdr:rowOff>
              </from>
              <to>
                <xdr:col>39</xdr:col>
                <xdr:colOff>361950</xdr:colOff>
                <xdr:row>5</xdr:row>
                <xdr:rowOff>57150</xdr:rowOff>
              </to>
            </anchor>
          </controlPr>
        </control>
      </mc:Choice>
      <mc:Fallback>
        <control shapeId="4111" r:id="rId12" name="ActuPrt_btn"/>
      </mc:Fallback>
    </mc:AlternateContent>
    <mc:AlternateContent xmlns:mc="http://schemas.openxmlformats.org/markup-compatibility/2006">
      <mc:Choice Requires="x14">
        <control shapeId="4113" r:id="rId14" name="ChkPreview">
          <controlPr defaultSize="0" autoLine="0" autoPict="0" r:id="rId15">
            <anchor moveWithCells="1">
              <from>
                <xdr:col>33</xdr:col>
                <xdr:colOff>238125</xdr:colOff>
                <xdr:row>12</xdr:row>
                <xdr:rowOff>85725</xdr:rowOff>
              </from>
              <to>
                <xdr:col>37</xdr:col>
                <xdr:colOff>142875</xdr:colOff>
                <xdr:row>13</xdr:row>
                <xdr:rowOff>152400</xdr:rowOff>
              </to>
            </anchor>
          </controlPr>
        </control>
      </mc:Choice>
      <mc:Fallback>
        <control shapeId="4113" r:id="rId14" name="ChkPreview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0"/>
  <dimension ref="C1:AB49"/>
  <sheetViews>
    <sheetView workbookViewId="0">
      <selection activeCell="H19" sqref="H19"/>
    </sheetView>
  </sheetViews>
  <sheetFormatPr baseColWidth="10" defaultRowHeight="15" x14ac:dyDescent="0.25"/>
  <cols>
    <col min="1" max="1" width="4" customWidth="1"/>
    <col min="2" max="2" width="2.7109375" customWidth="1"/>
    <col min="3" max="3" width="3.28515625" customWidth="1"/>
    <col min="8" max="8" width="44.42578125" customWidth="1"/>
    <col min="9" max="9" width="2.42578125" customWidth="1"/>
    <col min="10" max="10" width="2.5703125" customWidth="1"/>
    <col min="11" max="12" width="2.140625" customWidth="1"/>
    <col min="13" max="13" width="3.28515625" customWidth="1"/>
    <col min="18" max="18" width="44.140625" customWidth="1"/>
    <col min="26" max="26" width="0" hidden="1" customWidth="1"/>
  </cols>
  <sheetData>
    <row r="1" spans="3:28" x14ac:dyDescent="0.25">
      <c r="N1" t="s">
        <v>84</v>
      </c>
      <c r="P1" t="s">
        <v>87</v>
      </c>
      <c r="Q1" t="s">
        <v>90</v>
      </c>
      <c r="Z1" t="s">
        <v>91</v>
      </c>
      <c r="AA1" t="s">
        <v>106</v>
      </c>
      <c r="AB1" t="s">
        <v>78</v>
      </c>
    </row>
    <row r="2" spans="3:28" x14ac:dyDescent="0.25">
      <c r="D2" t="s">
        <v>73</v>
      </c>
      <c r="E2" s="302"/>
      <c r="F2" s="302"/>
      <c r="G2" s="302"/>
      <c r="P2" t="s">
        <v>86</v>
      </c>
      <c r="Q2" t="s">
        <v>85</v>
      </c>
      <c r="AA2" t="s">
        <v>79</v>
      </c>
      <c r="AB2" t="s">
        <v>79</v>
      </c>
    </row>
    <row r="3" spans="3:28" x14ac:dyDescent="0.25">
      <c r="P3" t="s">
        <v>89</v>
      </c>
      <c r="Q3" t="s">
        <v>88</v>
      </c>
      <c r="AA3" t="s">
        <v>30</v>
      </c>
      <c r="AB3" t="s">
        <v>30</v>
      </c>
    </row>
    <row r="4" spans="3:28" x14ac:dyDescent="0.25">
      <c r="D4" t="s">
        <v>74</v>
      </c>
      <c r="E4" s="320"/>
      <c r="F4" s="320"/>
      <c r="G4" s="320"/>
      <c r="AA4" t="s">
        <v>83</v>
      </c>
      <c r="AB4" t="s">
        <v>83</v>
      </c>
    </row>
    <row r="7" spans="3:28" ht="15.75" thickBot="1" x14ac:dyDescent="0.3"/>
    <row r="8" spans="3:28" ht="15.75" thickBot="1" x14ac:dyDescent="0.3">
      <c r="O8" s="264" t="s">
        <v>71</v>
      </c>
      <c r="P8" s="265" t="s">
        <v>2</v>
      </c>
      <c r="Q8" s="266" t="s">
        <v>3</v>
      </c>
      <c r="R8" s="267" t="s">
        <v>72</v>
      </c>
    </row>
    <row r="9" spans="3:28" ht="16.5" thickTop="1" thickBot="1" x14ac:dyDescent="0.3">
      <c r="E9" s="260" t="s">
        <v>71</v>
      </c>
      <c r="F9" s="261" t="s">
        <v>2</v>
      </c>
      <c r="G9" s="262" t="s">
        <v>3</v>
      </c>
      <c r="H9" s="263" t="s">
        <v>72</v>
      </c>
      <c r="O9" s="297"/>
      <c r="P9" s="298"/>
      <c r="Q9" s="299"/>
      <c r="R9" s="300"/>
    </row>
    <row r="10" spans="3:28" ht="15.75" thickBot="1" x14ac:dyDescent="0.3">
      <c r="C10" s="273"/>
      <c r="D10" s="283"/>
      <c r="E10" s="284"/>
      <c r="F10" s="285"/>
      <c r="G10" s="286"/>
      <c r="H10" s="287"/>
      <c r="O10" s="288"/>
      <c r="P10" s="289"/>
      <c r="Q10" s="290"/>
      <c r="R10" s="291"/>
    </row>
    <row r="11" spans="3:28" x14ac:dyDescent="0.25">
      <c r="O11" s="288"/>
      <c r="P11" s="289"/>
      <c r="Q11" s="290"/>
      <c r="R11" s="291"/>
    </row>
    <row r="12" spans="3:28" x14ac:dyDescent="0.25">
      <c r="O12" s="288"/>
      <c r="P12" s="289"/>
      <c r="Q12" s="290"/>
      <c r="R12" s="291"/>
    </row>
    <row r="13" spans="3:28" x14ac:dyDescent="0.25">
      <c r="O13" s="288"/>
      <c r="P13" s="289"/>
      <c r="Q13" s="290"/>
      <c r="R13" s="291"/>
    </row>
    <row r="14" spans="3:28" x14ac:dyDescent="0.25">
      <c r="O14" s="288"/>
      <c r="P14" s="289"/>
      <c r="Q14" s="290"/>
      <c r="R14" s="291"/>
    </row>
    <row r="15" spans="3:28" x14ac:dyDescent="0.25">
      <c r="O15" s="288"/>
      <c r="P15" s="289"/>
      <c r="Q15" s="290"/>
      <c r="R15" s="291"/>
    </row>
    <row r="16" spans="3:28" ht="15.75" thickBot="1" x14ac:dyDescent="0.3">
      <c r="O16" s="288"/>
      <c r="P16" s="289"/>
      <c r="Q16" s="290"/>
      <c r="R16" s="291"/>
    </row>
    <row r="17" spans="4:18" ht="15.75" thickBot="1" x14ac:dyDescent="0.3">
      <c r="D17" s="321" t="s">
        <v>80</v>
      </c>
      <c r="E17" s="322"/>
      <c r="F17" s="322"/>
      <c r="G17" s="323"/>
      <c r="O17" s="288"/>
      <c r="P17" s="289"/>
      <c r="Q17" s="290"/>
      <c r="R17" s="291"/>
    </row>
    <row r="18" spans="4:18" x14ac:dyDescent="0.25">
      <c r="D18" s="198"/>
      <c r="G18" s="199"/>
      <c r="O18" s="288"/>
      <c r="P18" s="289"/>
      <c r="Q18" s="290"/>
      <c r="R18" s="291"/>
    </row>
    <row r="19" spans="4:18" x14ac:dyDescent="0.25">
      <c r="D19" s="198" t="s">
        <v>81</v>
      </c>
      <c r="E19" s="40"/>
      <c r="G19" s="199"/>
      <c r="O19" s="288"/>
      <c r="P19" s="289"/>
      <c r="Q19" s="290"/>
      <c r="R19" s="291"/>
    </row>
    <row r="20" spans="4:18" ht="15.75" thickBot="1" x14ac:dyDescent="0.3">
      <c r="D20" s="268" t="s">
        <v>82</v>
      </c>
      <c r="E20" s="269"/>
      <c r="F20" s="200"/>
      <c r="G20" s="201"/>
      <c r="O20" s="288"/>
      <c r="P20" s="289"/>
      <c r="Q20" s="290"/>
      <c r="R20" s="291"/>
    </row>
    <row r="21" spans="4:18" x14ac:dyDescent="0.25">
      <c r="O21" s="288"/>
      <c r="P21" s="289"/>
      <c r="Q21" s="290"/>
      <c r="R21" s="291"/>
    </row>
    <row r="22" spans="4:18" x14ac:dyDescent="0.25">
      <c r="O22" s="288"/>
      <c r="P22" s="289"/>
      <c r="Q22" s="290"/>
      <c r="R22" s="291"/>
    </row>
    <row r="23" spans="4:18" x14ac:dyDescent="0.25">
      <c r="O23" s="288"/>
      <c r="P23" s="289"/>
      <c r="Q23" s="290"/>
      <c r="R23" s="291"/>
    </row>
    <row r="24" spans="4:18" x14ac:dyDescent="0.25">
      <c r="O24" s="288"/>
      <c r="P24" s="289"/>
      <c r="Q24" s="290"/>
      <c r="R24" s="291"/>
    </row>
    <row r="25" spans="4:18" x14ac:dyDescent="0.25">
      <c r="O25" s="288"/>
      <c r="P25" s="289"/>
      <c r="Q25" s="290"/>
      <c r="R25" s="291"/>
    </row>
    <row r="26" spans="4:18" x14ac:dyDescent="0.25">
      <c r="O26" s="288"/>
      <c r="P26" s="289"/>
      <c r="Q26" s="290"/>
      <c r="R26" s="291"/>
    </row>
    <row r="27" spans="4:18" x14ac:dyDescent="0.25">
      <c r="O27" s="288"/>
      <c r="P27" s="289"/>
      <c r="Q27" s="290"/>
      <c r="R27" s="291"/>
    </row>
    <row r="28" spans="4:18" x14ac:dyDescent="0.25">
      <c r="O28" s="288"/>
      <c r="P28" s="289"/>
      <c r="Q28" s="290"/>
      <c r="R28" s="291"/>
    </row>
    <row r="29" spans="4:18" x14ac:dyDescent="0.25">
      <c r="O29" s="288"/>
      <c r="P29" s="292"/>
      <c r="Q29" s="290"/>
      <c r="R29" s="291"/>
    </row>
    <row r="30" spans="4:18" x14ac:dyDescent="0.25">
      <c r="O30" s="288"/>
      <c r="P30" s="292"/>
      <c r="Q30" s="290"/>
      <c r="R30" s="291"/>
    </row>
    <row r="31" spans="4:18" x14ac:dyDescent="0.25">
      <c r="O31" s="288"/>
      <c r="P31" s="292"/>
      <c r="Q31" s="290"/>
      <c r="R31" s="291"/>
    </row>
    <row r="32" spans="4:18" x14ac:dyDescent="0.25">
      <c r="O32" s="288"/>
      <c r="P32" s="292"/>
      <c r="Q32" s="290"/>
      <c r="R32" s="291"/>
    </row>
    <row r="33" spans="15:18" x14ac:dyDescent="0.25">
      <c r="O33" s="288"/>
      <c r="P33" s="292"/>
      <c r="Q33" s="290"/>
      <c r="R33" s="291"/>
    </row>
    <row r="34" spans="15:18" x14ac:dyDescent="0.25">
      <c r="O34" s="288"/>
      <c r="P34" s="292"/>
      <c r="Q34" s="290"/>
      <c r="R34" s="291"/>
    </row>
    <row r="35" spans="15:18" x14ac:dyDescent="0.25">
      <c r="O35" s="288"/>
      <c r="P35" s="292"/>
      <c r="Q35" s="290"/>
      <c r="R35" s="291"/>
    </row>
    <row r="36" spans="15:18" x14ac:dyDescent="0.25">
      <c r="O36" s="288"/>
      <c r="P36" s="292"/>
      <c r="Q36" s="290"/>
      <c r="R36" s="291"/>
    </row>
    <row r="37" spans="15:18" x14ac:dyDescent="0.25">
      <c r="O37" s="288"/>
      <c r="P37" s="292"/>
      <c r="Q37" s="290"/>
      <c r="R37" s="291"/>
    </row>
    <row r="38" spans="15:18" x14ac:dyDescent="0.25">
      <c r="O38" s="288"/>
      <c r="P38" s="292"/>
      <c r="Q38" s="290"/>
      <c r="R38" s="291"/>
    </row>
    <row r="39" spans="15:18" x14ac:dyDescent="0.25">
      <c r="O39" s="288"/>
      <c r="P39" s="292"/>
      <c r="Q39" s="290"/>
      <c r="R39" s="291"/>
    </row>
    <row r="40" spans="15:18" x14ac:dyDescent="0.25">
      <c r="O40" s="288"/>
      <c r="P40" s="292"/>
      <c r="Q40" s="290"/>
      <c r="R40" s="291"/>
    </row>
    <row r="41" spans="15:18" x14ac:dyDescent="0.25">
      <c r="O41" s="288"/>
      <c r="P41" s="292"/>
      <c r="Q41" s="290"/>
      <c r="R41" s="291"/>
    </row>
    <row r="42" spans="15:18" x14ac:dyDescent="0.25">
      <c r="O42" s="288"/>
      <c r="P42" s="292"/>
      <c r="Q42" s="290"/>
      <c r="R42" s="291"/>
    </row>
    <row r="43" spans="15:18" x14ac:dyDescent="0.25">
      <c r="O43" s="288"/>
      <c r="P43" s="292"/>
      <c r="Q43" s="290"/>
      <c r="R43" s="291"/>
    </row>
    <row r="44" spans="15:18" x14ac:dyDescent="0.25">
      <c r="O44" s="288"/>
      <c r="P44" s="292"/>
      <c r="Q44" s="290"/>
      <c r="R44" s="291"/>
    </row>
    <row r="45" spans="15:18" x14ac:dyDescent="0.25">
      <c r="O45" s="288"/>
      <c r="P45" s="292"/>
      <c r="Q45" s="290"/>
      <c r="R45" s="291"/>
    </row>
    <row r="46" spans="15:18" x14ac:dyDescent="0.25">
      <c r="O46" s="288"/>
      <c r="P46" s="292"/>
      <c r="Q46" s="290"/>
      <c r="R46" s="291"/>
    </row>
    <row r="47" spans="15:18" x14ac:dyDescent="0.25">
      <c r="O47" s="288"/>
      <c r="P47" s="292"/>
      <c r="Q47" s="290"/>
      <c r="R47" s="291"/>
    </row>
    <row r="48" spans="15:18" x14ac:dyDescent="0.25">
      <c r="O48" s="288"/>
      <c r="P48" s="292"/>
      <c r="Q48" s="290"/>
      <c r="R48" s="291"/>
    </row>
    <row r="49" spans="15:18" ht="15.75" thickBot="1" x14ac:dyDescent="0.3">
      <c r="O49" s="293"/>
      <c r="P49" s="294"/>
      <c r="Q49" s="295"/>
      <c r="R49" s="296"/>
    </row>
  </sheetData>
  <mergeCells count="3">
    <mergeCell ref="E2:G2"/>
    <mergeCell ref="E4:G4"/>
    <mergeCell ref="D17:G17"/>
  </mergeCells>
  <dataValidations count="1">
    <dataValidation type="list" allowBlank="1" showInputMessage="1" showErrorMessage="1" sqref="E19">
      <formula1>$AB$1:$AB$4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43" r:id="rId3" name="DisableBtn">
          <controlPr defaultSize="0" disabled="1" autoLine="0" r:id="rId4">
            <anchor moveWithCells="1">
              <from>
                <xdr:col>3</xdr:col>
                <xdr:colOff>0</xdr:colOff>
                <xdr:row>11</xdr:row>
                <xdr:rowOff>180975</xdr:rowOff>
              </from>
              <to>
                <xdr:col>4</xdr:col>
                <xdr:colOff>647700</xdr:colOff>
                <xdr:row>13</xdr:row>
                <xdr:rowOff>66675</xdr:rowOff>
              </to>
            </anchor>
          </controlPr>
        </control>
      </mc:Choice>
      <mc:Fallback>
        <control shapeId="10243" r:id="rId3" name="DisableBtn"/>
      </mc:Fallback>
    </mc:AlternateContent>
    <mc:AlternateContent xmlns:mc="http://schemas.openxmlformats.org/markup-compatibility/2006">
      <mc:Choice Requires="x14">
        <control shapeId="10242" r:id="rId5" name="DatePickerBtn">
          <controlPr defaultSize="0" disabled="1" autoLine="0" r:id="rId6">
            <anchor moveWithCells="1">
              <from>
                <xdr:col>7</xdr:col>
                <xdr:colOff>9525</xdr:colOff>
                <xdr:row>2</xdr:row>
                <xdr:rowOff>123825</xdr:rowOff>
              </from>
              <to>
                <xdr:col>7</xdr:col>
                <xdr:colOff>390525</xdr:colOff>
                <xdr:row>4</xdr:row>
                <xdr:rowOff>76200</xdr:rowOff>
              </to>
            </anchor>
          </controlPr>
        </control>
      </mc:Choice>
      <mc:Fallback>
        <control shapeId="10242" r:id="rId5" name="DatePickerBtn"/>
      </mc:Fallback>
    </mc:AlternateContent>
    <mc:AlternateContent xmlns:mc="http://schemas.openxmlformats.org/markup-compatibility/2006">
      <mc:Choice Requires="x14">
        <control shapeId="10248" r:id="rId7" name="DelBtn">
          <controlPr defaultSize="0" disabled="1" autoLine="0" r:id="rId8">
            <anchor moveWithCells="1">
              <from>
                <xdr:col>5</xdr:col>
                <xdr:colOff>114300</xdr:colOff>
                <xdr:row>11</xdr:row>
                <xdr:rowOff>180975</xdr:rowOff>
              </from>
              <to>
                <xdr:col>7</xdr:col>
                <xdr:colOff>0</xdr:colOff>
                <xdr:row>13</xdr:row>
                <xdr:rowOff>66675</xdr:rowOff>
              </to>
            </anchor>
          </controlPr>
        </control>
      </mc:Choice>
      <mc:Fallback>
        <control shapeId="10248" r:id="rId7" name="DelBtn"/>
      </mc:Fallback>
    </mc:AlternateContent>
    <mc:AlternateContent xmlns:mc="http://schemas.openxmlformats.org/markup-compatibility/2006">
      <mc:Choice Requires="x14">
        <control shapeId="10249" r:id="rId9" name="NewPtBtn">
          <controlPr defaultSize="0" disabled="1" autoLine="0" r:id="rId10">
            <anchor moveWithCells="1">
              <from>
                <xdr:col>5</xdr:col>
                <xdr:colOff>342900</xdr:colOff>
                <xdr:row>18</xdr:row>
                <xdr:rowOff>38100</xdr:rowOff>
              </from>
              <to>
                <xdr:col>6</xdr:col>
                <xdr:colOff>647700</xdr:colOff>
                <xdr:row>19</xdr:row>
                <xdr:rowOff>114300</xdr:rowOff>
              </to>
            </anchor>
          </controlPr>
        </control>
      </mc:Choice>
      <mc:Fallback>
        <control shapeId="10249" r:id="rId9" name="NewPtBtn"/>
      </mc:Fallback>
    </mc:AlternateContent>
    <mc:AlternateContent xmlns:mc="http://schemas.openxmlformats.org/markup-compatibility/2006">
      <mc:Choice Requires="x14">
        <control shapeId="10250" r:id="rId11" name="CorrBtn">
          <controlPr defaultSize="0" disabled="1" autoLine="0" r:id="rId12">
            <anchor moveWithCells="1">
              <from>
                <xdr:col>7</xdr:col>
                <xdr:colOff>228600</xdr:colOff>
                <xdr:row>11</xdr:row>
                <xdr:rowOff>171450</xdr:rowOff>
              </from>
              <to>
                <xdr:col>7</xdr:col>
                <xdr:colOff>1876425</xdr:colOff>
                <xdr:row>13</xdr:row>
                <xdr:rowOff>57150</xdr:rowOff>
              </to>
            </anchor>
          </controlPr>
        </control>
      </mc:Choice>
      <mc:Fallback>
        <control shapeId="10250" r:id="rId11" name="CorrBtn"/>
      </mc:Fallback>
    </mc:AlternateContent>
    <mc:AlternateContent xmlns:mc="http://schemas.openxmlformats.org/markup-compatibility/2006">
      <mc:Choice Requires="x14">
        <control shapeId="10251" r:id="rId13" name="CorrRejBtn">
          <controlPr defaultSize="0" disabled="1" autoLine="0" r:id="rId14">
            <anchor moveWithCells="1">
              <from>
                <xdr:col>7</xdr:col>
                <xdr:colOff>228600</xdr:colOff>
                <xdr:row>13</xdr:row>
                <xdr:rowOff>152400</xdr:rowOff>
              </from>
              <to>
                <xdr:col>7</xdr:col>
                <xdr:colOff>1876425</xdr:colOff>
                <xdr:row>15</xdr:row>
                <xdr:rowOff>57150</xdr:rowOff>
              </to>
            </anchor>
          </controlPr>
        </control>
      </mc:Choice>
      <mc:Fallback>
        <control shapeId="10251" r:id="rId13" name="CorrRejBt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/>
  <dimension ref="A1:N44"/>
  <sheetViews>
    <sheetView tabSelected="1" workbookViewId="0">
      <selection activeCell="H13" sqref="H13"/>
    </sheetView>
  </sheetViews>
  <sheetFormatPr baseColWidth="10" defaultRowHeight="15" x14ac:dyDescent="0.25"/>
  <cols>
    <col min="1" max="1" width="19.28515625" customWidth="1"/>
    <col min="2" max="2" width="14.28515625" customWidth="1"/>
    <col min="3" max="3" width="16.42578125" customWidth="1"/>
    <col min="7" max="7" width="14.42578125" customWidth="1"/>
  </cols>
  <sheetData>
    <row r="1" spans="1:14" ht="16.5" thickTop="1" thickBot="1" x14ac:dyDescent="0.3">
      <c r="A1" s="3" t="s">
        <v>0</v>
      </c>
      <c r="B1" s="274" t="s">
        <v>1</v>
      </c>
      <c r="C1" s="102" t="s">
        <v>36</v>
      </c>
      <c r="D1" s="278" t="s">
        <v>100</v>
      </c>
      <c r="M1" t="s">
        <v>66</v>
      </c>
      <c r="N1" t="s">
        <v>102</v>
      </c>
    </row>
    <row r="2" spans="1:14" ht="15.75" thickTop="1" x14ac:dyDescent="0.25">
      <c r="A2" s="259"/>
      <c r="B2" s="275"/>
      <c r="C2" s="276"/>
      <c r="D2" s="279"/>
      <c r="N2" t="s">
        <v>103</v>
      </c>
    </row>
    <row r="3" spans="1:14" x14ac:dyDescent="0.25">
      <c r="A3" s="1"/>
      <c r="B3" s="103"/>
      <c r="C3" s="277"/>
      <c r="D3" s="280"/>
    </row>
    <row r="4" spans="1:14" x14ac:dyDescent="0.25">
      <c r="A4" s="1"/>
      <c r="B4" s="103"/>
      <c r="C4" s="277"/>
      <c r="D4" s="280"/>
    </row>
    <row r="5" spans="1:14" x14ac:dyDescent="0.25">
      <c r="A5" s="1"/>
      <c r="B5" s="103"/>
      <c r="C5" s="277"/>
      <c r="D5" s="280"/>
    </row>
    <row r="6" spans="1:14" x14ac:dyDescent="0.25">
      <c r="A6" s="1"/>
      <c r="B6" s="103"/>
      <c r="C6" s="277"/>
      <c r="D6" s="280"/>
    </row>
    <row r="7" spans="1:14" x14ac:dyDescent="0.25">
      <c r="A7" s="1"/>
      <c r="B7" s="103"/>
      <c r="C7" s="277"/>
      <c r="D7" s="280"/>
    </row>
    <row r="8" spans="1:14" x14ac:dyDescent="0.25">
      <c r="A8" s="1"/>
      <c r="B8" s="103"/>
      <c r="C8" s="277"/>
      <c r="D8" s="280"/>
    </row>
    <row r="9" spans="1:14" x14ac:dyDescent="0.25">
      <c r="A9" s="1"/>
      <c r="B9" s="103"/>
      <c r="C9" s="277"/>
      <c r="D9" s="280"/>
    </row>
    <row r="10" spans="1:14" x14ac:dyDescent="0.25">
      <c r="A10" s="1"/>
      <c r="B10" s="103"/>
      <c r="C10" s="277"/>
      <c r="D10" s="280"/>
    </row>
    <row r="11" spans="1:14" x14ac:dyDescent="0.25">
      <c r="A11" s="1"/>
      <c r="B11" s="103"/>
      <c r="C11" s="277"/>
      <c r="D11" s="280"/>
    </row>
    <row r="12" spans="1:14" x14ac:dyDescent="0.25">
      <c r="A12" s="1"/>
      <c r="B12" s="103"/>
      <c r="C12" s="277"/>
      <c r="D12" s="280"/>
    </row>
    <row r="13" spans="1:14" x14ac:dyDescent="0.25">
      <c r="A13" s="1"/>
      <c r="B13" s="103"/>
      <c r="C13" s="103"/>
      <c r="D13" s="280"/>
    </row>
    <row r="14" spans="1:14" x14ac:dyDescent="0.25">
      <c r="A14" s="1"/>
      <c r="B14" s="103"/>
      <c r="C14" s="103"/>
      <c r="D14" s="280"/>
    </row>
    <row r="15" spans="1:14" x14ac:dyDescent="0.25">
      <c r="A15" s="1"/>
      <c r="B15" s="103"/>
      <c r="C15" s="103"/>
      <c r="D15" s="280"/>
    </row>
    <row r="16" spans="1:14" x14ac:dyDescent="0.25">
      <c r="A16" s="1"/>
      <c r="B16" s="103"/>
      <c r="C16" s="103"/>
      <c r="D16" s="280"/>
    </row>
    <row r="17" spans="1:4" x14ac:dyDescent="0.25">
      <c r="A17" s="1"/>
      <c r="B17" s="103"/>
      <c r="C17" s="103"/>
      <c r="D17" s="280"/>
    </row>
    <row r="18" spans="1:4" x14ac:dyDescent="0.25">
      <c r="A18" s="1"/>
      <c r="B18" s="103"/>
      <c r="C18" s="103"/>
      <c r="D18" s="280"/>
    </row>
    <row r="19" spans="1:4" x14ac:dyDescent="0.25">
      <c r="A19" s="1"/>
      <c r="B19" s="103"/>
      <c r="C19" s="103"/>
      <c r="D19" s="280"/>
    </row>
    <row r="20" spans="1:4" x14ac:dyDescent="0.25">
      <c r="A20" s="1"/>
      <c r="B20" s="103"/>
      <c r="C20" s="103"/>
      <c r="D20" s="280"/>
    </row>
    <row r="21" spans="1:4" x14ac:dyDescent="0.25">
      <c r="A21" s="1"/>
      <c r="B21" s="103"/>
      <c r="C21" s="103"/>
      <c r="D21" s="280"/>
    </row>
    <row r="22" spans="1:4" x14ac:dyDescent="0.25">
      <c r="A22" s="1"/>
      <c r="B22" s="103"/>
      <c r="C22" s="103"/>
      <c r="D22" s="280"/>
    </row>
    <row r="23" spans="1:4" x14ac:dyDescent="0.25">
      <c r="A23" s="1"/>
      <c r="B23" s="103"/>
      <c r="C23" s="103"/>
      <c r="D23" s="280"/>
    </row>
    <row r="24" spans="1:4" x14ac:dyDescent="0.25">
      <c r="A24" s="1"/>
      <c r="B24" s="103"/>
      <c r="C24" s="103"/>
      <c r="D24" s="280"/>
    </row>
    <row r="25" spans="1:4" x14ac:dyDescent="0.25">
      <c r="A25" s="1"/>
      <c r="B25" s="103"/>
      <c r="C25" s="103"/>
      <c r="D25" s="280"/>
    </row>
    <row r="26" spans="1:4" x14ac:dyDescent="0.25">
      <c r="A26" s="1"/>
      <c r="B26" s="103"/>
      <c r="C26" s="103"/>
      <c r="D26" s="280"/>
    </row>
    <row r="27" spans="1:4" x14ac:dyDescent="0.25">
      <c r="A27" s="1"/>
      <c r="B27" s="103"/>
      <c r="C27" s="103"/>
      <c r="D27" s="280"/>
    </row>
    <row r="28" spans="1:4" x14ac:dyDescent="0.25">
      <c r="A28" s="1"/>
      <c r="B28" s="103"/>
      <c r="C28" s="103"/>
      <c r="D28" s="280"/>
    </row>
    <row r="29" spans="1:4" x14ac:dyDescent="0.25">
      <c r="A29" s="1"/>
      <c r="B29" s="103"/>
      <c r="C29" s="103"/>
      <c r="D29" s="280"/>
    </row>
    <row r="30" spans="1:4" ht="15.75" thickBot="1" x14ac:dyDescent="0.3">
      <c r="A30" s="2"/>
      <c r="B30" s="104"/>
      <c r="C30" s="104"/>
      <c r="D30" s="281"/>
    </row>
    <row r="31" spans="1:4" ht="15.75" thickTop="1" x14ac:dyDescent="0.25"/>
    <row r="37" spans="1:5" x14ac:dyDescent="0.25">
      <c r="A37" t="s">
        <v>39</v>
      </c>
    </row>
    <row r="39" spans="1:5" ht="15.75" x14ac:dyDescent="0.25">
      <c r="B39" t="s">
        <v>98</v>
      </c>
      <c r="C39" s="302"/>
      <c r="D39" s="302"/>
      <c r="E39" s="182" t="s">
        <v>97</v>
      </c>
    </row>
    <row r="41" spans="1:5" ht="15" customHeight="1" x14ac:dyDescent="0.25">
      <c r="B41" s="181" t="s">
        <v>40</v>
      </c>
      <c r="C41" s="301"/>
      <c r="E41" s="183" t="s">
        <v>44</v>
      </c>
    </row>
    <row r="42" spans="1:5" x14ac:dyDescent="0.25">
      <c r="B42" s="181" t="s">
        <v>41</v>
      </c>
      <c r="C42" s="282"/>
      <c r="E42" s="183" t="s">
        <v>45</v>
      </c>
    </row>
    <row r="43" spans="1:5" x14ac:dyDescent="0.25">
      <c r="B43" s="181" t="s">
        <v>42</v>
      </c>
      <c r="C43" s="282"/>
    </row>
    <row r="44" spans="1:5" x14ac:dyDescent="0.25">
      <c r="B44" s="181" t="s">
        <v>43</v>
      </c>
      <c r="C44" s="282"/>
    </row>
  </sheetData>
  <mergeCells count="1">
    <mergeCell ref="C39:D39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8" r:id="rId4" name="ImportBtn">
          <controlPr defaultSize="0" autoLine="0" autoPict="0" r:id="rId5">
            <anchor moveWithCells="1">
              <from>
                <xdr:col>5</xdr:col>
                <xdr:colOff>9525</xdr:colOff>
                <xdr:row>28</xdr:row>
                <xdr:rowOff>180975</xdr:rowOff>
              </from>
              <to>
                <xdr:col>8</xdr:col>
                <xdr:colOff>457200</xdr:colOff>
                <xdr:row>30</xdr:row>
                <xdr:rowOff>133350</xdr:rowOff>
              </to>
            </anchor>
          </controlPr>
        </control>
      </mc:Choice>
      <mc:Fallback>
        <control shapeId="3078" r:id="rId4" name="ImportBtn"/>
      </mc:Fallback>
    </mc:AlternateContent>
    <mc:AlternateContent xmlns:mc="http://schemas.openxmlformats.org/markup-compatibility/2006">
      <mc:Choice Requires="x14">
        <control shapeId="3076" r:id="rId6" name="UpdtCfg">
          <controlPr defaultSize="0" autoLine="0" r:id="rId7">
            <anchor moveWithCells="1">
              <from>
                <xdr:col>1</xdr:col>
                <xdr:colOff>0</xdr:colOff>
                <xdr:row>44</xdr:row>
                <xdr:rowOff>180975</xdr:rowOff>
              </from>
              <to>
                <xdr:col>3</xdr:col>
                <xdr:colOff>238125</xdr:colOff>
                <xdr:row>46</xdr:row>
                <xdr:rowOff>114300</xdr:rowOff>
              </to>
            </anchor>
          </controlPr>
        </control>
      </mc:Choice>
      <mc:Fallback>
        <control shapeId="3076" r:id="rId6" name="UpdtCfg"/>
      </mc:Fallback>
    </mc:AlternateContent>
    <mc:AlternateContent xmlns:mc="http://schemas.openxmlformats.org/markup-compatibility/2006">
      <mc:Choice Requires="x14">
        <control shapeId="3075" r:id="rId8" name="ReadCfg">
          <controlPr defaultSize="0" autoLine="0" r:id="rId9">
            <anchor moveWithCells="1">
              <from>
                <xdr:col>1</xdr:col>
                <xdr:colOff>400050</xdr:colOff>
                <xdr:row>35</xdr:row>
                <xdr:rowOff>142875</xdr:rowOff>
              </from>
              <to>
                <xdr:col>3</xdr:col>
                <xdr:colOff>171450</xdr:colOff>
                <xdr:row>37</xdr:row>
                <xdr:rowOff>66675</xdr:rowOff>
              </to>
            </anchor>
          </controlPr>
        </control>
      </mc:Choice>
      <mc:Fallback>
        <control shapeId="3075" r:id="rId8" name="ReadCfg"/>
      </mc:Fallback>
    </mc:AlternateContent>
    <mc:AlternateContent xmlns:mc="http://schemas.openxmlformats.org/markup-compatibility/2006">
      <mc:Choice Requires="x14">
        <control shapeId="3074" r:id="rId10" name="Upt_list">
          <controlPr defaultSize="0" autoLine="0" r:id="rId11">
            <anchor moveWithCells="1">
              <from>
                <xdr:col>0</xdr:col>
                <xdr:colOff>457200</xdr:colOff>
                <xdr:row>31</xdr:row>
                <xdr:rowOff>0</xdr:rowOff>
              </from>
              <to>
                <xdr:col>2</xdr:col>
                <xdr:colOff>257175</xdr:colOff>
                <xdr:row>32</xdr:row>
                <xdr:rowOff>161925</xdr:rowOff>
              </to>
            </anchor>
          </controlPr>
        </control>
      </mc:Choice>
      <mc:Fallback>
        <control shapeId="3074" r:id="rId10" name="Upt_list"/>
      </mc:Fallback>
    </mc:AlternateContent>
    <mc:AlternateContent xmlns:mc="http://schemas.openxmlformats.org/markup-compatibility/2006">
      <mc:Choice Requires="x14">
        <control shapeId="3073" r:id="rId12" name="DL_Pointages">
          <controlPr defaultSize="0" autoLine="0" r:id="rId13">
            <anchor moveWithCells="1">
              <from>
                <xdr:col>4</xdr:col>
                <xdr:colOff>742950</xdr:colOff>
                <xdr:row>0</xdr:row>
                <xdr:rowOff>190500</xdr:rowOff>
              </from>
              <to>
                <xdr:col>7</xdr:col>
                <xdr:colOff>514350</xdr:colOff>
                <xdr:row>2</xdr:row>
                <xdr:rowOff>66675</xdr:rowOff>
              </to>
            </anchor>
          </controlPr>
        </control>
      </mc:Choice>
      <mc:Fallback>
        <control shapeId="3073" r:id="rId12" name="DL_Pointages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/>
  <dimension ref="A1:BM45"/>
  <sheetViews>
    <sheetView showZeros="0" zoomScaleNormal="100" workbookViewId="0">
      <selection activeCell="N17" sqref="N17"/>
    </sheetView>
  </sheetViews>
  <sheetFormatPr baseColWidth="10" defaultRowHeight="15" x14ac:dyDescent="0.25"/>
  <cols>
    <col min="1" max="64" width="6.7109375" customWidth="1"/>
  </cols>
  <sheetData>
    <row r="1" spans="1:65" ht="13.5" customHeight="1" thickBot="1" x14ac:dyDescent="0.3">
      <c r="A1" s="33"/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  <c r="T1" s="33"/>
      <c r="U1" s="34">
        <v>0</v>
      </c>
      <c r="V1" s="34">
        <v>0</v>
      </c>
      <c r="W1" s="33"/>
      <c r="X1" s="33"/>
      <c r="Y1" s="33"/>
      <c r="Z1" s="33"/>
      <c r="AA1" s="33"/>
      <c r="AB1" s="33"/>
      <c r="AC1" s="33"/>
      <c r="AD1" s="33"/>
      <c r="AE1" s="33"/>
      <c r="AF1" s="33"/>
      <c r="AG1" s="33"/>
      <c r="AH1" s="33"/>
      <c r="AI1" s="33"/>
      <c r="AJ1" s="33"/>
      <c r="AK1" s="33"/>
      <c r="AL1" s="33"/>
      <c r="AM1" s="33"/>
      <c r="AN1" s="33"/>
      <c r="AO1" s="33"/>
      <c r="AP1" s="33"/>
      <c r="AQ1" s="33"/>
      <c r="AR1" s="33"/>
      <c r="AS1" s="33"/>
      <c r="AT1" s="33"/>
      <c r="AU1" s="33"/>
      <c r="AV1" s="33"/>
      <c r="AW1" s="33"/>
      <c r="AX1" s="33"/>
      <c r="AY1" s="33"/>
      <c r="AZ1" s="33"/>
      <c r="BA1" s="33"/>
      <c r="BB1" s="33"/>
      <c r="BC1" s="33"/>
      <c r="BD1" s="33"/>
      <c r="BE1" s="33"/>
      <c r="BF1" s="33"/>
      <c r="BG1" s="33"/>
      <c r="BH1" s="33"/>
      <c r="BI1" s="33"/>
      <c r="BJ1" s="33"/>
      <c r="BK1" s="33"/>
      <c r="BL1" s="33"/>
    </row>
    <row r="2" spans="1:65" ht="13.5" customHeight="1" thickBot="1" x14ac:dyDescent="0.3">
      <c r="A2" s="314"/>
      <c r="B2" s="315"/>
      <c r="C2" s="315"/>
      <c r="D2" s="315"/>
      <c r="E2" s="315"/>
      <c r="F2" s="315"/>
      <c r="G2" s="315"/>
      <c r="H2" s="330" t="s">
        <v>21</v>
      </c>
      <c r="I2" s="330"/>
      <c r="J2" s="330"/>
      <c r="K2" s="330"/>
      <c r="L2" s="330"/>
      <c r="M2" s="330"/>
      <c r="N2" s="330"/>
      <c r="O2" s="330"/>
      <c r="P2" s="330"/>
      <c r="Q2" s="330"/>
      <c r="R2" s="330"/>
      <c r="S2" s="330"/>
      <c r="T2" s="331"/>
      <c r="U2" s="332">
        <v>0</v>
      </c>
      <c r="V2" s="333"/>
      <c r="W2" s="333"/>
      <c r="X2" s="333"/>
      <c r="Y2" s="333"/>
      <c r="Z2" s="333"/>
      <c r="AA2" s="333"/>
      <c r="AB2" s="333"/>
      <c r="AC2" s="333"/>
      <c r="AD2" s="333"/>
      <c r="AE2" s="333"/>
      <c r="AF2" s="333"/>
      <c r="AG2" s="333"/>
      <c r="AH2" s="333"/>
      <c r="AI2" s="333"/>
      <c r="AJ2" s="333"/>
      <c r="AK2" s="333"/>
      <c r="AL2" s="333"/>
      <c r="AM2" s="333"/>
      <c r="AN2" s="333"/>
      <c r="AO2" s="324" t="s">
        <v>22</v>
      </c>
      <c r="AP2" s="325"/>
      <c r="AQ2" s="325"/>
      <c r="AR2" s="325"/>
      <c r="AS2" s="325"/>
      <c r="AT2" s="325"/>
      <c r="AU2" s="325"/>
      <c r="AV2" s="325"/>
      <c r="AW2" s="325"/>
      <c r="AX2" s="325"/>
      <c r="AY2" s="325"/>
      <c r="AZ2" s="325"/>
      <c r="BA2" s="326"/>
      <c r="BB2" s="327"/>
      <c r="BC2" s="328"/>
      <c r="BD2" s="328"/>
      <c r="BE2" s="328"/>
      <c r="BF2" s="328"/>
      <c r="BG2" s="328"/>
      <c r="BH2" s="328"/>
      <c r="BI2" s="328"/>
      <c r="BJ2" s="328"/>
      <c r="BK2" s="328"/>
      <c r="BL2" s="329"/>
    </row>
    <row r="3" spans="1:65" ht="13.5" customHeight="1" thickBot="1" x14ac:dyDescent="0.3">
      <c r="A3" s="312">
        <v>1</v>
      </c>
      <c r="B3" s="312"/>
      <c r="C3" s="312">
        <v>2</v>
      </c>
      <c r="D3" s="312"/>
      <c r="E3" s="312">
        <v>3</v>
      </c>
      <c r="F3" s="312"/>
      <c r="G3" s="312">
        <v>4</v>
      </c>
      <c r="H3" s="312"/>
      <c r="I3" s="313">
        <v>5</v>
      </c>
      <c r="J3" s="318"/>
      <c r="K3" s="313">
        <v>6</v>
      </c>
      <c r="L3" s="318"/>
      <c r="M3" s="313">
        <v>7</v>
      </c>
      <c r="N3" s="318"/>
      <c r="O3" s="313">
        <v>8</v>
      </c>
      <c r="P3" s="318"/>
      <c r="Q3" s="313">
        <v>9</v>
      </c>
      <c r="R3" s="318"/>
      <c r="S3" s="313">
        <v>10</v>
      </c>
      <c r="T3" s="311"/>
      <c r="U3" s="310">
        <v>1</v>
      </c>
      <c r="V3" s="318"/>
      <c r="W3" s="313">
        <v>2</v>
      </c>
      <c r="X3" s="318"/>
      <c r="Y3" s="313">
        <v>3</v>
      </c>
      <c r="Z3" s="318"/>
      <c r="AA3" s="313">
        <v>4</v>
      </c>
      <c r="AB3" s="318"/>
      <c r="AC3" s="313">
        <v>5</v>
      </c>
      <c r="AD3" s="318"/>
      <c r="AE3" s="313">
        <v>6</v>
      </c>
      <c r="AF3" s="318"/>
      <c r="AG3" s="313">
        <v>7</v>
      </c>
      <c r="AH3" s="318"/>
      <c r="AI3" s="313">
        <v>8</v>
      </c>
      <c r="AJ3" s="318"/>
      <c r="AK3" s="313">
        <v>9</v>
      </c>
      <c r="AL3" s="318"/>
      <c r="AM3" s="313">
        <v>10</v>
      </c>
      <c r="AN3" s="311"/>
      <c r="AO3" s="337" t="s">
        <v>23</v>
      </c>
      <c r="AP3" s="338"/>
      <c r="AQ3" s="338"/>
      <c r="AR3" s="339"/>
      <c r="AS3" s="337" t="s">
        <v>24</v>
      </c>
      <c r="AT3" s="338"/>
      <c r="AU3" s="338"/>
      <c r="AV3" s="338"/>
      <c r="AW3" s="338"/>
      <c r="AX3" s="338"/>
      <c r="AY3" s="310" t="s">
        <v>5</v>
      </c>
      <c r="AZ3" s="340"/>
      <c r="BA3" s="311"/>
      <c r="BB3" s="334" t="s">
        <v>25</v>
      </c>
      <c r="BC3" s="335"/>
      <c r="BD3" s="335"/>
      <c r="BE3" s="335"/>
      <c r="BF3" s="335"/>
      <c r="BG3" s="335"/>
      <c r="BH3" s="335"/>
      <c r="BI3" s="335"/>
      <c r="BJ3" s="335"/>
      <c r="BK3" s="335"/>
      <c r="BL3" s="336"/>
    </row>
    <row r="4" spans="1:65" ht="12.75" customHeight="1" x14ac:dyDescent="0.25">
      <c r="A4" s="35" t="s">
        <v>6</v>
      </c>
      <c r="B4" s="35" t="s">
        <v>7</v>
      </c>
      <c r="C4" s="35" t="s">
        <v>6</v>
      </c>
      <c r="D4" s="35" t="s">
        <v>7</v>
      </c>
      <c r="E4" s="35" t="s">
        <v>6</v>
      </c>
      <c r="F4" s="35" t="s">
        <v>7</v>
      </c>
      <c r="G4" s="35" t="s">
        <v>6</v>
      </c>
      <c r="H4" s="35" t="s">
        <v>7</v>
      </c>
      <c r="I4" s="35" t="s">
        <v>6</v>
      </c>
      <c r="J4" s="35" t="s">
        <v>7</v>
      </c>
      <c r="K4" s="35" t="s">
        <v>6</v>
      </c>
      <c r="L4" s="35" t="s">
        <v>7</v>
      </c>
      <c r="M4" s="35" t="s">
        <v>6</v>
      </c>
      <c r="N4" s="35" t="s">
        <v>7</v>
      </c>
      <c r="O4" s="35" t="s">
        <v>6</v>
      </c>
      <c r="P4" s="35" t="s">
        <v>7</v>
      </c>
      <c r="Q4" s="35" t="s">
        <v>6</v>
      </c>
      <c r="R4" s="35" t="s">
        <v>7</v>
      </c>
      <c r="S4" s="35" t="s">
        <v>6</v>
      </c>
      <c r="T4" s="36" t="s">
        <v>7</v>
      </c>
      <c r="U4" s="35" t="s">
        <v>6</v>
      </c>
      <c r="V4" s="35" t="s">
        <v>7</v>
      </c>
      <c r="W4" s="35" t="s">
        <v>6</v>
      </c>
      <c r="X4" s="35" t="s">
        <v>7</v>
      </c>
      <c r="Y4" s="35" t="s">
        <v>6</v>
      </c>
      <c r="Z4" s="35" t="s">
        <v>7</v>
      </c>
      <c r="AA4" s="35" t="s">
        <v>6</v>
      </c>
      <c r="AB4" s="35" t="s">
        <v>7</v>
      </c>
      <c r="AC4" s="35" t="s">
        <v>6</v>
      </c>
      <c r="AD4" s="35" t="s">
        <v>7</v>
      </c>
      <c r="AE4" s="35" t="s">
        <v>6</v>
      </c>
      <c r="AF4" s="35" t="s">
        <v>7</v>
      </c>
      <c r="AG4" s="35" t="s">
        <v>6</v>
      </c>
      <c r="AH4" s="35" t="s">
        <v>7</v>
      </c>
      <c r="AI4" s="35" t="s">
        <v>6</v>
      </c>
      <c r="AJ4" s="35" t="s">
        <v>7</v>
      </c>
      <c r="AK4" s="35" t="s">
        <v>6</v>
      </c>
      <c r="AL4" s="35" t="s">
        <v>7</v>
      </c>
      <c r="AM4" s="35" t="s">
        <v>6</v>
      </c>
      <c r="AN4" s="36" t="s">
        <v>7</v>
      </c>
      <c r="AO4" s="37" t="s">
        <v>26</v>
      </c>
      <c r="AP4" s="38" t="s">
        <v>27</v>
      </c>
      <c r="AQ4" s="38" t="s">
        <v>28</v>
      </c>
      <c r="AR4" s="39" t="s">
        <v>29</v>
      </c>
      <c r="AS4" s="14" t="s">
        <v>6</v>
      </c>
      <c r="AT4" s="15" t="s">
        <v>30</v>
      </c>
      <c r="AU4" s="15" t="s">
        <v>31</v>
      </c>
      <c r="AV4" s="15" t="s">
        <v>30</v>
      </c>
      <c r="AW4" s="15" t="s">
        <v>32</v>
      </c>
      <c r="AX4" s="15" t="s">
        <v>7</v>
      </c>
      <c r="AY4" s="14" t="s">
        <v>8</v>
      </c>
      <c r="AZ4" s="15" t="s">
        <v>9</v>
      </c>
      <c r="BA4" s="16" t="s">
        <v>10</v>
      </c>
      <c r="BB4" s="40">
        <v>1</v>
      </c>
      <c r="BC4" s="40">
        <v>2</v>
      </c>
      <c r="BD4" s="40">
        <v>3</v>
      </c>
      <c r="BE4" s="40">
        <v>4</v>
      </c>
      <c r="BF4" s="40">
        <v>5</v>
      </c>
      <c r="BG4" s="40">
        <v>6</v>
      </c>
      <c r="BH4" s="40">
        <v>7</v>
      </c>
      <c r="BI4" s="40">
        <v>8</v>
      </c>
      <c r="BJ4" s="40">
        <v>9</v>
      </c>
      <c r="BK4" s="40">
        <v>10</v>
      </c>
      <c r="BL4" s="17" t="s">
        <v>11</v>
      </c>
      <c r="BM4" s="105" t="s">
        <v>37</v>
      </c>
    </row>
    <row r="5" spans="1:65" x14ac:dyDescent="0.25">
      <c r="A5" s="41">
        <v>0</v>
      </c>
      <c r="B5" s="42">
        <v>0</v>
      </c>
      <c r="C5" s="41">
        <v>0</v>
      </c>
      <c r="D5" s="42">
        <v>0</v>
      </c>
      <c r="E5" s="41">
        <v>0</v>
      </c>
      <c r="F5" s="42">
        <v>0</v>
      </c>
      <c r="G5" s="41">
        <v>0</v>
      </c>
      <c r="H5" s="42">
        <v>0</v>
      </c>
      <c r="I5" s="41">
        <v>0</v>
      </c>
      <c r="J5" s="42">
        <v>0</v>
      </c>
      <c r="K5" s="41">
        <v>0</v>
      </c>
      <c r="L5" s="42">
        <v>0</v>
      </c>
      <c r="M5" s="41">
        <v>0</v>
      </c>
      <c r="N5" s="42">
        <v>0</v>
      </c>
      <c r="O5" s="41">
        <v>0</v>
      </c>
      <c r="P5" s="42">
        <v>0</v>
      </c>
      <c r="Q5" s="41">
        <v>0</v>
      </c>
      <c r="R5" s="42">
        <v>0</v>
      </c>
      <c r="S5" s="41">
        <v>0</v>
      </c>
      <c r="T5" s="42">
        <v>0</v>
      </c>
      <c r="U5" s="43">
        <v>0</v>
      </c>
      <c r="V5" s="42">
        <v>0</v>
      </c>
      <c r="W5" s="41">
        <v>0</v>
      </c>
      <c r="X5" s="42">
        <v>0</v>
      </c>
      <c r="Y5" s="41">
        <v>0</v>
      </c>
      <c r="Z5" s="42">
        <v>0</v>
      </c>
      <c r="AA5" s="41">
        <v>0</v>
      </c>
      <c r="AB5" s="42">
        <v>0</v>
      </c>
      <c r="AC5" s="41">
        <v>0</v>
      </c>
      <c r="AD5" s="42">
        <v>0</v>
      </c>
      <c r="AE5" s="41">
        <v>0</v>
      </c>
      <c r="AF5" s="42">
        <v>0</v>
      </c>
      <c r="AG5" s="41">
        <v>0</v>
      </c>
      <c r="AH5" s="42">
        <v>0</v>
      </c>
      <c r="AI5" s="41">
        <v>0</v>
      </c>
      <c r="AJ5" s="42">
        <v>0</v>
      </c>
      <c r="AK5" s="41">
        <v>0</v>
      </c>
      <c r="AL5" s="42">
        <v>0</v>
      </c>
      <c r="AM5" s="44">
        <v>0</v>
      </c>
      <c r="AN5" s="45">
        <v>0</v>
      </c>
      <c r="AO5" s="46">
        <f t="shared" ref="AO5:AO42" si="0">IF(AND(V5*24&gt;=11,V5*24&lt;=13.5),IF((W5-V5)*24&gt;=1,1,IF(AND(V5*24&gt;=18.5,V5*24&lt;=22),6,0)),0)</f>
        <v>0</v>
      </c>
      <c r="AP5" s="47">
        <f t="shared" ref="AP5:AP42" si="1">IF(AND(X5*24&gt;=11,X5*24&lt;=13.5),IF((Y5-X5)*24&gt;=1,1,IF(AND(X5*24&gt;=18.5,X5*24&lt;=22),6,0)),0)</f>
        <v>0</v>
      </c>
      <c r="AQ5" s="47">
        <f t="shared" ref="AQ5:AQ42" si="2">IF(AND(Z5*24&gt;=11,Z5*24&lt;=13.5),IF((AA5-Z5)*24&gt;=1,1,IF(AND(Z5*24&gt;=18.5,Z5*24&lt;=22),6,0)),IF(BM5&lt;&gt;"",IF(BM6&lt;&gt;"",IF(AND(AV5*24=24,AS6*24=0,BM5+1=BM6),26,0),0),0))</f>
        <v>0</v>
      </c>
      <c r="AR5" s="48">
        <f t="shared" ref="AR5:AR42" si="3">IF(AND(AB5*24&gt;=11,AB5*24&lt;=13.5),IF((AM5-AB5)*24&gt;=1,1,IF(AND(AB5*24&gt;=18.5,AB5*24&lt;=22),6,0)),IF(BM5&lt;&gt;"",IF(BM6&lt;&gt;"",IF(AND(AX5*24=24,AS6*24=0,BM5+1=BM6),26,0),0),0))</f>
        <v>0</v>
      </c>
      <c r="AS5" s="49">
        <f t="shared" ref="AS5:AS42" si="4">IF(U5*24&gt;11,0,U5)</f>
        <v>0</v>
      </c>
      <c r="AT5" s="50">
        <f t="shared" ref="AT5:AT42" si="5">IF(AS5&gt;0,IF(AND(W5&gt;0,(W5*24)-(V5*24)&gt;=11),V5,IF(OR(AND(W5&gt;0,V5*24&lt;14.5,W5*24&gt;=11),W5=0),V5,IF(AND(W5&gt;0,W5*24&gt;=11,X5*24&lt;=15),V5,IF(AND(Y5*24&gt;=10,(Y5*24)-(X5*24)&gt;=1),X5,IF(AND(Y5&gt;0,Y5*24&gt;=11,Z5*24&gt;14.5),X5,IF(AND(Z5&gt;0,Z5*24&lt;=15),Z5,AA5)))))),0)</f>
        <v>0</v>
      </c>
      <c r="AU5" s="50">
        <f t="shared" ref="AU5:AU42" si="6">IF(U5&gt;0,IF(AS5&gt;0,IF(AND(AN5&gt;0,AN5=AT5),0,IF(AND(AB5&gt;0,AB5=AT5),AM5,IF(AND(Z5&gt;0,Z5=AT5),AA5,IF(AND(X5&gt;0,X5=AT5),Y5,W5)))),U5),0)</f>
        <v>0</v>
      </c>
      <c r="AV5" s="50">
        <f t="shared" ref="AV5:AV42" si="7">IF(AU5&gt;0,IF(AND(AM5&gt;0,AM5=AU5),AN5,IF(AND(AA5&gt;0,OR(AA5*24&lt;=18.5,AN5*24&gt;18.5,AND(AB5&lt;=18.5,AN5=0))),AB5,IF(AND(Y5&gt;0,OR(Y5*24&lt;=18.5,AB5*24&gt;18.5,AND(Z5&lt;=18.5,AB5=0))),Z5,IF(AND(W5&gt;0,OR(W5=AU5,AND(X5*24&lt;=18.5,Z5=0))),X5,V5)))),0)</f>
        <v>0</v>
      </c>
      <c r="AW5" s="50">
        <f t="shared" ref="AW5:AW42" si="8">IF(U5&gt;0,IF(OR(AS5&gt;0,AU5&gt;0),IF(AND(AN5&gt;0,OR(AN5=AT5,AN5=AV5)),0,IF(AND(AB5&gt;0,OR(AB5=AT5,AB5=AV5)),AM5,IF(AND(Z5&gt;0,OR(Z5=AT5,Z5=AV5)),AA5,IF(AND(X5&gt;0,OR(X5=AT5,X5=AV5)),Y5,W5)))),U5),0)</f>
        <v>0</v>
      </c>
      <c r="AX5" s="50">
        <f t="shared" ref="AX5:AX42" si="9">IF(AW5&gt;0,IF(AND(AN5&gt;0, AN5*24&gt;18.5),AN5,IF(AND(AB5&gt;0,AB5*24&gt;18.5),AB5,IF(AND(Z5&gt;0,Z5*24&gt;18.5),Z5,IF(AND(X5&gt;0,X5*24&gt;18.5),X5,V5)))),0)</f>
        <v>0</v>
      </c>
      <c r="AY5" s="46">
        <f t="shared" ref="AY5:AY42" si="10">IF(AND(AS5&gt;0,AS5*24&lt;5),1,0)+IF(SUM(AO5:AR5)&gt;=26,0,IF(OR(AND(AV5*24&lt;18.5,AW5*24&gt;18.5,AX5*24&gt;=21,AX5*24&lt;24,ROUND((AW5-AV5)*24,3)&lt;=11),AND(AT5*24&lt;11,AU5*24&gt;18.5,AV5*24&gt;=21,AV5*24&lt;24,ROUND((AU5-AT5)*24,3)&lt;=11)),1,IF(AND(OR(AND(AT5*24&gt;=21,AS5*24&gt;18.5),AND(AV5*24&gt;=21,AU5*24&gt;18.5),AND(AX5*24&gt;=21,AW5*24&gt;18.5),AND(AS5*24&gt;18.5,AT5*24&gt;=21),AND(AT5*24&lt;11,AU5*24&gt;18.5,AV5*24&gt;=21,AV5*24&lt;24),AND(AV5*24&lt;18.5,AW5*24&gt;18.5,AX5*24&gt;=21,AX5*24&lt;24)),OR(AND(AW5&gt;0,ROUND((AW5-AV5)*24,3)&lt;=11),AND(AU5&gt;0,ROUND((AU5-AT5)*24,3)&lt;=11))),1,IF(AND(OR(AND(AV5*24&gt;=21,AU5*24&gt;18.5),AND(OR(AT5*24&lt;18.5,AT5=0),AU5*24&gt;18.5,AV5*24&gt;=21,AV5*24&lt;24)),IF(AT5&gt;0,AND(AU5&gt;0,ROUND((AU5-AT5)*24,3)&lt;=11),TRUE)),1,0))))</f>
        <v>0</v>
      </c>
      <c r="AZ5" s="51">
        <f t="shared" ref="AZ5:AZ42" si="11">IF(AT5&gt;0,IF(AND(AU5&gt;0,ROUND((AU5*24)-(AT5*24),3)&gt;=1,AT5*24&gt;13.5,AT5*24&lt;=14),1,0),0)+IF(AV5&gt;0,IF(AND(AW5&gt;0,ROUND((AW5*24)-(AV5*24),3)&gt;=1,AV5*24&gt;21.5,AV5*24&lt;=22),1,0),0)</f>
        <v>0</v>
      </c>
      <c r="BA5" s="48">
        <f t="shared" ref="BA5:BA42" si="12">IF(AND(AS5&gt;0,AT5&gt;0,AU5&gt;0),IF(AND(AU5*24&gt;11,AT5*24&lt;=14,ROUND((AU5*24)-(AT5*24),3)&gt;=1),0,IF(AND(SUM(AO5:AR5)&gt;0,SUM(AO5:AR5)&lt;6),0,1)),IF(OR(AND(AS5&gt;0,AT5*24&lt;=14.5),AS5*AT5=0),0,IF(AND(SUM(AO5:AR5)&gt;0,SUM(AO5:AR5)&lt;6),0,1)))+IF(AND(AU5&gt;0,AV5&gt;0,AW5=0),IF(AND(AU5*24&lt;=18.5,AV5*24&gt;=22),1,0),IF(AND(AV5&gt;0,AW5&gt;0,AX5&gt;0),IF(OR(AW5*24&gt;18.5,AX5*24&lt;22,ROUND(AW5*24,3)-18.5&gt;=1,ROUND(AX5*24,3)-22&gt;=1),0,IF(AND(SUM(AO5:AR5)&gt;4,SUM(AO5:AR5)&lt;26),0,1)),IF(OR(AND(AV5&gt;0,AW5*24&lt;=22),AV5*AW5=0),0,IF(AND(SUM(AO5:AR5)&gt;4,SUM(AO5:AR5)&lt;26),0,1))))</f>
        <v>0</v>
      </c>
      <c r="BB5" s="52">
        <f>ROUNDUP((V5 - U5) * 288, 0) / 288</f>
        <v>0</v>
      </c>
      <c r="BC5" s="53">
        <f>ROUNDUP((X5 - W5) * 288, 0) / 288</f>
        <v>0</v>
      </c>
      <c r="BD5" s="53">
        <f>ROUNDUP((Z5 - Y5) * 288, 0) / 288</f>
        <v>0</v>
      </c>
      <c r="BE5" s="53">
        <f>ROUNDUP((AB5 - AA5) * 288, 0) / 288</f>
        <v>0</v>
      </c>
      <c r="BF5" s="53">
        <f>ROUNDUP((AD5 - AC5) * 288, 0) / 288</f>
        <v>0</v>
      </c>
      <c r="BG5" s="53">
        <f>ROUNDUP((AF5 - AE5) * 288, 0) / 288</f>
        <v>0</v>
      </c>
      <c r="BH5" s="53">
        <f>ROUNDUP((AH5 - AG5) * 288, 0) / 288</f>
        <v>0</v>
      </c>
      <c r="BI5" s="53">
        <f>ROUNDUP((AJ5 - AI5) * 288, 0) / 288</f>
        <v>0</v>
      </c>
      <c r="BJ5" s="53">
        <f>ROUNDUP((AL5 - AK5) * 288, 0) / 288</f>
        <v>0</v>
      </c>
      <c r="BK5" s="110">
        <f>ROUNDUP((AN5 - AM5) * 288, 0) / 288</f>
        <v>0</v>
      </c>
      <c r="BL5" s="20">
        <f t="shared" ref="BL5:BL42" si="13">SUM(BB5:BK5)</f>
        <v>0</v>
      </c>
      <c r="BM5" s="106">
        <v>0</v>
      </c>
    </row>
    <row r="6" spans="1:65" x14ac:dyDescent="0.25">
      <c r="A6" s="54">
        <v>0</v>
      </c>
      <c r="B6" s="55">
        <v>0</v>
      </c>
      <c r="C6" s="54">
        <v>0</v>
      </c>
      <c r="D6" s="55">
        <v>0</v>
      </c>
      <c r="E6" s="54">
        <v>0</v>
      </c>
      <c r="F6" s="55">
        <v>0</v>
      </c>
      <c r="G6" s="54">
        <v>0</v>
      </c>
      <c r="H6" s="55">
        <v>0</v>
      </c>
      <c r="I6" s="54">
        <v>0</v>
      </c>
      <c r="J6" s="55">
        <v>0</v>
      </c>
      <c r="K6" s="54">
        <v>0</v>
      </c>
      <c r="L6" s="55">
        <v>0</v>
      </c>
      <c r="M6" s="54">
        <v>0</v>
      </c>
      <c r="N6" s="55">
        <v>0</v>
      </c>
      <c r="O6" s="54">
        <v>0</v>
      </c>
      <c r="P6" s="55">
        <v>0</v>
      </c>
      <c r="Q6" s="54">
        <v>0</v>
      </c>
      <c r="R6" s="55">
        <v>0</v>
      </c>
      <c r="S6" s="54">
        <v>0</v>
      </c>
      <c r="T6" s="55">
        <v>0</v>
      </c>
      <c r="U6" s="56">
        <v>0</v>
      </c>
      <c r="V6" s="55">
        <v>0</v>
      </c>
      <c r="W6" s="54">
        <v>0</v>
      </c>
      <c r="X6" s="55">
        <v>0</v>
      </c>
      <c r="Y6" s="54">
        <v>0</v>
      </c>
      <c r="Z6" s="55">
        <v>0</v>
      </c>
      <c r="AA6" s="54">
        <v>0</v>
      </c>
      <c r="AB6" s="55">
        <v>0</v>
      </c>
      <c r="AC6" s="57">
        <v>0</v>
      </c>
      <c r="AD6" s="55">
        <v>0</v>
      </c>
      <c r="AE6" s="57">
        <v>0</v>
      </c>
      <c r="AF6" s="55">
        <v>0</v>
      </c>
      <c r="AG6" s="57">
        <v>0</v>
      </c>
      <c r="AH6" s="55">
        <v>0</v>
      </c>
      <c r="AI6" s="57">
        <v>0</v>
      </c>
      <c r="AJ6" s="55">
        <v>0</v>
      </c>
      <c r="AK6" s="57">
        <v>0</v>
      </c>
      <c r="AL6" s="55">
        <v>0</v>
      </c>
      <c r="AM6" s="54">
        <v>0</v>
      </c>
      <c r="AN6" s="58">
        <v>0</v>
      </c>
      <c r="AO6" s="59">
        <f t="shared" si="0"/>
        <v>0</v>
      </c>
      <c r="AP6" s="60">
        <f t="shared" si="1"/>
        <v>0</v>
      </c>
      <c r="AQ6" s="60">
        <f t="shared" si="2"/>
        <v>0</v>
      </c>
      <c r="AR6" s="61">
        <f t="shared" si="3"/>
        <v>0</v>
      </c>
      <c r="AS6" s="62">
        <f t="shared" si="4"/>
        <v>0</v>
      </c>
      <c r="AT6" s="63">
        <f t="shared" si="5"/>
        <v>0</v>
      </c>
      <c r="AU6" s="63">
        <f t="shared" si="6"/>
        <v>0</v>
      </c>
      <c r="AV6" s="63">
        <f t="shared" si="7"/>
        <v>0</v>
      </c>
      <c r="AW6" s="63">
        <f t="shared" si="8"/>
        <v>0</v>
      </c>
      <c r="AX6" s="63">
        <f t="shared" si="9"/>
        <v>0</v>
      </c>
      <c r="AY6" s="59">
        <f t="shared" si="10"/>
        <v>0</v>
      </c>
      <c r="AZ6" s="64">
        <f t="shared" si="11"/>
        <v>0</v>
      </c>
      <c r="BA6" s="61">
        <f t="shared" si="12"/>
        <v>0</v>
      </c>
      <c r="BB6" s="62">
        <f>ROUNDUP((V6 - U6) * 288, 0) / 288</f>
        <v>0</v>
      </c>
      <c r="BC6" s="65">
        <f>ROUNDUP((X6 - W6) * 288, 0) / 288</f>
        <v>0</v>
      </c>
      <c r="BD6" s="65">
        <f>ROUNDUP((Z6 - Y6) * 288, 0) / 288</f>
        <v>0</v>
      </c>
      <c r="BE6" s="65">
        <f>ROUNDUP((AB6 - AA6) * 288, 0) / 288</f>
        <v>0</v>
      </c>
      <c r="BF6" s="65">
        <f>ROUNDUP((AD6 - AC6) * 288, 0) / 288</f>
        <v>0</v>
      </c>
      <c r="BG6" s="65">
        <f>ROUNDUP((AF6 - AE6) * 288, 0) / 288</f>
        <v>0</v>
      </c>
      <c r="BH6" s="65">
        <f>ROUNDUP((AH6 - AG6) * 288, 0) / 288</f>
        <v>0</v>
      </c>
      <c r="BI6" s="65">
        <f>ROUNDUP((AJ6 - AI6) * 288, 0) / 288</f>
        <v>0</v>
      </c>
      <c r="BJ6" s="65">
        <f>ROUNDUP((AL6 - AK6) * 288, 0) / 288</f>
        <v>0</v>
      </c>
      <c r="BK6" s="65">
        <f>ROUNDUP((AN6 - AM6) * 288, 0) / 288</f>
        <v>0</v>
      </c>
      <c r="BL6" s="21">
        <f t="shared" si="13"/>
        <v>0</v>
      </c>
      <c r="BM6" s="106">
        <v>0</v>
      </c>
    </row>
    <row r="7" spans="1:65" x14ac:dyDescent="0.25">
      <c r="A7" s="54">
        <v>0</v>
      </c>
      <c r="B7" s="55">
        <v>0</v>
      </c>
      <c r="C7" s="54">
        <v>0</v>
      </c>
      <c r="D7" s="55">
        <v>0</v>
      </c>
      <c r="E7" s="54">
        <v>0</v>
      </c>
      <c r="F7" s="55">
        <v>0</v>
      </c>
      <c r="G7" s="54">
        <v>0</v>
      </c>
      <c r="H7" s="55">
        <v>0</v>
      </c>
      <c r="I7" s="54">
        <v>0</v>
      </c>
      <c r="J7" s="55">
        <v>0</v>
      </c>
      <c r="K7" s="54">
        <v>0</v>
      </c>
      <c r="L7" s="55">
        <v>0</v>
      </c>
      <c r="M7" s="54">
        <v>0</v>
      </c>
      <c r="N7" s="55">
        <v>0</v>
      </c>
      <c r="O7" s="54">
        <v>0</v>
      </c>
      <c r="P7" s="55">
        <v>0</v>
      </c>
      <c r="Q7" s="54">
        <v>0</v>
      </c>
      <c r="R7" s="55">
        <v>0</v>
      </c>
      <c r="S7" s="54">
        <v>0</v>
      </c>
      <c r="T7" s="55">
        <v>0</v>
      </c>
      <c r="U7" s="56">
        <v>0</v>
      </c>
      <c r="V7" s="55">
        <v>0</v>
      </c>
      <c r="W7" s="54">
        <v>0</v>
      </c>
      <c r="X7" s="55">
        <v>0</v>
      </c>
      <c r="Y7" s="54">
        <v>0</v>
      </c>
      <c r="Z7" s="55">
        <v>0</v>
      </c>
      <c r="AA7" s="54">
        <v>0</v>
      </c>
      <c r="AB7" s="55">
        <v>0</v>
      </c>
      <c r="AC7" s="57">
        <v>0</v>
      </c>
      <c r="AD7" s="55">
        <v>0</v>
      </c>
      <c r="AE7" s="57">
        <v>0</v>
      </c>
      <c r="AF7" s="55">
        <v>0</v>
      </c>
      <c r="AG7" s="57">
        <v>0</v>
      </c>
      <c r="AH7" s="55">
        <v>0</v>
      </c>
      <c r="AI7" s="57">
        <v>0</v>
      </c>
      <c r="AJ7" s="55">
        <v>0</v>
      </c>
      <c r="AK7" s="57">
        <v>0</v>
      </c>
      <c r="AL7" s="55">
        <v>0</v>
      </c>
      <c r="AM7" s="54">
        <v>0</v>
      </c>
      <c r="AN7" s="58">
        <v>0</v>
      </c>
      <c r="AO7" s="59">
        <f t="shared" si="0"/>
        <v>0</v>
      </c>
      <c r="AP7" s="60">
        <f t="shared" si="1"/>
        <v>0</v>
      </c>
      <c r="AQ7" s="60">
        <f t="shared" si="2"/>
        <v>0</v>
      </c>
      <c r="AR7" s="61">
        <f t="shared" si="3"/>
        <v>0</v>
      </c>
      <c r="AS7" s="62">
        <f t="shared" si="4"/>
        <v>0</v>
      </c>
      <c r="AT7" s="63">
        <f t="shared" si="5"/>
        <v>0</v>
      </c>
      <c r="AU7" s="63">
        <f t="shared" si="6"/>
        <v>0</v>
      </c>
      <c r="AV7" s="63">
        <f t="shared" si="7"/>
        <v>0</v>
      </c>
      <c r="AW7" s="63">
        <f t="shared" si="8"/>
        <v>0</v>
      </c>
      <c r="AX7" s="63">
        <f t="shared" si="9"/>
        <v>0</v>
      </c>
      <c r="AY7" s="59">
        <f t="shared" si="10"/>
        <v>0</v>
      </c>
      <c r="AZ7" s="64">
        <f t="shared" si="11"/>
        <v>0</v>
      </c>
      <c r="BA7" s="61">
        <f t="shared" si="12"/>
        <v>0</v>
      </c>
      <c r="BB7" s="62">
        <f t="shared" ref="BB7:BB42" si="14">ROUNDUP((V7 - U7) * 288, 0) / 288</f>
        <v>0</v>
      </c>
      <c r="BC7" s="65">
        <f t="shared" ref="BC7:BC42" si="15">ROUNDUP((X7 - W7) * 288, 0) / 288</f>
        <v>0</v>
      </c>
      <c r="BD7" s="65">
        <f t="shared" ref="BD7:BD42" si="16">ROUNDUP((Z7 - Y7) * 288, 0) / 288</f>
        <v>0</v>
      </c>
      <c r="BE7" s="65">
        <f t="shared" ref="BE7:BE42" si="17">ROUNDUP((AB7 - AA7) * 288, 0) / 288</f>
        <v>0</v>
      </c>
      <c r="BF7" s="65">
        <f t="shared" ref="BF7:BF42" si="18">ROUNDUP((AD7 - AC7) * 288, 0) / 288</f>
        <v>0</v>
      </c>
      <c r="BG7" s="65">
        <f t="shared" ref="BG7:BG42" si="19">ROUNDUP((AF7 - AE7) * 288, 0) / 288</f>
        <v>0</v>
      </c>
      <c r="BH7" s="65">
        <f t="shared" ref="BH7:BH42" si="20">ROUNDUP((AH7 - AG7) * 288, 0) / 288</f>
        <v>0</v>
      </c>
      <c r="BI7" s="65">
        <f t="shared" ref="BI7:BI42" si="21">ROUNDUP((AJ7 - AI7) * 288, 0) / 288</f>
        <v>0</v>
      </c>
      <c r="BJ7" s="65">
        <f t="shared" ref="BJ7:BJ42" si="22">ROUNDUP((AL7 - AK7) * 288, 0) / 288</f>
        <v>0</v>
      </c>
      <c r="BK7" s="65">
        <f t="shared" ref="BK7:BK42" si="23">ROUNDUP((AN7 - AM7) * 288, 0) / 288</f>
        <v>0</v>
      </c>
      <c r="BL7" s="21">
        <f t="shared" si="13"/>
        <v>0</v>
      </c>
      <c r="BM7" s="106">
        <v>0</v>
      </c>
    </row>
    <row r="8" spans="1:65" x14ac:dyDescent="0.25">
      <c r="A8" s="54">
        <v>0</v>
      </c>
      <c r="B8" s="55">
        <v>0</v>
      </c>
      <c r="C8" s="54">
        <v>0</v>
      </c>
      <c r="D8" s="55">
        <v>0</v>
      </c>
      <c r="E8" s="54">
        <v>0</v>
      </c>
      <c r="F8" s="55">
        <v>0</v>
      </c>
      <c r="G8" s="54">
        <v>0</v>
      </c>
      <c r="H8" s="55">
        <v>0</v>
      </c>
      <c r="I8" s="54">
        <v>0</v>
      </c>
      <c r="J8" s="55">
        <v>0</v>
      </c>
      <c r="K8" s="54">
        <v>0</v>
      </c>
      <c r="L8" s="55">
        <v>0</v>
      </c>
      <c r="M8" s="54">
        <v>0</v>
      </c>
      <c r="N8" s="55">
        <v>0</v>
      </c>
      <c r="O8" s="54">
        <v>0</v>
      </c>
      <c r="P8" s="55">
        <v>0</v>
      </c>
      <c r="Q8" s="54">
        <v>0</v>
      </c>
      <c r="R8" s="55">
        <v>0</v>
      </c>
      <c r="S8" s="54">
        <v>0</v>
      </c>
      <c r="T8" s="55">
        <v>0</v>
      </c>
      <c r="U8" s="56">
        <v>0</v>
      </c>
      <c r="V8" s="55">
        <v>0</v>
      </c>
      <c r="W8" s="54">
        <v>0</v>
      </c>
      <c r="X8" s="55">
        <v>0</v>
      </c>
      <c r="Y8" s="54">
        <v>0</v>
      </c>
      <c r="Z8" s="55">
        <v>0</v>
      </c>
      <c r="AA8" s="54">
        <v>0</v>
      </c>
      <c r="AB8" s="55">
        <v>0</v>
      </c>
      <c r="AC8" s="57">
        <v>0</v>
      </c>
      <c r="AD8" s="55">
        <v>0</v>
      </c>
      <c r="AE8" s="57">
        <v>0</v>
      </c>
      <c r="AF8" s="55">
        <v>0</v>
      </c>
      <c r="AG8" s="57">
        <v>0</v>
      </c>
      <c r="AH8" s="55">
        <v>0</v>
      </c>
      <c r="AI8" s="57">
        <v>0</v>
      </c>
      <c r="AJ8" s="55">
        <v>0</v>
      </c>
      <c r="AK8" s="57">
        <v>0</v>
      </c>
      <c r="AL8" s="55">
        <v>0</v>
      </c>
      <c r="AM8" s="54">
        <v>0</v>
      </c>
      <c r="AN8" s="58">
        <v>0</v>
      </c>
      <c r="AO8" s="59">
        <f t="shared" si="0"/>
        <v>0</v>
      </c>
      <c r="AP8" s="60">
        <f t="shared" si="1"/>
        <v>0</v>
      </c>
      <c r="AQ8" s="60">
        <f t="shared" si="2"/>
        <v>0</v>
      </c>
      <c r="AR8" s="61">
        <f t="shared" si="3"/>
        <v>0</v>
      </c>
      <c r="AS8" s="62">
        <f t="shared" si="4"/>
        <v>0</v>
      </c>
      <c r="AT8" s="63">
        <f t="shared" si="5"/>
        <v>0</v>
      </c>
      <c r="AU8" s="63">
        <f t="shared" si="6"/>
        <v>0</v>
      </c>
      <c r="AV8" s="63">
        <f t="shared" si="7"/>
        <v>0</v>
      </c>
      <c r="AW8" s="63">
        <f t="shared" si="8"/>
        <v>0</v>
      </c>
      <c r="AX8" s="63">
        <f t="shared" si="9"/>
        <v>0</v>
      </c>
      <c r="AY8" s="59">
        <f t="shared" si="10"/>
        <v>0</v>
      </c>
      <c r="AZ8" s="64">
        <f t="shared" si="11"/>
        <v>0</v>
      </c>
      <c r="BA8" s="61">
        <f t="shared" si="12"/>
        <v>0</v>
      </c>
      <c r="BB8" s="62">
        <f t="shared" si="14"/>
        <v>0</v>
      </c>
      <c r="BC8" s="65">
        <f t="shared" si="15"/>
        <v>0</v>
      </c>
      <c r="BD8" s="65">
        <f t="shared" si="16"/>
        <v>0</v>
      </c>
      <c r="BE8" s="65">
        <f t="shared" si="17"/>
        <v>0</v>
      </c>
      <c r="BF8" s="65">
        <f t="shared" si="18"/>
        <v>0</v>
      </c>
      <c r="BG8" s="65">
        <f t="shared" si="19"/>
        <v>0</v>
      </c>
      <c r="BH8" s="65">
        <f t="shared" si="20"/>
        <v>0</v>
      </c>
      <c r="BI8" s="65">
        <f t="shared" si="21"/>
        <v>0</v>
      </c>
      <c r="BJ8" s="65">
        <f t="shared" si="22"/>
        <v>0</v>
      </c>
      <c r="BK8" s="65">
        <f t="shared" si="23"/>
        <v>0</v>
      </c>
      <c r="BL8" s="21">
        <f t="shared" si="13"/>
        <v>0</v>
      </c>
      <c r="BM8" s="106">
        <v>0</v>
      </c>
    </row>
    <row r="9" spans="1:65" x14ac:dyDescent="0.25">
      <c r="A9" s="54">
        <v>0</v>
      </c>
      <c r="B9" s="55">
        <v>0</v>
      </c>
      <c r="C9" s="54">
        <v>0</v>
      </c>
      <c r="D9" s="55">
        <v>0</v>
      </c>
      <c r="E9" s="54">
        <v>0</v>
      </c>
      <c r="F9" s="55">
        <v>0</v>
      </c>
      <c r="G9" s="54">
        <v>0</v>
      </c>
      <c r="H9" s="55">
        <v>0</v>
      </c>
      <c r="I9" s="54">
        <v>0</v>
      </c>
      <c r="J9" s="55">
        <v>0</v>
      </c>
      <c r="K9" s="54">
        <v>0</v>
      </c>
      <c r="L9" s="55">
        <v>0</v>
      </c>
      <c r="M9" s="54">
        <v>0</v>
      </c>
      <c r="N9" s="55">
        <v>0</v>
      </c>
      <c r="O9" s="54">
        <v>0</v>
      </c>
      <c r="P9" s="55">
        <v>0</v>
      </c>
      <c r="Q9" s="54">
        <v>0</v>
      </c>
      <c r="R9" s="55">
        <v>0</v>
      </c>
      <c r="S9" s="54">
        <v>0</v>
      </c>
      <c r="T9" s="55">
        <v>0</v>
      </c>
      <c r="U9" s="56">
        <v>0</v>
      </c>
      <c r="V9" s="55">
        <v>0</v>
      </c>
      <c r="W9" s="54">
        <v>0</v>
      </c>
      <c r="X9" s="55">
        <v>0</v>
      </c>
      <c r="Y9" s="54">
        <v>0</v>
      </c>
      <c r="Z9" s="55">
        <v>0</v>
      </c>
      <c r="AA9" s="54">
        <v>0</v>
      </c>
      <c r="AB9" s="55">
        <v>0</v>
      </c>
      <c r="AC9" s="57">
        <v>0</v>
      </c>
      <c r="AD9" s="55">
        <v>0</v>
      </c>
      <c r="AE9" s="57">
        <v>0</v>
      </c>
      <c r="AF9" s="55">
        <v>0</v>
      </c>
      <c r="AG9" s="57">
        <v>0</v>
      </c>
      <c r="AH9" s="55">
        <v>0</v>
      </c>
      <c r="AI9" s="57">
        <v>0</v>
      </c>
      <c r="AJ9" s="55">
        <v>0</v>
      </c>
      <c r="AK9" s="57">
        <v>0</v>
      </c>
      <c r="AL9" s="55">
        <v>0</v>
      </c>
      <c r="AM9" s="54">
        <v>0</v>
      </c>
      <c r="AN9" s="58">
        <v>0</v>
      </c>
      <c r="AO9" s="59">
        <f t="shared" si="0"/>
        <v>0</v>
      </c>
      <c r="AP9" s="60">
        <f t="shared" si="1"/>
        <v>0</v>
      </c>
      <c r="AQ9" s="60">
        <f t="shared" si="2"/>
        <v>0</v>
      </c>
      <c r="AR9" s="61">
        <f t="shared" si="3"/>
        <v>0</v>
      </c>
      <c r="AS9" s="62">
        <f t="shared" si="4"/>
        <v>0</v>
      </c>
      <c r="AT9" s="63">
        <f t="shared" si="5"/>
        <v>0</v>
      </c>
      <c r="AU9" s="63">
        <f t="shared" si="6"/>
        <v>0</v>
      </c>
      <c r="AV9" s="63">
        <f t="shared" si="7"/>
        <v>0</v>
      </c>
      <c r="AW9" s="63">
        <f t="shared" si="8"/>
        <v>0</v>
      </c>
      <c r="AX9" s="63">
        <f t="shared" si="9"/>
        <v>0</v>
      </c>
      <c r="AY9" s="59">
        <f t="shared" si="10"/>
        <v>0</v>
      </c>
      <c r="AZ9" s="64">
        <f t="shared" si="11"/>
        <v>0</v>
      </c>
      <c r="BA9" s="61">
        <f t="shared" si="12"/>
        <v>0</v>
      </c>
      <c r="BB9" s="62">
        <f t="shared" si="14"/>
        <v>0</v>
      </c>
      <c r="BC9" s="65">
        <f t="shared" si="15"/>
        <v>0</v>
      </c>
      <c r="BD9" s="65">
        <f t="shared" si="16"/>
        <v>0</v>
      </c>
      <c r="BE9" s="65">
        <f t="shared" si="17"/>
        <v>0</v>
      </c>
      <c r="BF9" s="65">
        <f t="shared" si="18"/>
        <v>0</v>
      </c>
      <c r="BG9" s="65">
        <f t="shared" si="19"/>
        <v>0</v>
      </c>
      <c r="BH9" s="65">
        <f t="shared" si="20"/>
        <v>0</v>
      </c>
      <c r="BI9" s="65">
        <f t="shared" si="21"/>
        <v>0</v>
      </c>
      <c r="BJ9" s="65">
        <f t="shared" si="22"/>
        <v>0</v>
      </c>
      <c r="BK9" s="65">
        <f t="shared" si="23"/>
        <v>0</v>
      </c>
      <c r="BL9" s="21">
        <f t="shared" si="13"/>
        <v>0</v>
      </c>
      <c r="BM9" s="106">
        <v>0</v>
      </c>
    </row>
    <row r="10" spans="1:65" x14ac:dyDescent="0.25">
      <c r="A10" s="54">
        <v>0</v>
      </c>
      <c r="B10" s="55">
        <v>0</v>
      </c>
      <c r="C10" s="54">
        <v>0</v>
      </c>
      <c r="D10" s="55">
        <v>0</v>
      </c>
      <c r="E10" s="54">
        <v>0</v>
      </c>
      <c r="F10" s="55">
        <v>0</v>
      </c>
      <c r="G10" s="54">
        <v>0</v>
      </c>
      <c r="H10" s="55">
        <v>0</v>
      </c>
      <c r="I10" s="54">
        <v>0</v>
      </c>
      <c r="J10" s="55">
        <v>0</v>
      </c>
      <c r="K10" s="54">
        <v>0</v>
      </c>
      <c r="L10" s="55">
        <v>0</v>
      </c>
      <c r="M10" s="54">
        <v>0</v>
      </c>
      <c r="N10" s="55">
        <v>0</v>
      </c>
      <c r="O10" s="54">
        <v>0</v>
      </c>
      <c r="P10" s="55">
        <v>0</v>
      </c>
      <c r="Q10" s="54">
        <v>0</v>
      </c>
      <c r="R10" s="55">
        <v>0</v>
      </c>
      <c r="S10" s="54">
        <v>0</v>
      </c>
      <c r="T10" s="55">
        <v>0</v>
      </c>
      <c r="U10" s="56">
        <v>0</v>
      </c>
      <c r="V10" s="55">
        <v>0</v>
      </c>
      <c r="W10" s="54">
        <v>0</v>
      </c>
      <c r="X10" s="55">
        <v>0</v>
      </c>
      <c r="Y10" s="54">
        <v>0</v>
      </c>
      <c r="Z10" s="55">
        <v>0</v>
      </c>
      <c r="AA10" s="54">
        <v>0</v>
      </c>
      <c r="AB10" s="55">
        <v>0</v>
      </c>
      <c r="AC10" s="57">
        <v>0</v>
      </c>
      <c r="AD10" s="55">
        <v>0</v>
      </c>
      <c r="AE10" s="57">
        <v>0</v>
      </c>
      <c r="AF10" s="55">
        <v>0</v>
      </c>
      <c r="AG10" s="57">
        <v>0</v>
      </c>
      <c r="AH10" s="55">
        <v>0</v>
      </c>
      <c r="AI10" s="57">
        <v>0</v>
      </c>
      <c r="AJ10" s="55">
        <v>0</v>
      </c>
      <c r="AK10" s="57">
        <v>0</v>
      </c>
      <c r="AL10" s="55">
        <v>0</v>
      </c>
      <c r="AM10" s="54">
        <v>0</v>
      </c>
      <c r="AN10" s="58">
        <v>0</v>
      </c>
      <c r="AO10" s="59">
        <f t="shared" si="0"/>
        <v>0</v>
      </c>
      <c r="AP10" s="60">
        <f t="shared" si="1"/>
        <v>0</v>
      </c>
      <c r="AQ10" s="60">
        <f t="shared" si="2"/>
        <v>0</v>
      </c>
      <c r="AR10" s="61">
        <f t="shared" si="3"/>
        <v>0</v>
      </c>
      <c r="AS10" s="62">
        <f t="shared" si="4"/>
        <v>0</v>
      </c>
      <c r="AT10" s="63">
        <f t="shared" si="5"/>
        <v>0</v>
      </c>
      <c r="AU10" s="63">
        <f t="shared" si="6"/>
        <v>0</v>
      </c>
      <c r="AV10" s="63">
        <f t="shared" si="7"/>
        <v>0</v>
      </c>
      <c r="AW10" s="63">
        <f t="shared" si="8"/>
        <v>0</v>
      </c>
      <c r="AX10" s="63">
        <f t="shared" si="9"/>
        <v>0</v>
      </c>
      <c r="AY10" s="59">
        <f t="shared" si="10"/>
        <v>0</v>
      </c>
      <c r="AZ10" s="64">
        <f t="shared" si="11"/>
        <v>0</v>
      </c>
      <c r="BA10" s="61">
        <f t="shared" si="12"/>
        <v>0</v>
      </c>
      <c r="BB10" s="62">
        <f t="shared" si="14"/>
        <v>0</v>
      </c>
      <c r="BC10" s="65">
        <f t="shared" si="15"/>
        <v>0</v>
      </c>
      <c r="BD10" s="65">
        <f t="shared" si="16"/>
        <v>0</v>
      </c>
      <c r="BE10" s="65">
        <f t="shared" si="17"/>
        <v>0</v>
      </c>
      <c r="BF10" s="65">
        <f t="shared" si="18"/>
        <v>0</v>
      </c>
      <c r="BG10" s="65">
        <f t="shared" si="19"/>
        <v>0</v>
      </c>
      <c r="BH10" s="65">
        <f t="shared" si="20"/>
        <v>0</v>
      </c>
      <c r="BI10" s="65">
        <f t="shared" si="21"/>
        <v>0</v>
      </c>
      <c r="BJ10" s="65">
        <f t="shared" si="22"/>
        <v>0</v>
      </c>
      <c r="BK10" s="65">
        <f t="shared" si="23"/>
        <v>0</v>
      </c>
      <c r="BL10" s="21">
        <f t="shared" si="13"/>
        <v>0</v>
      </c>
      <c r="BM10" s="106">
        <v>0</v>
      </c>
    </row>
    <row r="11" spans="1:65" x14ac:dyDescent="0.25">
      <c r="A11" s="54">
        <v>0</v>
      </c>
      <c r="B11" s="55">
        <v>0</v>
      </c>
      <c r="C11" s="54">
        <v>0</v>
      </c>
      <c r="D11" s="55">
        <v>0</v>
      </c>
      <c r="E11" s="54">
        <v>0</v>
      </c>
      <c r="F11" s="55">
        <v>0</v>
      </c>
      <c r="G11" s="54">
        <v>0</v>
      </c>
      <c r="H11" s="55">
        <v>0</v>
      </c>
      <c r="I11" s="54">
        <v>0</v>
      </c>
      <c r="J11" s="55">
        <v>0</v>
      </c>
      <c r="K11" s="54">
        <v>0</v>
      </c>
      <c r="L11" s="55">
        <v>0</v>
      </c>
      <c r="M11" s="54">
        <v>0</v>
      </c>
      <c r="N11" s="55">
        <v>0</v>
      </c>
      <c r="O11" s="54">
        <v>0</v>
      </c>
      <c r="P11" s="55">
        <v>0</v>
      </c>
      <c r="Q11" s="54">
        <v>0</v>
      </c>
      <c r="R11" s="55">
        <v>0</v>
      </c>
      <c r="S11" s="54">
        <v>0</v>
      </c>
      <c r="T11" s="55">
        <v>0</v>
      </c>
      <c r="U11" s="56">
        <v>0</v>
      </c>
      <c r="V11" s="55">
        <v>0</v>
      </c>
      <c r="W11" s="54">
        <v>0</v>
      </c>
      <c r="X11" s="55">
        <v>0</v>
      </c>
      <c r="Y11" s="54">
        <v>0</v>
      </c>
      <c r="Z11" s="55">
        <v>0</v>
      </c>
      <c r="AA11" s="54">
        <v>0</v>
      </c>
      <c r="AB11" s="55">
        <v>0</v>
      </c>
      <c r="AC11" s="57">
        <v>0</v>
      </c>
      <c r="AD11" s="55">
        <v>0</v>
      </c>
      <c r="AE11" s="57">
        <v>0</v>
      </c>
      <c r="AF11" s="55">
        <v>0</v>
      </c>
      <c r="AG11" s="57">
        <v>0</v>
      </c>
      <c r="AH11" s="55">
        <v>0</v>
      </c>
      <c r="AI11" s="57">
        <v>0</v>
      </c>
      <c r="AJ11" s="55">
        <v>0</v>
      </c>
      <c r="AK11" s="57">
        <v>0</v>
      </c>
      <c r="AL11" s="55">
        <v>0</v>
      </c>
      <c r="AM11" s="54">
        <v>0</v>
      </c>
      <c r="AN11" s="58">
        <v>0</v>
      </c>
      <c r="AO11" s="59">
        <f t="shared" si="0"/>
        <v>0</v>
      </c>
      <c r="AP11" s="60">
        <f t="shared" si="1"/>
        <v>0</v>
      </c>
      <c r="AQ11" s="60">
        <f t="shared" si="2"/>
        <v>0</v>
      </c>
      <c r="AR11" s="61">
        <f t="shared" si="3"/>
        <v>0</v>
      </c>
      <c r="AS11" s="62">
        <f t="shared" si="4"/>
        <v>0</v>
      </c>
      <c r="AT11" s="63">
        <f t="shared" si="5"/>
        <v>0</v>
      </c>
      <c r="AU11" s="63">
        <f t="shared" si="6"/>
        <v>0</v>
      </c>
      <c r="AV11" s="63">
        <f t="shared" si="7"/>
        <v>0</v>
      </c>
      <c r="AW11" s="63">
        <f t="shared" si="8"/>
        <v>0</v>
      </c>
      <c r="AX11" s="63">
        <f t="shared" si="9"/>
        <v>0</v>
      </c>
      <c r="AY11" s="59">
        <f t="shared" si="10"/>
        <v>0</v>
      </c>
      <c r="AZ11" s="64">
        <f t="shared" si="11"/>
        <v>0</v>
      </c>
      <c r="BA11" s="61">
        <f t="shared" si="12"/>
        <v>0</v>
      </c>
      <c r="BB11" s="62">
        <f t="shared" si="14"/>
        <v>0</v>
      </c>
      <c r="BC11" s="65">
        <f t="shared" si="15"/>
        <v>0</v>
      </c>
      <c r="BD11" s="65">
        <f t="shared" si="16"/>
        <v>0</v>
      </c>
      <c r="BE11" s="65">
        <f t="shared" si="17"/>
        <v>0</v>
      </c>
      <c r="BF11" s="65">
        <f t="shared" si="18"/>
        <v>0</v>
      </c>
      <c r="BG11" s="65">
        <f t="shared" si="19"/>
        <v>0</v>
      </c>
      <c r="BH11" s="65">
        <f t="shared" si="20"/>
        <v>0</v>
      </c>
      <c r="BI11" s="65">
        <f t="shared" si="21"/>
        <v>0</v>
      </c>
      <c r="BJ11" s="65">
        <f t="shared" si="22"/>
        <v>0</v>
      </c>
      <c r="BK11" s="65">
        <f t="shared" si="23"/>
        <v>0</v>
      </c>
      <c r="BL11" s="21">
        <f t="shared" si="13"/>
        <v>0</v>
      </c>
      <c r="BM11" s="106">
        <v>0</v>
      </c>
    </row>
    <row r="12" spans="1:65" x14ac:dyDescent="0.25">
      <c r="A12" s="54">
        <v>0</v>
      </c>
      <c r="B12" s="55">
        <v>0</v>
      </c>
      <c r="C12" s="54">
        <v>0</v>
      </c>
      <c r="D12" s="55">
        <v>0</v>
      </c>
      <c r="E12" s="54">
        <v>0</v>
      </c>
      <c r="F12" s="55">
        <v>0</v>
      </c>
      <c r="G12" s="54">
        <v>0</v>
      </c>
      <c r="H12" s="55">
        <v>0</v>
      </c>
      <c r="I12" s="54">
        <v>0</v>
      </c>
      <c r="J12" s="55">
        <v>0</v>
      </c>
      <c r="K12" s="54">
        <v>0</v>
      </c>
      <c r="L12" s="55">
        <v>0</v>
      </c>
      <c r="M12" s="54">
        <v>0</v>
      </c>
      <c r="N12" s="55">
        <v>0</v>
      </c>
      <c r="O12" s="54">
        <v>0</v>
      </c>
      <c r="P12" s="55">
        <v>0</v>
      </c>
      <c r="Q12" s="54">
        <v>0</v>
      </c>
      <c r="R12" s="55">
        <v>0</v>
      </c>
      <c r="S12" s="54">
        <v>0</v>
      </c>
      <c r="T12" s="55">
        <v>0</v>
      </c>
      <c r="U12" s="56">
        <v>0</v>
      </c>
      <c r="V12" s="55">
        <v>0</v>
      </c>
      <c r="W12" s="54">
        <v>0</v>
      </c>
      <c r="X12" s="55">
        <v>0</v>
      </c>
      <c r="Y12" s="54">
        <v>0</v>
      </c>
      <c r="Z12" s="55">
        <v>0</v>
      </c>
      <c r="AA12" s="54">
        <v>0</v>
      </c>
      <c r="AB12" s="55">
        <v>0</v>
      </c>
      <c r="AC12" s="57">
        <v>0</v>
      </c>
      <c r="AD12" s="55">
        <v>0</v>
      </c>
      <c r="AE12" s="57">
        <v>0</v>
      </c>
      <c r="AF12" s="55">
        <v>0</v>
      </c>
      <c r="AG12" s="57">
        <v>0</v>
      </c>
      <c r="AH12" s="55">
        <v>0</v>
      </c>
      <c r="AI12" s="57">
        <v>0</v>
      </c>
      <c r="AJ12" s="55">
        <v>0</v>
      </c>
      <c r="AK12" s="57">
        <v>0</v>
      </c>
      <c r="AL12" s="55">
        <v>0</v>
      </c>
      <c r="AM12" s="54">
        <v>0</v>
      </c>
      <c r="AN12" s="58">
        <v>0</v>
      </c>
      <c r="AO12" s="59">
        <f t="shared" si="0"/>
        <v>0</v>
      </c>
      <c r="AP12" s="60">
        <f t="shared" si="1"/>
        <v>0</v>
      </c>
      <c r="AQ12" s="60">
        <f t="shared" si="2"/>
        <v>0</v>
      </c>
      <c r="AR12" s="61">
        <f t="shared" si="3"/>
        <v>0</v>
      </c>
      <c r="AS12" s="62">
        <f t="shared" si="4"/>
        <v>0</v>
      </c>
      <c r="AT12" s="63">
        <f t="shared" si="5"/>
        <v>0</v>
      </c>
      <c r="AU12" s="63">
        <f t="shared" si="6"/>
        <v>0</v>
      </c>
      <c r="AV12" s="63">
        <f t="shared" si="7"/>
        <v>0</v>
      </c>
      <c r="AW12" s="63">
        <f t="shared" si="8"/>
        <v>0</v>
      </c>
      <c r="AX12" s="63">
        <f t="shared" si="9"/>
        <v>0</v>
      </c>
      <c r="AY12" s="59">
        <f t="shared" si="10"/>
        <v>0</v>
      </c>
      <c r="AZ12" s="64">
        <f t="shared" si="11"/>
        <v>0</v>
      </c>
      <c r="BA12" s="61">
        <f t="shared" si="12"/>
        <v>0</v>
      </c>
      <c r="BB12" s="62">
        <f t="shared" si="14"/>
        <v>0</v>
      </c>
      <c r="BC12" s="65">
        <f t="shared" si="15"/>
        <v>0</v>
      </c>
      <c r="BD12" s="65">
        <f t="shared" si="16"/>
        <v>0</v>
      </c>
      <c r="BE12" s="65">
        <f t="shared" si="17"/>
        <v>0</v>
      </c>
      <c r="BF12" s="65">
        <f t="shared" si="18"/>
        <v>0</v>
      </c>
      <c r="BG12" s="65">
        <f t="shared" si="19"/>
        <v>0</v>
      </c>
      <c r="BH12" s="65">
        <f t="shared" si="20"/>
        <v>0</v>
      </c>
      <c r="BI12" s="65">
        <f t="shared" si="21"/>
        <v>0</v>
      </c>
      <c r="BJ12" s="65">
        <f t="shared" si="22"/>
        <v>0</v>
      </c>
      <c r="BK12" s="65">
        <f t="shared" si="23"/>
        <v>0</v>
      </c>
      <c r="BL12" s="21">
        <f t="shared" si="13"/>
        <v>0</v>
      </c>
      <c r="BM12" s="106">
        <v>0</v>
      </c>
    </row>
    <row r="13" spans="1:65" x14ac:dyDescent="0.25">
      <c r="A13" s="54">
        <v>0</v>
      </c>
      <c r="B13" s="55">
        <v>0</v>
      </c>
      <c r="C13" s="54">
        <v>0</v>
      </c>
      <c r="D13" s="55">
        <v>0</v>
      </c>
      <c r="E13" s="54">
        <v>0</v>
      </c>
      <c r="F13" s="55">
        <v>0</v>
      </c>
      <c r="G13" s="54">
        <v>0</v>
      </c>
      <c r="H13" s="55">
        <v>0</v>
      </c>
      <c r="I13" s="54">
        <v>0</v>
      </c>
      <c r="J13" s="55">
        <v>0</v>
      </c>
      <c r="K13" s="54">
        <v>0</v>
      </c>
      <c r="L13" s="55">
        <v>0</v>
      </c>
      <c r="M13" s="54">
        <v>0</v>
      </c>
      <c r="N13" s="55">
        <v>0</v>
      </c>
      <c r="O13" s="54">
        <v>0</v>
      </c>
      <c r="P13" s="55">
        <v>0</v>
      </c>
      <c r="Q13" s="54">
        <v>0</v>
      </c>
      <c r="R13" s="55">
        <v>0</v>
      </c>
      <c r="S13" s="54">
        <v>0</v>
      </c>
      <c r="T13" s="55">
        <v>0</v>
      </c>
      <c r="U13" s="56">
        <v>0</v>
      </c>
      <c r="V13" s="55">
        <v>0</v>
      </c>
      <c r="W13" s="54">
        <v>0</v>
      </c>
      <c r="X13" s="55">
        <v>0</v>
      </c>
      <c r="Y13" s="54">
        <v>0</v>
      </c>
      <c r="Z13" s="55">
        <v>0</v>
      </c>
      <c r="AA13" s="54">
        <v>0</v>
      </c>
      <c r="AB13" s="55">
        <v>0</v>
      </c>
      <c r="AC13" s="57">
        <v>0</v>
      </c>
      <c r="AD13" s="55">
        <v>0</v>
      </c>
      <c r="AE13" s="57">
        <v>0</v>
      </c>
      <c r="AF13" s="55">
        <v>0</v>
      </c>
      <c r="AG13" s="57">
        <v>0</v>
      </c>
      <c r="AH13" s="55">
        <v>0</v>
      </c>
      <c r="AI13" s="57">
        <v>0</v>
      </c>
      <c r="AJ13" s="55">
        <v>0</v>
      </c>
      <c r="AK13" s="57">
        <v>0</v>
      </c>
      <c r="AL13" s="55">
        <v>0</v>
      </c>
      <c r="AM13" s="54">
        <v>0</v>
      </c>
      <c r="AN13" s="58">
        <v>0</v>
      </c>
      <c r="AO13" s="59">
        <f t="shared" si="0"/>
        <v>0</v>
      </c>
      <c r="AP13" s="60">
        <f t="shared" si="1"/>
        <v>0</v>
      </c>
      <c r="AQ13" s="60">
        <f t="shared" si="2"/>
        <v>0</v>
      </c>
      <c r="AR13" s="61">
        <f t="shared" si="3"/>
        <v>0</v>
      </c>
      <c r="AS13" s="62">
        <f t="shared" si="4"/>
        <v>0</v>
      </c>
      <c r="AT13" s="63">
        <f t="shared" si="5"/>
        <v>0</v>
      </c>
      <c r="AU13" s="63">
        <f t="shared" si="6"/>
        <v>0</v>
      </c>
      <c r="AV13" s="63">
        <f t="shared" si="7"/>
        <v>0</v>
      </c>
      <c r="AW13" s="63">
        <f t="shared" si="8"/>
        <v>0</v>
      </c>
      <c r="AX13" s="63">
        <f t="shared" si="9"/>
        <v>0</v>
      </c>
      <c r="AY13" s="59">
        <f t="shared" si="10"/>
        <v>0</v>
      </c>
      <c r="AZ13" s="64">
        <f t="shared" si="11"/>
        <v>0</v>
      </c>
      <c r="BA13" s="61">
        <f t="shared" si="12"/>
        <v>0</v>
      </c>
      <c r="BB13" s="62">
        <f t="shared" si="14"/>
        <v>0</v>
      </c>
      <c r="BC13" s="65">
        <f t="shared" si="15"/>
        <v>0</v>
      </c>
      <c r="BD13" s="65">
        <f t="shared" si="16"/>
        <v>0</v>
      </c>
      <c r="BE13" s="65">
        <f t="shared" si="17"/>
        <v>0</v>
      </c>
      <c r="BF13" s="65">
        <f t="shared" si="18"/>
        <v>0</v>
      </c>
      <c r="BG13" s="65">
        <f t="shared" si="19"/>
        <v>0</v>
      </c>
      <c r="BH13" s="65">
        <f t="shared" si="20"/>
        <v>0</v>
      </c>
      <c r="BI13" s="65">
        <f t="shared" si="21"/>
        <v>0</v>
      </c>
      <c r="BJ13" s="65">
        <f t="shared" si="22"/>
        <v>0</v>
      </c>
      <c r="BK13" s="65">
        <f t="shared" si="23"/>
        <v>0</v>
      </c>
      <c r="BL13" s="21">
        <f t="shared" si="13"/>
        <v>0</v>
      </c>
      <c r="BM13" s="106">
        <v>0</v>
      </c>
    </row>
    <row r="14" spans="1:65" x14ac:dyDescent="0.25">
      <c r="A14" s="54">
        <v>0</v>
      </c>
      <c r="B14" s="55">
        <v>0</v>
      </c>
      <c r="C14" s="54">
        <v>0</v>
      </c>
      <c r="D14" s="55">
        <v>0</v>
      </c>
      <c r="E14" s="54">
        <v>0</v>
      </c>
      <c r="F14" s="55">
        <v>0</v>
      </c>
      <c r="G14" s="54">
        <v>0</v>
      </c>
      <c r="H14" s="55">
        <v>0</v>
      </c>
      <c r="I14" s="54">
        <v>0</v>
      </c>
      <c r="J14" s="55">
        <v>0</v>
      </c>
      <c r="K14" s="54">
        <v>0</v>
      </c>
      <c r="L14" s="55">
        <v>0</v>
      </c>
      <c r="M14" s="54">
        <v>0</v>
      </c>
      <c r="N14" s="55">
        <v>0</v>
      </c>
      <c r="O14" s="54">
        <v>0</v>
      </c>
      <c r="P14" s="55">
        <v>0</v>
      </c>
      <c r="Q14" s="54">
        <v>0</v>
      </c>
      <c r="R14" s="55">
        <v>0</v>
      </c>
      <c r="S14" s="54">
        <v>0</v>
      </c>
      <c r="T14" s="55">
        <v>0</v>
      </c>
      <c r="U14" s="56">
        <v>0</v>
      </c>
      <c r="V14" s="55">
        <v>0</v>
      </c>
      <c r="W14" s="54">
        <v>0</v>
      </c>
      <c r="X14" s="55">
        <v>0</v>
      </c>
      <c r="Y14" s="54">
        <v>0</v>
      </c>
      <c r="Z14" s="55">
        <v>0</v>
      </c>
      <c r="AA14" s="54">
        <v>0</v>
      </c>
      <c r="AB14" s="55">
        <v>0</v>
      </c>
      <c r="AC14" s="57">
        <v>0</v>
      </c>
      <c r="AD14" s="55">
        <v>0</v>
      </c>
      <c r="AE14" s="57">
        <v>0</v>
      </c>
      <c r="AF14" s="55">
        <v>0</v>
      </c>
      <c r="AG14" s="57">
        <v>0</v>
      </c>
      <c r="AH14" s="55">
        <v>0</v>
      </c>
      <c r="AI14" s="57">
        <v>0</v>
      </c>
      <c r="AJ14" s="55">
        <v>0</v>
      </c>
      <c r="AK14" s="57">
        <v>0</v>
      </c>
      <c r="AL14" s="55">
        <v>0</v>
      </c>
      <c r="AM14" s="54">
        <v>0</v>
      </c>
      <c r="AN14" s="58">
        <v>0</v>
      </c>
      <c r="AO14" s="59">
        <f t="shared" si="0"/>
        <v>0</v>
      </c>
      <c r="AP14" s="60">
        <f t="shared" si="1"/>
        <v>0</v>
      </c>
      <c r="AQ14" s="60">
        <f t="shared" si="2"/>
        <v>0</v>
      </c>
      <c r="AR14" s="61">
        <f t="shared" si="3"/>
        <v>0</v>
      </c>
      <c r="AS14" s="62">
        <f t="shared" si="4"/>
        <v>0</v>
      </c>
      <c r="AT14" s="63">
        <f t="shared" si="5"/>
        <v>0</v>
      </c>
      <c r="AU14" s="63">
        <f t="shared" si="6"/>
        <v>0</v>
      </c>
      <c r="AV14" s="63">
        <f t="shared" si="7"/>
        <v>0</v>
      </c>
      <c r="AW14" s="63">
        <f t="shared" si="8"/>
        <v>0</v>
      </c>
      <c r="AX14" s="63">
        <f t="shared" si="9"/>
        <v>0</v>
      </c>
      <c r="AY14" s="59">
        <f t="shared" si="10"/>
        <v>0</v>
      </c>
      <c r="AZ14" s="64">
        <f t="shared" si="11"/>
        <v>0</v>
      </c>
      <c r="BA14" s="61">
        <f t="shared" si="12"/>
        <v>0</v>
      </c>
      <c r="BB14" s="62">
        <f t="shared" si="14"/>
        <v>0</v>
      </c>
      <c r="BC14" s="65">
        <f t="shared" si="15"/>
        <v>0</v>
      </c>
      <c r="BD14" s="65">
        <f t="shared" si="16"/>
        <v>0</v>
      </c>
      <c r="BE14" s="65">
        <f t="shared" si="17"/>
        <v>0</v>
      </c>
      <c r="BF14" s="65">
        <f t="shared" si="18"/>
        <v>0</v>
      </c>
      <c r="BG14" s="65">
        <f t="shared" si="19"/>
        <v>0</v>
      </c>
      <c r="BH14" s="65">
        <f t="shared" si="20"/>
        <v>0</v>
      </c>
      <c r="BI14" s="65">
        <f t="shared" si="21"/>
        <v>0</v>
      </c>
      <c r="BJ14" s="65">
        <f t="shared" si="22"/>
        <v>0</v>
      </c>
      <c r="BK14" s="65">
        <f t="shared" si="23"/>
        <v>0</v>
      </c>
      <c r="BL14" s="21">
        <f t="shared" si="13"/>
        <v>0</v>
      </c>
      <c r="BM14" s="106">
        <v>0</v>
      </c>
    </row>
    <row r="15" spans="1:65" x14ac:dyDescent="0.25">
      <c r="A15" s="54">
        <v>0</v>
      </c>
      <c r="B15" s="55">
        <v>0</v>
      </c>
      <c r="C15" s="54">
        <v>0</v>
      </c>
      <c r="D15" s="55">
        <v>0</v>
      </c>
      <c r="E15" s="54">
        <v>0</v>
      </c>
      <c r="F15" s="55">
        <v>0</v>
      </c>
      <c r="G15" s="54">
        <v>0</v>
      </c>
      <c r="H15" s="55">
        <v>0</v>
      </c>
      <c r="I15" s="54">
        <v>0</v>
      </c>
      <c r="J15" s="55">
        <v>0</v>
      </c>
      <c r="K15" s="54">
        <v>0</v>
      </c>
      <c r="L15" s="55">
        <v>0</v>
      </c>
      <c r="M15" s="54">
        <v>0</v>
      </c>
      <c r="N15" s="55">
        <v>0</v>
      </c>
      <c r="O15" s="54">
        <v>0</v>
      </c>
      <c r="P15" s="55">
        <v>0</v>
      </c>
      <c r="Q15" s="54">
        <v>0</v>
      </c>
      <c r="R15" s="55">
        <v>0</v>
      </c>
      <c r="S15" s="54">
        <v>0</v>
      </c>
      <c r="T15" s="55">
        <v>0</v>
      </c>
      <c r="U15" s="56">
        <v>0</v>
      </c>
      <c r="V15" s="55">
        <v>0</v>
      </c>
      <c r="W15" s="54">
        <v>0</v>
      </c>
      <c r="X15" s="55">
        <v>0</v>
      </c>
      <c r="Y15" s="54">
        <v>0</v>
      </c>
      <c r="Z15" s="55">
        <v>0</v>
      </c>
      <c r="AA15" s="54">
        <v>0</v>
      </c>
      <c r="AB15" s="55">
        <v>0</v>
      </c>
      <c r="AC15" s="57">
        <v>0</v>
      </c>
      <c r="AD15" s="55">
        <v>0</v>
      </c>
      <c r="AE15" s="57">
        <v>0</v>
      </c>
      <c r="AF15" s="55">
        <v>0</v>
      </c>
      <c r="AG15" s="57">
        <v>0</v>
      </c>
      <c r="AH15" s="55">
        <v>0</v>
      </c>
      <c r="AI15" s="57">
        <v>0</v>
      </c>
      <c r="AJ15" s="55">
        <v>0</v>
      </c>
      <c r="AK15" s="57">
        <v>0</v>
      </c>
      <c r="AL15" s="55">
        <v>0</v>
      </c>
      <c r="AM15" s="54">
        <v>0</v>
      </c>
      <c r="AN15" s="58">
        <v>0</v>
      </c>
      <c r="AO15" s="59">
        <f t="shared" si="0"/>
        <v>0</v>
      </c>
      <c r="AP15" s="60">
        <f t="shared" si="1"/>
        <v>0</v>
      </c>
      <c r="AQ15" s="60">
        <f t="shared" si="2"/>
        <v>0</v>
      </c>
      <c r="AR15" s="61">
        <f t="shared" si="3"/>
        <v>0</v>
      </c>
      <c r="AS15" s="62">
        <f t="shared" si="4"/>
        <v>0</v>
      </c>
      <c r="AT15" s="63">
        <f t="shared" si="5"/>
        <v>0</v>
      </c>
      <c r="AU15" s="63">
        <f t="shared" si="6"/>
        <v>0</v>
      </c>
      <c r="AV15" s="63">
        <f t="shared" si="7"/>
        <v>0</v>
      </c>
      <c r="AW15" s="63">
        <f t="shared" si="8"/>
        <v>0</v>
      </c>
      <c r="AX15" s="63">
        <f t="shared" si="9"/>
        <v>0</v>
      </c>
      <c r="AY15" s="59">
        <f t="shared" si="10"/>
        <v>0</v>
      </c>
      <c r="AZ15" s="64">
        <f t="shared" si="11"/>
        <v>0</v>
      </c>
      <c r="BA15" s="61">
        <f t="shared" si="12"/>
        <v>0</v>
      </c>
      <c r="BB15" s="62">
        <f t="shared" si="14"/>
        <v>0</v>
      </c>
      <c r="BC15" s="65">
        <f t="shared" si="15"/>
        <v>0</v>
      </c>
      <c r="BD15" s="65">
        <f t="shared" si="16"/>
        <v>0</v>
      </c>
      <c r="BE15" s="65">
        <f t="shared" si="17"/>
        <v>0</v>
      </c>
      <c r="BF15" s="65">
        <f t="shared" si="18"/>
        <v>0</v>
      </c>
      <c r="BG15" s="65">
        <f t="shared" si="19"/>
        <v>0</v>
      </c>
      <c r="BH15" s="65">
        <f t="shared" si="20"/>
        <v>0</v>
      </c>
      <c r="BI15" s="65">
        <f t="shared" si="21"/>
        <v>0</v>
      </c>
      <c r="BJ15" s="65">
        <f t="shared" si="22"/>
        <v>0</v>
      </c>
      <c r="BK15" s="65">
        <f t="shared" si="23"/>
        <v>0</v>
      </c>
      <c r="BL15" s="21">
        <f t="shared" si="13"/>
        <v>0</v>
      </c>
      <c r="BM15" s="106">
        <v>0</v>
      </c>
    </row>
    <row r="16" spans="1:65" x14ac:dyDescent="0.25">
      <c r="A16" s="54">
        <v>0</v>
      </c>
      <c r="B16" s="55">
        <v>0</v>
      </c>
      <c r="C16" s="54">
        <v>0</v>
      </c>
      <c r="D16" s="55">
        <v>0</v>
      </c>
      <c r="E16" s="54">
        <v>0</v>
      </c>
      <c r="F16" s="55">
        <v>0</v>
      </c>
      <c r="G16" s="54">
        <v>0</v>
      </c>
      <c r="H16" s="55">
        <v>0</v>
      </c>
      <c r="I16" s="54">
        <v>0</v>
      </c>
      <c r="J16" s="55">
        <v>0</v>
      </c>
      <c r="K16" s="54">
        <v>0</v>
      </c>
      <c r="L16" s="55">
        <v>0</v>
      </c>
      <c r="M16" s="54">
        <v>0</v>
      </c>
      <c r="N16" s="55">
        <v>0</v>
      </c>
      <c r="O16" s="54">
        <v>0</v>
      </c>
      <c r="P16" s="55">
        <v>0</v>
      </c>
      <c r="Q16" s="54">
        <v>0</v>
      </c>
      <c r="R16" s="55">
        <v>0</v>
      </c>
      <c r="S16" s="54">
        <v>0</v>
      </c>
      <c r="T16" s="55">
        <v>0</v>
      </c>
      <c r="U16" s="56">
        <v>0</v>
      </c>
      <c r="V16" s="55">
        <v>0</v>
      </c>
      <c r="W16" s="54">
        <v>0</v>
      </c>
      <c r="X16" s="55">
        <v>0</v>
      </c>
      <c r="Y16" s="54">
        <v>0</v>
      </c>
      <c r="Z16" s="55">
        <v>0</v>
      </c>
      <c r="AA16" s="54">
        <v>0</v>
      </c>
      <c r="AB16" s="55">
        <v>0</v>
      </c>
      <c r="AC16" s="57">
        <v>0</v>
      </c>
      <c r="AD16" s="55">
        <v>0</v>
      </c>
      <c r="AE16" s="57">
        <v>0</v>
      </c>
      <c r="AF16" s="55">
        <v>0</v>
      </c>
      <c r="AG16" s="57">
        <v>0</v>
      </c>
      <c r="AH16" s="55">
        <v>0</v>
      </c>
      <c r="AI16" s="57">
        <v>0</v>
      </c>
      <c r="AJ16" s="55">
        <v>0</v>
      </c>
      <c r="AK16" s="57">
        <v>0</v>
      </c>
      <c r="AL16" s="55">
        <v>0</v>
      </c>
      <c r="AM16" s="54">
        <v>0</v>
      </c>
      <c r="AN16" s="58">
        <v>0</v>
      </c>
      <c r="AO16" s="59">
        <f t="shared" si="0"/>
        <v>0</v>
      </c>
      <c r="AP16" s="60">
        <f t="shared" si="1"/>
        <v>0</v>
      </c>
      <c r="AQ16" s="60">
        <f t="shared" si="2"/>
        <v>0</v>
      </c>
      <c r="AR16" s="61">
        <f t="shared" si="3"/>
        <v>0</v>
      </c>
      <c r="AS16" s="62">
        <f t="shared" si="4"/>
        <v>0</v>
      </c>
      <c r="AT16" s="63">
        <f t="shared" si="5"/>
        <v>0</v>
      </c>
      <c r="AU16" s="63">
        <f t="shared" si="6"/>
        <v>0</v>
      </c>
      <c r="AV16" s="63">
        <f t="shared" si="7"/>
        <v>0</v>
      </c>
      <c r="AW16" s="63">
        <f t="shared" si="8"/>
        <v>0</v>
      </c>
      <c r="AX16" s="63">
        <f t="shared" si="9"/>
        <v>0</v>
      </c>
      <c r="AY16" s="59">
        <f t="shared" si="10"/>
        <v>0</v>
      </c>
      <c r="AZ16" s="64">
        <f t="shared" si="11"/>
        <v>0</v>
      </c>
      <c r="BA16" s="61">
        <f t="shared" si="12"/>
        <v>0</v>
      </c>
      <c r="BB16" s="62">
        <f t="shared" si="14"/>
        <v>0</v>
      </c>
      <c r="BC16" s="65">
        <f t="shared" si="15"/>
        <v>0</v>
      </c>
      <c r="BD16" s="65">
        <f t="shared" si="16"/>
        <v>0</v>
      </c>
      <c r="BE16" s="65">
        <f t="shared" si="17"/>
        <v>0</v>
      </c>
      <c r="BF16" s="65">
        <f t="shared" si="18"/>
        <v>0</v>
      </c>
      <c r="BG16" s="65">
        <f t="shared" si="19"/>
        <v>0</v>
      </c>
      <c r="BH16" s="65">
        <f t="shared" si="20"/>
        <v>0</v>
      </c>
      <c r="BI16" s="65">
        <f t="shared" si="21"/>
        <v>0</v>
      </c>
      <c r="BJ16" s="65">
        <f t="shared" si="22"/>
        <v>0</v>
      </c>
      <c r="BK16" s="65">
        <f t="shared" si="23"/>
        <v>0</v>
      </c>
      <c r="BL16" s="21">
        <f t="shared" si="13"/>
        <v>0</v>
      </c>
      <c r="BM16" s="106">
        <v>0</v>
      </c>
    </row>
    <row r="17" spans="1:65" x14ac:dyDescent="0.25">
      <c r="A17" s="54">
        <v>0</v>
      </c>
      <c r="B17" s="55">
        <v>0</v>
      </c>
      <c r="C17" s="54">
        <v>0</v>
      </c>
      <c r="D17" s="55">
        <v>0</v>
      </c>
      <c r="E17" s="54">
        <v>0</v>
      </c>
      <c r="F17" s="55">
        <v>0</v>
      </c>
      <c r="G17" s="54">
        <v>0</v>
      </c>
      <c r="H17" s="55">
        <v>0</v>
      </c>
      <c r="I17" s="54">
        <v>0</v>
      </c>
      <c r="J17" s="55">
        <v>0</v>
      </c>
      <c r="K17" s="54">
        <v>0</v>
      </c>
      <c r="L17" s="55">
        <v>0</v>
      </c>
      <c r="M17" s="54">
        <v>0</v>
      </c>
      <c r="N17" s="55">
        <v>0</v>
      </c>
      <c r="O17" s="54">
        <v>0</v>
      </c>
      <c r="P17" s="55">
        <v>0</v>
      </c>
      <c r="Q17" s="54">
        <v>0</v>
      </c>
      <c r="R17" s="55">
        <v>0</v>
      </c>
      <c r="S17" s="54">
        <v>0</v>
      </c>
      <c r="T17" s="55">
        <v>0</v>
      </c>
      <c r="U17" s="56">
        <v>0</v>
      </c>
      <c r="V17" s="55">
        <v>0</v>
      </c>
      <c r="W17" s="54">
        <v>0</v>
      </c>
      <c r="X17" s="55">
        <v>0</v>
      </c>
      <c r="Y17" s="54">
        <v>0</v>
      </c>
      <c r="Z17" s="55">
        <v>0</v>
      </c>
      <c r="AA17" s="54">
        <v>0</v>
      </c>
      <c r="AB17" s="55">
        <v>0</v>
      </c>
      <c r="AC17" s="57">
        <v>0</v>
      </c>
      <c r="AD17" s="55">
        <v>0</v>
      </c>
      <c r="AE17" s="57">
        <v>0</v>
      </c>
      <c r="AF17" s="55">
        <v>0</v>
      </c>
      <c r="AG17" s="57">
        <v>0</v>
      </c>
      <c r="AH17" s="55">
        <v>0</v>
      </c>
      <c r="AI17" s="57">
        <v>0</v>
      </c>
      <c r="AJ17" s="55">
        <v>0</v>
      </c>
      <c r="AK17" s="57">
        <v>0</v>
      </c>
      <c r="AL17" s="55">
        <v>0</v>
      </c>
      <c r="AM17" s="54">
        <v>0</v>
      </c>
      <c r="AN17" s="58">
        <v>0</v>
      </c>
      <c r="AO17" s="59">
        <f t="shared" si="0"/>
        <v>0</v>
      </c>
      <c r="AP17" s="60">
        <f t="shared" si="1"/>
        <v>0</v>
      </c>
      <c r="AQ17" s="60">
        <f t="shared" si="2"/>
        <v>0</v>
      </c>
      <c r="AR17" s="61">
        <f t="shared" si="3"/>
        <v>0</v>
      </c>
      <c r="AS17" s="62">
        <f t="shared" si="4"/>
        <v>0</v>
      </c>
      <c r="AT17" s="63">
        <f t="shared" si="5"/>
        <v>0</v>
      </c>
      <c r="AU17" s="63">
        <f t="shared" si="6"/>
        <v>0</v>
      </c>
      <c r="AV17" s="63">
        <f t="shared" si="7"/>
        <v>0</v>
      </c>
      <c r="AW17" s="63">
        <f t="shared" si="8"/>
        <v>0</v>
      </c>
      <c r="AX17" s="63">
        <f t="shared" si="9"/>
        <v>0</v>
      </c>
      <c r="AY17" s="59">
        <f t="shared" si="10"/>
        <v>0</v>
      </c>
      <c r="AZ17" s="64">
        <f t="shared" si="11"/>
        <v>0</v>
      </c>
      <c r="BA17" s="61">
        <f t="shared" si="12"/>
        <v>0</v>
      </c>
      <c r="BB17" s="62">
        <f t="shared" si="14"/>
        <v>0</v>
      </c>
      <c r="BC17" s="65">
        <f t="shared" si="15"/>
        <v>0</v>
      </c>
      <c r="BD17" s="65">
        <f t="shared" si="16"/>
        <v>0</v>
      </c>
      <c r="BE17" s="65">
        <f t="shared" si="17"/>
        <v>0</v>
      </c>
      <c r="BF17" s="65">
        <f t="shared" si="18"/>
        <v>0</v>
      </c>
      <c r="BG17" s="65">
        <f t="shared" si="19"/>
        <v>0</v>
      </c>
      <c r="BH17" s="65">
        <f t="shared" si="20"/>
        <v>0</v>
      </c>
      <c r="BI17" s="65">
        <f t="shared" si="21"/>
        <v>0</v>
      </c>
      <c r="BJ17" s="65">
        <f t="shared" si="22"/>
        <v>0</v>
      </c>
      <c r="BK17" s="65">
        <f t="shared" si="23"/>
        <v>0</v>
      </c>
      <c r="BL17" s="21">
        <f t="shared" si="13"/>
        <v>0</v>
      </c>
      <c r="BM17" s="106">
        <v>0</v>
      </c>
    </row>
    <row r="18" spans="1:65" x14ac:dyDescent="0.25">
      <c r="A18" s="54">
        <v>0</v>
      </c>
      <c r="B18" s="55">
        <v>0</v>
      </c>
      <c r="C18" s="54">
        <v>0</v>
      </c>
      <c r="D18" s="55">
        <v>0</v>
      </c>
      <c r="E18" s="54">
        <v>0</v>
      </c>
      <c r="F18" s="55">
        <v>0</v>
      </c>
      <c r="G18" s="54">
        <v>0</v>
      </c>
      <c r="H18" s="55">
        <v>0</v>
      </c>
      <c r="I18" s="54">
        <v>0</v>
      </c>
      <c r="J18" s="55">
        <v>0</v>
      </c>
      <c r="K18" s="54">
        <v>0</v>
      </c>
      <c r="L18" s="55">
        <v>0</v>
      </c>
      <c r="M18" s="54">
        <v>0</v>
      </c>
      <c r="N18" s="55">
        <v>0</v>
      </c>
      <c r="O18" s="54">
        <v>0</v>
      </c>
      <c r="P18" s="55">
        <v>0</v>
      </c>
      <c r="Q18" s="54">
        <v>0</v>
      </c>
      <c r="R18" s="55">
        <v>0</v>
      </c>
      <c r="S18" s="54">
        <v>0</v>
      </c>
      <c r="T18" s="55">
        <v>0</v>
      </c>
      <c r="U18" s="56">
        <v>0</v>
      </c>
      <c r="V18" s="55">
        <v>0</v>
      </c>
      <c r="W18" s="54">
        <v>0</v>
      </c>
      <c r="X18" s="55">
        <v>0</v>
      </c>
      <c r="Y18" s="54">
        <v>0</v>
      </c>
      <c r="Z18" s="55">
        <v>0</v>
      </c>
      <c r="AA18" s="54">
        <v>0</v>
      </c>
      <c r="AB18" s="55">
        <v>0</v>
      </c>
      <c r="AC18" s="57">
        <v>0</v>
      </c>
      <c r="AD18" s="55">
        <v>0</v>
      </c>
      <c r="AE18" s="57">
        <v>0</v>
      </c>
      <c r="AF18" s="55">
        <v>0</v>
      </c>
      <c r="AG18" s="57">
        <v>0</v>
      </c>
      <c r="AH18" s="55">
        <v>0</v>
      </c>
      <c r="AI18" s="57">
        <v>0</v>
      </c>
      <c r="AJ18" s="55">
        <v>0</v>
      </c>
      <c r="AK18" s="57">
        <v>0</v>
      </c>
      <c r="AL18" s="55">
        <v>0</v>
      </c>
      <c r="AM18" s="54">
        <v>0</v>
      </c>
      <c r="AN18" s="58">
        <v>0</v>
      </c>
      <c r="AO18" s="59">
        <f t="shared" si="0"/>
        <v>0</v>
      </c>
      <c r="AP18" s="60">
        <f t="shared" si="1"/>
        <v>0</v>
      </c>
      <c r="AQ18" s="60">
        <f t="shared" si="2"/>
        <v>0</v>
      </c>
      <c r="AR18" s="61">
        <f t="shared" si="3"/>
        <v>0</v>
      </c>
      <c r="AS18" s="62">
        <f t="shared" si="4"/>
        <v>0</v>
      </c>
      <c r="AT18" s="63">
        <f t="shared" si="5"/>
        <v>0</v>
      </c>
      <c r="AU18" s="63">
        <f t="shared" si="6"/>
        <v>0</v>
      </c>
      <c r="AV18" s="63">
        <f t="shared" si="7"/>
        <v>0</v>
      </c>
      <c r="AW18" s="63">
        <f t="shared" si="8"/>
        <v>0</v>
      </c>
      <c r="AX18" s="63">
        <f t="shared" si="9"/>
        <v>0</v>
      </c>
      <c r="AY18" s="59">
        <f t="shared" si="10"/>
        <v>0</v>
      </c>
      <c r="AZ18" s="64">
        <f t="shared" si="11"/>
        <v>0</v>
      </c>
      <c r="BA18" s="61">
        <f t="shared" si="12"/>
        <v>0</v>
      </c>
      <c r="BB18" s="62">
        <f t="shared" si="14"/>
        <v>0</v>
      </c>
      <c r="BC18" s="65">
        <f t="shared" si="15"/>
        <v>0</v>
      </c>
      <c r="BD18" s="65">
        <f t="shared" si="16"/>
        <v>0</v>
      </c>
      <c r="BE18" s="65">
        <f t="shared" si="17"/>
        <v>0</v>
      </c>
      <c r="BF18" s="65">
        <f t="shared" si="18"/>
        <v>0</v>
      </c>
      <c r="BG18" s="65">
        <f t="shared" si="19"/>
        <v>0</v>
      </c>
      <c r="BH18" s="65">
        <f t="shared" si="20"/>
        <v>0</v>
      </c>
      <c r="BI18" s="65">
        <f t="shared" si="21"/>
        <v>0</v>
      </c>
      <c r="BJ18" s="65">
        <f t="shared" si="22"/>
        <v>0</v>
      </c>
      <c r="BK18" s="65">
        <f t="shared" si="23"/>
        <v>0</v>
      </c>
      <c r="BL18" s="21">
        <f t="shared" si="13"/>
        <v>0</v>
      </c>
      <c r="BM18" s="106">
        <v>0</v>
      </c>
    </row>
    <row r="19" spans="1:65" x14ac:dyDescent="0.25">
      <c r="A19" s="54">
        <v>0</v>
      </c>
      <c r="B19" s="55">
        <v>0</v>
      </c>
      <c r="C19" s="54">
        <v>0</v>
      </c>
      <c r="D19" s="55">
        <v>0</v>
      </c>
      <c r="E19" s="54">
        <v>0</v>
      </c>
      <c r="F19" s="55">
        <v>0</v>
      </c>
      <c r="G19" s="54">
        <v>0</v>
      </c>
      <c r="H19" s="55">
        <v>0</v>
      </c>
      <c r="I19" s="54">
        <v>0</v>
      </c>
      <c r="J19" s="55">
        <v>0</v>
      </c>
      <c r="K19" s="54">
        <v>0</v>
      </c>
      <c r="L19" s="55">
        <v>0</v>
      </c>
      <c r="M19" s="54">
        <v>0</v>
      </c>
      <c r="N19" s="55">
        <v>0</v>
      </c>
      <c r="O19" s="54">
        <v>0</v>
      </c>
      <c r="P19" s="55">
        <v>0</v>
      </c>
      <c r="Q19" s="54">
        <v>0</v>
      </c>
      <c r="R19" s="55">
        <v>0</v>
      </c>
      <c r="S19" s="54">
        <v>0</v>
      </c>
      <c r="T19" s="55">
        <v>0</v>
      </c>
      <c r="U19" s="56">
        <v>0</v>
      </c>
      <c r="V19" s="55">
        <v>0</v>
      </c>
      <c r="W19" s="54">
        <v>0</v>
      </c>
      <c r="X19" s="55">
        <v>0</v>
      </c>
      <c r="Y19" s="54">
        <v>0</v>
      </c>
      <c r="Z19" s="55">
        <v>0</v>
      </c>
      <c r="AA19" s="54">
        <v>0</v>
      </c>
      <c r="AB19" s="55">
        <v>0</v>
      </c>
      <c r="AC19" s="57">
        <v>0</v>
      </c>
      <c r="AD19" s="55">
        <v>0</v>
      </c>
      <c r="AE19" s="57">
        <v>0</v>
      </c>
      <c r="AF19" s="55">
        <v>0</v>
      </c>
      <c r="AG19" s="57">
        <v>0</v>
      </c>
      <c r="AH19" s="55">
        <v>0</v>
      </c>
      <c r="AI19" s="57">
        <v>0</v>
      </c>
      <c r="AJ19" s="55">
        <v>0</v>
      </c>
      <c r="AK19" s="57">
        <v>0</v>
      </c>
      <c r="AL19" s="55">
        <v>0</v>
      </c>
      <c r="AM19" s="54">
        <v>0</v>
      </c>
      <c r="AN19" s="58">
        <v>0</v>
      </c>
      <c r="AO19" s="59">
        <f t="shared" si="0"/>
        <v>0</v>
      </c>
      <c r="AP19" s="60">
        <f t="shared" si="1"/>
        <v>0</v>
      </c>
      <c r="AQ19" s="60">
        <f t="shared" si="2"/>
        <v>0</v>
      </c>
      <c r="AR19" s="61">
        <f t="shared" si="3"/>
        <v>0</v>
      </c>
      <c r="AS19" s="62">
        <f t="shared" si="4"/>
        <v>0</v>
      </c>
      <c r="AT19" s="63">
        <f t="shared" si="5"/>
        <v>0</v>
      </c>
      <c r="AU19" s="63">
        <f t="shared" si="6"/>
        <v>0</v>
      </c>
      <c r="AV19" s="63">
        <f t="shared" si="7"/>
        <v>0</v>
      </c>
      <c r="AW19" s="63">
        <f t="shared" si="8"/>
        <v>0</v>
      </c>
      <c r="AX19" s="63">
        <f t="shared" si="9"/>
        <v>0</v>
      </c>
      <c r="AY19" s="59">
        <f t="shared" si="10"/>
        <v>0</v>
      </c>
      <c r="AZ19" s="64">
        <f t="shared" si="11"/>
        <v>0</v>
      </c>
      <c r="BA19" s="61">
        <f t="shared" si="12"/>
        <v>0</v>
      </c>
      <c r="BB19" s="62">
        <f t="shared" si="14"/>
        <v>0</v>
      </c>
      <c r="BC19" s="65">
        <f t="shared" si="15"/>
        <v>0</v>
      </c>
      <c r="BD19" s="65">
        <f t="shared" si="16"/>
        <v>0</v>
      </c>
      <c r="BE19" s="65">
        <f t="shared" si="17"/>
        <v>0</v>
      </c>
      <c r="BF19" s="65">
        <f t="shared" si="18"/>
        <v>0</v>
      </c>
      <c r="BG19" s="65">
        <f t="shared" si="19"/>
        <v>0</v>
      </c>
      <c r="BH19" s="65">
        <f t="shared" si="20"/>
        <v>0</v>
      </c>
      <c r="BI19" s="65">
        <f t="shared" si="21"/>
        <v>0</v>
      </c>
      <c r="BJ19" s="65">
        <f t="shared" si="22"/>
        <v>0</v>
      </c>
      <c r="BK19" s="65">
        <f t="shared" si="23"/>
        <v>0</v>
      </c>
      <c r="BL19" s="21">
        <f t="shared" si="13"/>
        <v>0</v>
      </c>
      <c r="BM19" s="106">
        <v>0</v>
      </c>
    </row>
    <row r="20" spans="1:65" x14ac:dyDescent="0.25">
      <c r="A20" s="54">
        <v>0</v>
      </c>
      <c r="B20" s="55">
        <v>0</v>
      </c>
      <c r="C20" s="54">
        <v>0</v>
      </c>
      <c r="D20" s="55">
        <v>0</v>
      </c>
      <c r="E20" s="54">
        <v>0</v>
      </c>
      <c r="F20" s="55">
        <v>0</v>
      </c>
      <c r="G20" s="54">
        <v>0</v>
      </c>
      <c r="H20" s="55">
        <v>0</v>
      </c>
      <c r="I20" s="54">
        <v>0</v>
      </c>
      <c r="J20" s="55">
        <v>0</v>
      </c>
      <c r="K20" s="54">
        <v>0</v>
      </c>
      <c r="L20" s="55">
        <v>0</v>
      </c>
      <c r="M20" s="54">
        <v>0</v>
      </c>
      <c r="N20" s="55">
        <v>0</v>
      </c>
      <c r="O20" s="54">
        <v>0</v>
      </c>
      <c r="P20" s="55">
        <v>0</v>
      </c>
      <c r="Q20" s="54">
        <v>0</v>
      </c>
      <c r="R20" s="55">
        <v>0</v>
      </c>
      <c r="S20" s="54">
        <v>0</v>
      </c>
      <c r="T20" s="55">
        <v>0</v>
      </c>
      <c r="U20" s="56">
        <v>0</v>
      </c>
      <c r="V20" s="55">
        <v>0</v>
      </c>
      <c r="W20" s="54">
        <v>0</v>
      </c>
      <c r="X20" s="55">
        <v>0</v>
      </c>
      <c r="Y20" s="54">
        <v>0</v>
      </c>
      <c r="Z20" s="55">
        <v>0</v>
      </c>
      <c r="AA20" s="54">
        <v>0</v>
      </c>
      <c r="AB20" s="55">
        <v>0</v>
      </c>
      <c r="AC20" s="57">
        <v>0</v>
      </c>
      <c r="AD20" s="55">
        <v>0</v>
      </c>
      <c r="AE20" s="57">
        <v>0</v>
      </c>
      <c r="AF20" s="55">
        <v>0</v>
      </c>
      <c r="AG20" s="57">
        <v>0</v>
      </c>
      <c r="AH20" s="55">
        <v>0</v>
      </c>
      <c r="AI20" s="57">
        <v>0</v>
      </c>
      <c r="AJ20" s="55">
        <v>0</v>
      </c>
      <c r="AK20" s="57">
        <v>0</v>
      </c>
      <c r="AL20" s="55">
        <v>0</v>
      </c>
      <c r="AM20" s="54">
        <v>0</v>
      </c>
      <c r="AN20" s="58">
        <v>0</v>
      </c>
      <c r="AO20" s="59">
        <f t="shared" si="0"/>
        <v>0</v>
      </c>
      <c r="AP20" s="60">
        <f t="shared" si="1"/>
        <v>0</v>
      </c>
      <c r="AQ20" s="60">
        <f t="shared" si="2"/>
        <v>0</v>
      </c>
      <c r="AR20" s="61">
        <f t="shared" si="3"/>
        <v>0</v>
      </c>
      <c r="AS20" s="62">
        <f t="shared" si="4"/>
        <v>0</v>
      </c>
      <c r="AT20" s="63">
        <f t="shared" si="5"/>
        <v>0</v>
      </c>
      <c r="AU20" s="63">
        <f t="shared" si="6"/>
        <v>0</v>
      </c>
      <c r="AV20" s="63">
        <f t="shared" si="7"/>
        <v>0</v>
      </c>
      <c r="AW20" s="63">
        <f t="shared" si="8"/>
        <v>0</v>
      </c>
      <c r="AX20" s="63">
        <f t="shared" si="9"/>
        <v>0</v>
      </c>
      <c r="AY20" s="59">
        <f t="shared" si="10"/>
        <v>0</v>
      </c>
      <c r="AZ20" s="64">
        <f t="shared" si="11"/>
        <v>0</v>
      </c>
      <c r="BA20" s="61">
        <f t="shared" si="12"/>
        <v>0</v>
      </c>
      <c r="BB20" s="62">
        <f t="shared" si="14"/>
        <v>0</v>
      </c>
      <c r="BC20" s="65">
        <f t="shared" si="15"/>
        <v>0</v>
      </c>
      <c r="BD20" s="65">
        <f t="shared" si="16"/>
        <v>0</v>
      </c>
      <c r="BE20" s="65">
        <f t="shared" si="17"/>
        <v>0</v>
      </c>
      <c r="BF20" s="65">
        <f t="shared" si="18"/>
        <v>0</v>
      </c>
      <c r="BG20" s="65">
        <f t="shared" si="19"/>
        <v>0</v>
      </c>
      <c r="BH20" s="65">
        <f t="shared" si="20"/>
        <v>0</v>
      </c>
      <c r="BI20" s="65">
        <f t="shared" si="21"/>
        <v>0</v>
      </c>
      <c r="BJ20" s="65">
        <f t="shared" si="22"/>
        <v>0</v>
      </c>
      <c r="BK20" s="65">
        <f t="shared" si="23"/>
        <v>0</v>
      </c>
      <c r="BL20" s="21">
        <f t="shared" si="13"/>
        <v>0</v>
      </c>
      <c r="BM20" s="106">
        <v>0</v>
      </c>
    </row>
    <row r="21" spans="1:65" x14ac:dyDescent="0.25">
      <c r="A21" s="54">
        <v>0</v>
      </c>
      <c r="B21" s="55">
        <v>0</v>
      </c>
      <c r="C21" s="54">
        <v>0</v>
      </c>
      <c r="D21" s="55">
        <v>0</v>
      </c>
      <c r="E21" s="54">
        <v>0</v>
      </c>
      <c r="F21" s="55">
        <v>0</v>
      </c>
      <c r="G21" s="54">
        <v>0</v>
      </c>
      <c r="H21" s="55">
        <v>0</v>
      </c>
      <c r="I21" s="54">
        <v>0</v>
      </c>
      <c r="J21" s="55">
        <v>0</v>
      </c>
      <c r="K21" s="54">
        <v>0</v>
      </c>
      <c r="L21" s="55">
        <v>0</v>
      </c>
      <c r="M21" s="54">
        <v>0</v>
      </c>
      <c r="N21" s="55">
        <v>0</v>
      </c>
      <c r="O21" s="54">
        <v>0</v>
      </c>
      <c r="P21" s="55">
        <v>0</v>
      </c>
      <c r="Q21" s="54">
        <v>0</v>
      </c>
      <c r="R21" s="55">
        <v>0</v>
      </c>
      <c r="S21" s="54">
        <v>0</v>
      </c>
      <c r="T21" s="55">
        <v>0</v>
      </c>
      <c r="U21" s="56">
        <v>0</v>
      </c>
      <c r="V21" s="55">
        <v>0</v>
      </c>
      <c r="W21" s="54">
        <v>0</v>
      </c>
      <c r="X21" s="55">
        <v>0</v>
      </c>
      <c r="Y21" s="54">
        <v>0</v>
      </c>
      <c r="Z21" s="55">
        <v>0</v>
      </c>
      <c r="AA21" s="54">
        <v>0</v>
      </c>
      <c r="AB21" s="55">
        <v>0</v>
      </c>
      <c r="AC21" s="57">
        <v>0</v>
      </c>
      <c r="AD21" s="55">
        <v>0</v>
      </c>
      <c r="AE21" s="57">
        <v>0</v>
      </c>
      <c r="AF21" s="55">
        <v>0</v>
      </c>
      <c r="AG21" s="57">
        <v>0</v>
      </c>
      <c r="AH21" s="55">
        <v>0</v>
      </c>
      <c r="AI21" s="57">
        <v>0</v>
      </c>
      <c r="AJ21" s="55">
        <v>0</v>
      </c>
      <c r="AK21" s="57">
        <v>0</v>
      </c>
      <c r="AL21" s="55">
        <v>0</v>
      </c>
      <c r="AM21" s="54">
        <v>0</v>
      </c>
      <c r="AN21" s="58">
        <v>0</v>
      </c>
      <c r="AO21" s="59">
        <f t="shared" si="0"/>
        <v>0</v>
      </c>
      <c r="AP21" s="60">
        <f t="shared" si="1"/>
        <v>0</v>
      </c>
      <c r="AQ21" s="60">
        <f t="shared" si="2"/>
        <v>0</v>
      </c>
      <c r="AR21" s="61">
        <f t="shared" si="3"/>
        <v>0</v>
      </c>
      <c r="AS21" s="62">
        <f t="shared" si="4"/>
        <v>0</v>
      </c>
      <c r="AT21" s="63">
        <f t="shared" si="5"/>
        <v>0</v>
      </c>
      <c r="AU21" s="63">
        <f t="shared" si="6"/>
        <v>0</v>
      </c>
      <c r="AV21" s="63">
        <f t="shared" si="7"/>
        <v>0</v>
      </c>
      <c r="AW21" s="63">
        <f t="shared" si="8"/>
        <v>0</v>
      </c>
      <c r="AX21" s="63">
        <f t="shared" si="9"/>
        <v>0</v>
      </c>
      <c r="AY21" s="59">
        <f t="shared" si="10"/>
        <v>0</v>
      </c>
      <c r="AZ21" s="64">
        <f t="shared" si="11"/>
        <v>0</v>
      </c>
      <c r="BA21" s="61">
        <f t="shared" si="12"/>
        <v>0</v>
      </c>
      <c r="BB21" s="62">
        <f t="shared" si="14"/>
        <v>0</v>
      </c>
      <c r="BC21" s="65">
        <f t="shared" si="15"/>
        <v>0</v>
      </c>
      <c r="BD21" s="65">
        <f t="shared" si="16"/>
        <v>0</v>
      </c>
      <c r="BE21" s="65">
        <f t="shared" si="17"/>
        <v>0</v>
      </c>
      <c r="BF21" s="65">
        <f t="shared" si="18"/>
        <v>0</v>
      </c>
      <c r="BG21" s="65">
        <f t="shared" si="19"/>
        <v>0</v>
      </c>
      <c r="BH21" s="65">
        <f t="shared" si="20"/>
        <v>0</v>
      </c>
      <c r="BI21" s="65">
        <f t="shared" si="21"/>
        <v>0</v>
      </c>
      <c r="BJ21" s="65">
        <f t="shared" si="22"/>
        <v>0</v>
      </c>
      <c r="BK21" s="65">
        <f t="shared" si="23"/>
        <v>0</v>
      </c>
      <c r="BL21" s="21">
        <f t="shared" si="13"/>
        <v>0</v>
      </c>
      <c r="BM21" s="106">
        <v>0</v>
      </c>
    </row>
    <row r="22" spans="1:65" x14ac:dyDescent="0.25">
      <c r="A22" s="54">
        <v>0</v>
      </c>
      <c r="B22" s="55">
        <v>0</v>
      </c>
      <c r="C22" s="54">
        <v>0</v>
      </c>
      <c r="D22" s="55">
        <v>0</v>
      </c>
      <c r="E22" s="54">
        <v>0</v>
      </c>
      <c r="F22" s="55">
        <v>0</v>
      </c>
      <c r="G22" s="54">
        <v>0</v>
      </c>
      <c r="H22" s="55">
        <v>0</v>
      </c>
      <c r="I22" s="54">
        <v>0</v>
      </c>
      <c r="J22" s="55">
        <v>0</v>
      </c>
      <c r="K22" s="54">
        <v>0</v>
      </c>
      <c r="L22" s="55">
        <v>0</v>
      </c>
      <c r="M22" s="54">
        <v>0</v>
      </c>
      <c r="N22" s="55">
        <v>0</v>
      </c>
      <c r="O22" s="54">
        <v>0</v>
      </c>
      <c r="P22" s="55">
        <v>0</v>
      </c>
      <c r="Q22" s="54">
        <v>0</v>
      </c>
      <c r="R22" s="55">
        <v>0</v>
      </c>
      <c r="S22" s="54">
        <v>0</v>
      </c>
      <c r="T22" s="55">
        <v>0</v>
      </c>
      <c r="U22" s="56">
        <v>0</v>
      </c>
      <c r="V22" s="55">
        <v>0</v>
      </c>
      <c r="W22" s="54">
        <v>0</v>
      </c>
      <c r="X22" s="55">
        <v>0</v>
      </c>
      <c r="Y22" s="54">
        <v>0</v>
      </c>
      <c r="Z22" s="55">
        <v>0</v>
      </c>
      <c r="AA22" s="54">
        <v>0</v>
      </c>
      <c r="AB22" s="55">
        <v>0</v>
      </c>
      <c r="AC22" s="57">
        <v>0</v>
      </c>
      <c r="AD22" s="55">
        <v>0</v>
      </c>
      <c r="AE22" s="57">
        <v>0</v>
      </c>
      <c r="AF22" s="55">
        <v>0</v>
      </c>
      <c r="AG22" s="57">
        <v>0</v>
      </c>
      <c r="AH22" s="55">
        <v>0</v>
      </c>
      <c r="AI22" s="57">
        <v>0</v>
      </c>
      <c r="AJ22" s="55">
        <v>0</v>
      </c>
      <c r="AK22" s="57">
        <v>0</v>
      </c>
      <c r="AL22" s="55">
        <v>0</v>
      </c>
      <c r="AM22" s="54">
        <v>0</v>
      </c>
      <c r="AN22" s="58">
        <v>0</v>
      </c>
      <c r="AO22" s="59">
        <f t="shared" si="0"/>
        <v>0</v>
      </c>
      <c r="AP22" s="60">
        <f t="shared" si="1"/>
        <v>0</v>
      </c>
      <c r="AQ22" s="60">
        <f t="shared" si="2"/>
        <v>0</v>
      </c>
      <c r="AR22" s="61">
        <f t="shared" si="3"/>
        <v>0</v>
      </c>
      <c r="AS22" s="62">
        <f t="shared" si="4"/>
        <v>0</v>
      </c>
      <c r="AT22" s="63">
        <f t="shared" si="5"/>
        <v>0</v>
      </c>
      <c r="AU22" s="63">
        <f t="shared" si="6"/>
        <v>0</v>
      </c>
      <c r="AV22" s="63">
        <f t="shared" si="7"/>
        <v>0</v>
      </c>
      <c r="AW22" s="63">
        <f t="shared" si="8"/>
        <v>0</v>
      </c>
      <c r="AX22" s="63">
        <f t="shared" si="9"/>
        <v>0</v>
      </c>
      <c r="AY22" s="59">
        <f t="shared" si="10"/>
        <v>0</v>
      </c>
      <c r="AZ22" s="64">
        <f t="shared" si="11"/>
        <v>0</v>
      </c>
      <c r="BA22" s="61">
        <f t="shared" si="12"/>
        <v>0</v>
      </c>
      <c r="BB22" s="62">
        <f t="shared" si="14"/>
        <v>0</v>
      </c>
      <c r="BC22" s="65">
        <f t="shared" si="15"/>
        <v>0</v>
      </c>
      <c r="BD22" s="65">
        <f t="shared" si="16"/>
        <v>0</v>
      </c>
      <c r="BE22" s="65">
        <f t="shared" si="17"/>
        <v>0</v>
      </c>
      <c r="BF22" s="65">
        <f t="shared" si="18"/>
        <v>0</v>
      </c>
      <c r="BG22" s="65">
        <f t="shared" si="19"/>
        <v>0</v>
      </c>
      <c r="BH22" s="65">
        <f t="shared" si="20"/>
        <v>0</v>
      </c>
      <c r="BI22" s="65">
        <f t="shared" si="21"/>
        <v>0</v>
      </c>
      <c r="BJ22" s="65">
        <f t="shared" si="22"/>
        <v>0</v>
      </c>
      <c r="BK22" s="65">
        <f t="shared" si="23"/>
        <v>0</v>
      </c>
      <c r="BL22" s="21">
        <f t="shared" si="13"/>
        <v>0</v>
      </c>
      <c r="BM22" s="106">
        <v>0</v>
      </c>
    </row>
    <row r="23" spans="1:65" x14ac:dyDescent="0.25">
      <c r="A23" s="54">
        <v>0</v>
      </c>
      <c r="B23" s="55">
        <v>0</v>
      </c>
      <c r="C23" s="54">
        <v>0</v>
      </c>
      <c r="D23" s="55">
        <v>0</v>
      </c>
      <c r="E23" s="54">
        <v>0</v>
      </c>
      <c r="F23" s="55">
        <v>0</v>
      </c>
      <c r="G23" s="54">
        <v>0</v>
      </c>
      <c r="H23" s="55">
        <v>0</v>
      </c>
      <c r="I23" s="54">
        <v>0</v>
      </c>
      <c r="J23" s="55">
        <v>0</v>
      </c>
      <c r="K23" s="54">
        <v>0</v>
      </c>
      <c r="L23" s="55">
        <v>0</v>
      </c>
      <c r="M23" s="54">
        <v>0</v>
      </c>
      <c r="N23" s="55">
        <v>0</v>
      </c>
      <c r="O23" s="54">
        <v>0</v>
      </c>
      <c r="P23" s="55">
        <v>0</v>
      </c>
      <c r="Q23" s="54">
        <v>0</v>
      </c>
      <c r="R23" s="55">
        <v>0</v>
      </c>
      <c r="S23" s="54">
        <v>0</v>
      </c>
      <c r="T23" s="55">
        <v>0</v>
      </c>
      <c r="U23" s="56">
        <v>0</v>
      </c>
      <c r="V23" s="55">
        <v>0</v>
      </c>
      <c r="W23" s="54">
        <v>0</v>
      </c>
      <c r="X23" s="55">
        <v>0</v>
      </c>
      <c r="Y23" s="54">
        <v>0</v>
      </c>
      <c r="Z23" s="55">
        <v>0</v>
      </c>
      <c r="AA23" s="54">
        <v>0</v>
      </c>
      <c r="AB23" s="55">
        <v>0</v>
      </c>
      <c r="AC23" s="57">
        <v>0</v>
      </c>
      <c r="AD23" s="55">
        <v>0</v>
      </c>
      <c r="AE23" s="57">
        <v>0</v>
      </c>
      <c r="AF23" s="55">
        <v>0</v>
      </c>
      <c r="AG23" s="57">
        <v>0</v>
      </c>
      <c r="AH23" s="55">
        <v>0</v>
      </c>
      <c r="AI23" s="57">
        <v>0</v>
      </c>
      <c r="AJ23" s="55">
        <v>0</v>
      </c>
      <c r="AK23" s="57">
        <v>0</v>
      </c>
      <c r="AL23" s="55">
        <v>0</v>
      </c>
      <c r="AM23" s="54">
        <v>0</v>
      </c>
      <c r="AN23" s="58">
        <v>0</v>
      </c>
      <c r="AO23" s="59">
        <f t="shared" si="0"/>
        <v>0</v>
      </c>
      <c r="AP23" s="60">
        <f t="shared" si="1"/>
        <v>0</v>
      </c>
      <c r="AQ23" s="60">
        <f t="shared" si="2"/>
        <v>0</v>
      </c>
      <c r="AR23" s="61">
        <f t="shared" si="3"/>
        <v>0</v>
      </c>
      <c r="AS23" s="62">
        <f t="shared" si="4"/>
        <v>0</v>
      </c>
      <c r="AT23" s="63">
        <f t="shared" si="5"/>
        <v>0</v>
      </c>
      <c r="AU23" s="63">
        <f t="shared" si="6"/>
        <v>0</v>
      </c>
      <c r="AV23" s="63">
        <f t="shared" si="7"/>
        <v>0</v>
      </c>
      <c r="AW23" s="63">
        <f t="shared" si="8"/>
        <v>0</v>
      </c>
      <c r="AX23" s="63">
        <f t="shared" si="9"/>
        <v>0</v>
      </c>
      <c r="AY23" s="59">
        <f t="shared" si="10"/>
        <v>0</v>
      </c>
      <c r="AZ23" s="64">
        <f t="shared" si="11"/>
        <v>0</v>
      </c>
      <c r="BA23" s="61">
        <f t="shared" si="12"/>
        <v>0</v>
      </c>
      <c r="BB23" s="62">
        <f t="shared" si="14"/>
        <v>0</v>
      </c>
      <c r="BC23" s="65">
        <f t="shared" si="15"/>
        <v>0</v>
      </c>
      <c r="BD23" s="65">
        <f t="shared" si="16"/>
        <v>0</v>
      </c>
      <c r="BE23" s="65">
        <f t="shared" si="17"/>
        <v>0</v>
      </c>
      <c r="BF23" s="65">
        <f t="shared" si="18"/>
        <v>0</v>
      </c>
      <c r="BG23" s="65">
        <f t="shared" si="19"/>
        <v>0</v>
      </c>
      <c r="BH23" s="65">
        <f t="shared" si="20"/>
        <v>0</v>
      </c>
      <c r="BI23" s="65">
        <f t="shared" si="21"/>
        <v>0</v>
      </c>
      <c r="BJ23" s="65">
        <f t="shared" si="22"/>
        <v>0</v>
      </c>
      <c r="BK23" s="65">
        <f t="shared" si="23"/>
        <v>0</v>
      </c>
      <c r="BL23" s="21">
        <f t="shared" si="13"/>
        <v>0</v>
      </c>
      <c r="BM23" s="106">
        <v>0</v>
      </c>
    </row>
    <row r="24" spans="1:65" x14ac:dyDescent="0.25">
      <c r="A24" s="54">
        <v>0</v>
      </c>
      <c r="B24" s="55">
        <v>0</v>
      </c>
      <c r="C24" s="54">
        <v>0</v>
      </c>
      <c r="D24" s="55">
        <v>0</v>
      </c>
      <c r="E24" s="54">
        <v>0</v>
      </c>
      <c r="F24" s="55">
        <v>0</v>
      </c>
      <c r="G24" s="54">
        <v>0</v>
      </c>
      <c r="H24" s="55">
        <v>0</v>
      </c>
      <c r="I24" s="54">
        <v>0</v>
      </c>
      <c r="J24" s="55">
        <v>0</v>
      </c>
      <c r="K24" s="54">
        <v>0</v>
      </c>
      <c r="L24" s="55">
        <v>0</v>
      </c>
      <c r="M24" s="54">
        <v>0</v>
      </c>
      <c r="N24" s="55">
        <v>0</v>
      </c>
      <c r="O24" s="54">
        <v>0</v>
      </c>
      <c r="P24" s="55">
        <v>0</v>
      </c>
      <c r="Q24" s="54">
        <v>0</v>
      </c>
      <c r="R24" s="55">
        <v>0</v>
      </c>
      <c r="S24" s="54">
        <v>0</v>
      </c>
      <c r="T24" s="55">
        <v>0</v>
      </c>
      <c r="U24" s="56">
        <v>0</v>
      </c>
      <c r="V24" s="55">
        <v>0</v>
      </c>
      <c r="W24" s="54">
        <v>0</v>
      </c>
      <c r="X24" s="55">
        <v>0</v>
      </c>
      <c r="Y24" s="54">
        <v>0</v>
      </c>
      <c r="Z24" s="55">
        <v>0</v>
      </c>
      <c r="AA24" s="54">
        <v>0</v>
      </c>
      <c r="AB24" s="55">
        <v>0</v>
      </c>
      <c r="AC24" s="57">
        <v>0</v>
      </c>
      <c r="AD24" s="55">
        <v>0</v>
      </c>
      <c r="AE24" s="57">
        <v>0</v>
      </c>
      <c r="AF24" s="55">
        <v>0</v>
      </c>
      <c r="AG24" s="57">
        <v>0</v>
      </c>
      <c r="AH24" s="55">
        <v>0</v>
      </c>
      <c r="AI24" s="57">
        <v>0</v>
      </c>
      <c r="AJ24" s="55">
        <v>0</v>
      </c>
      <c r="AK24" s="57">
        <v>0</v>
      </c>
      <c r="AL24" s="55">
        <v>0</v>
      </c>
      <c r="AM24" s="54">
        <v>0</v>
      </c>
      <c r="AN24" s="58">
        <v>0</v>
      </c>
      <c r="AO24" s="59">
        <f t="shared" si="0"/>
        <v>0</v>
      </c>
      <c r="AP24" s="60">
        <f t="shared" si="1"/>
        <v>0</v>
      </c>
      <c r="AQ24" s="60">
        <f t="shared" si="2"/>
        <v>0</v>
      </c>
      <c r="AR24" s="61">
        <f t="shared" si="3"/>
        <v>0</v>
      </c>
      <c r="AS24" s="62">
        <f t="shared" si="4"/>
        <v>0</v>
      </c>
      <c r="AT24" s="63">
        <f t="shared" si="5"/>
        <v>0</v>
      </c>
      <c r="AU24" s="63">
        <f t="shared" si="6"/>
        <v>0</v>
      </c>
      <c r="AV24" s="63">
        <f t="shared" si="7"/>
        <v>0</v>
      </c>
      <c r="AW24" s="63">
        <f t="shared" si="8"/>
        <v>0</v>
      </c>
      <c r="AX24" s="63">
        <f t="shared" si="9"/>
        <v>0</v>
      </c>
      <c r="AY24" s="59">
        <f t="shared" si="10"/>
        <v>0</v>
      </c>
      <c r="AZ24" s="64">
        <f t="shared" si="11"/>
        <v>0</v>
      </c>
      <c r="BA24" s="61">
        <f t="shared" si="12"/>
        <v>0</v>
      </c>
      <c r="BB24" s="62">
        <f t="shared" si="14"/>
        <v>0</v>
      </c>
      <c r="BC24" s="65">
        <f t="shared" si="15"/>
        <v>0</v>
      </c>
      <c r="BD24" s="65">
        <f t="shared" si="16"/>
        <v>0</v>
      </c>
      <c r="BE24" s="65">
        <f t="shared" si="17"/>
        <v>0</v>
      </c>
      <c r="BF24" s="65">
        <f t="shared" si="18"/>
        <v>0</v>
      </c>
      <c r="BG24" s="65">
        <f t="shared" si="19"/>
        <v>0</v>
      </c>
      <c r="BH24" s="65">
        <f t="shared" si="20"/>
        <v>0</v>
      </c>
      <c r="BI24" s="65">
        <f t="shared" si="21"/>
        <v>0</v>
      </c>
      <c r="BJ24" s="65">
        <f t="shared" si="22"/>
        <v>0</v>
      </c>
      <c r="BK24" s="65">
        <f t="shared" si="23"/>
        <v>0</v>
      </c>
      <c r="BL24" s="21">
        <f t="shared" si="13"/>
        <v>0</v>
      </c>
      <c r="BM24" s="106">
        <v>0</v>
      </c>
    </row>
    <row r="25" spans="1:65" x14ac:dyDescent="0.25">
      <c r="A25" s="54">
        <v>0</v>
      </c>
      <c r="B25" s="55">
        <v>0</v>
      </c>
      <c r="C25" s="54">
        <v>0</v>
      </c>
      <c r="D25" s="55">
        <v>0</v>
      </c>
      <c r="E25" s="54">
        <v>0</v>
      </c>
      <c r="F25" s="55">
        <v>0</v>
      </c>
      <c r="G25" s="54">
        <v>0</v>
      </c>
      <c r="H25" s="55">
        <v>0</v>
      </c>
      <c r="I25" s="54">
        <v>0</v>
      </c>
      <c r="J25" s="55">
        <v>0</v>
      </c>
      <c r="K25" s="54">
        <v>0</v>
      </c>
      <c r="L25" s="55">
        <v>0</v>
      </c>
      <c r="M25" s="54">
        <v>0</v>
      </c>
      <c r="N25" s="55">
        <v>0</v>
      </c>
      <c r="O25" s="54">
        <v>0</v>
      </c>
      <c r="P25" s="55">
        <v>0</v>
      </c>
      <c r="Q25" s="54">
        <v>0</v>
      </c>
      <c r="R25" s="55">
        <v>0</v>
      </c>
      <c r="S25" s="54">
        <v>0</v>
      </c>
      <c r="T25" s="55">
        <v>0</v>
      </c>
      <c r="U25" s="56">
        <v>0</v>
      </c>
      <c r="V25" s="55">
        <v>0</v>
      </c>
      <c r="W25" s="54">
        <v>0</v>
      </c>
      <c r="X25" s="55">
        <v>0</v>
      </c>
      <c r="Y25" s="54">
        <v>0</v>
      </c>
      <c r="Z25" s="55">
        <v>0</v>
      </c>
      <c r="AA25" s="54">
        <v>0</v>
      </c>
      <c r="AB25" s="55">
        <v>0</v>
      </c>
      <c r="AC25" s="57">
        <v>0</v>
      </c>
      <c r="AD25" s="55">
        <v>0</v>
      </c>
      <c r="AE25" s="57">
        <v>0</v>
      </c>
      <c r="AF25" s="55">
        <v>0</v>
      </c>
      <c r="AG25" s="57">
        <v>0</v>
      </c>
      <c r="AH25" s="55">
        <v>0</v>
      </c>
      <c r="AI25" s="57">
        <v>0</v>
      </c>
      <c r="AJ25" s="55">
        <v>0</v>
      </c>
      <c r="AK25" s="57">
        <v>0</v>
      </c>
      <c r="AL25" s="55">
        <v>0</v>
      </c>
      <c r="AM25" s="54">
        <v>0</v>
      </c>
      <c r="AN25" s="58">
        <v>0</v>
      </c>
      <c r="AO25" s="59">
        <f t="shared" si="0"/>
        <v>0</v>
      </c>
      <c r="AP25" s="60">
        <f t="shared" si="1"/>
        <v>0</v>
      </c>
      <c r="AQ25" s="60">
        <f t="shared" si="2"/>
        <v>0</v>
      </c>
      <c r="AR25" s="61">
        <f t="shared" si="3"/>
        <v>0</v>
      </c>
      <c r="AS25" s="62">
        <f t="shared" si="4"/>
        <v>0</v>
      </c>
      <c r="AT25" s="63">
        <f t="shared" si="5"/>
        <v>0</v>
      </c>
      <c r="AU25" s="63">
        <f t="shared" si="6"/>
        <v>0</v>
      </c>
      <c r="AV25" s="63">
        <f t="shared" si="7"/>
        <v>0</v>
      </c>
      <c r="AW25" s="63">
        <f t="shared" si="8"/>
        <v>0</v>
      </c>
      <c r="AX25" s="63">
        <f t="shared" si="9"/>
        <v>0</v>
      </c>
      <c r="AY25" s="59">
        <f t="shared" si="10"/>
        <v>0</v>
      </c>
      <c r="AZ25" s="64">
        <f t="shared" si="11"/>
        <v>0</v>
      </c>
      <c r="BA25" s="61">
        <f t="shared" si="12"/>
        <v>0</v>
      </c>
      <c r="BB25" s="62">
        <f t="shared" si="14"/>
        <v>0</v>
      </c>
      <c r="BC25" s="65">
        <f t="shared" si="15"/>
        <v>0</v>
      </c>
      <c r="BD25" s="65">
        <f t="shared" si="16"/>
        <v>0</v>
      </c>
      <c r="BE25" s="65">
        <f t="shared" si="17"/>
        <v>0</v>
      </c>
      <c r="BF25" s="65">
        <f t="shared" si="18"/>
        <v>0</v>
      </c>
      <c r="BG25" s="65">
        <f t="shared" si="19"/>
        <v>0</v>
      </c>
      <c r="BH25" s="65">
        <f t="shared" si="20"/>
        <v>0</v>
      </c>
      <c r="BI25" s="65">
        <f t="shared" si="21"/>
        <v>0</v>
      </c>
      <c r="BJ25" s="65">
        <f t="shared" si="22"/>
        <v>0</v>
      </c>
      <c r="BK25" s="65">
        <f t="shared" si="23"/>
        <v>0</v>
      </c>
      <c r="BL25" s="21">
        <f t="shared" si="13"/>
        <v>0</v>
      </c>
      <c r="BM25" s="106">
        <v>0</v>
      </c>
    </row>
    <row r="26" spans="1:65" x14ac:dyDescent="0.25">
      <c r="A26" s="54">
        <v>0</v>
      </c>
      <c r="B26" s="55">
        <v>0</v>
      </c>
      <c r="C26" s="54">
        <v>0</v>
      </c>
      <c r="D26" s="55">
        <v>0</v>
      </c>
      <c r="E26" s="54">
        <v>0</v>
      </c>
      <c r="F26" s="55">
        <v>0</v>
      </c>
      <c r="G26" s="54">
        <v>0</v>
      </c>
      <c r="H26" s="55">
        <v>0</v>
      </c>
      <c r="I26" s="54">
        <v>0</v>
      </c>
      <c r="J26" s="55">
        <v>0</v>
      </c>
      <c r="K26" s="54">
        <v>0</v>
      </c>
      <c r="L26" s="55">
        <v>0</v>
      </c>
      <c r="M26" s="54">
        <v>0</v>
      </c>
      <c r="N26" s="55">
        <v>0</v>
      </c>
      <c r="O26" s="54">
        <v>0</v>
      </c>
      <c r="P26" s="55">
        <v>0</v>
      </c>
      <c r="Q26" s="54">
        <v>0</v>
      </c>
      <c r="R26" s="55">
        <v>0</v>
      </c>
      <c r="S26" s="54">
        <v>0</v>
      </c>
      <c r="T26" s="55">
        <v>0</v>
      </c>
      <c r="U26" s="56">
        <v>0</v>
      </c>
      <c r="V26" s="55">
        <v>0</v>
      </c>
      <c r="W26" s="54">
        <v>0</v>
      </c>
      <c r="X26" s="55">
        <v>0</v>
      </c>
      <c r="Y26" s="54">
        <v>0</v>
      </c>
      <c r="Z26" s="55">
        <v>0</v>
      </c>
      <c r="AA26" s="54">
        <v>0</v>
      </c>
      <c r="AB26" s="55">
        <v>0</v>
      </c>
      <c r="AC26" s="57">
        <v>0</v>
      </c>
      <c r="AD26" s="55">
        <v>0</v>
      </c>
      <c r="AE26" s="57">
        <v>0</v>
      </c>
      <c r="AF26" s="55">
        <v>0</v>
      </c>
      <c r="AG26" s="57">
        <v>0</v>
      </c>
      <c r="AH26" s="55">
        <v>0</v>
      </c>
      <c r="AI26" s="57">
        <v>0</v>
      </c>
      <c r="AJ26" s="55">
        <v>0</v>
      </c>
      <c r="AK26" s="57">
        <v>0</v>
      </c>
      <c r="AL26" s="55">
        <v>0</v>
      </c>
      <c r="AM26" s="54">
        <v>0</v>
      </c>
      <c r="AN26" s="58">
        <v>0</v>
      </c>
      <c r="AO26" s="59">
        <f t="shared" si="0"/>
        <v>0</v>
      </c>
      <c r="AP26" s="60">
        <f t="shared" si="1"/>
        <v>0</v>
      </c>
      <c r="AQ26" s="60">
        <f t="shared" si="2"/>
        <v>0</v>
      </c>
      <c r="AR26" s="61">
        <f t="shared" si="3"/>
        <v>0</v>
      </c>
      <c r="AS26" s="62">
        <f t="shared" si="4"/>
        <v>0</v>
      </c>
      <c r="AT26" s="63">
        <f t="shared" si="5"/>
        <v>0</v>
      </c>
      <c r="AU26" s="63">
        <f t="shared" si="6"/>
        <v>0</v>
      </c>
      <c r="AV26" s="63">
        <f t="shared" si="7"/>
        <v>0</v>
      </c>
      <c r="AW26" s="63">
        <f t="shared" si="8"/>
        <v>0</v>
      </c>
      <c r="AX26" s="63">
        <f t="shared" si="9"/>
        <v>0</v>
      </c>
      <c r="AY26" s="59">
        <f t="shared" si="10"/>
        <v>0</v>
      </c>
      <c r="AZ26" s="64">
        <f t="shared" si="11"/>
        <v>0</v>
      </c>
      <c r="BA26" s="61">
        <f t="shared" si="12"/>
        <v>0</v>
      </c>
      <c r="BB26" s="62">
        <f t="shared" si="14"/>
        <v>0</v>
      </c>
      <c r="BC26" s="65">
        <f t="shared" si="15"/>
        <v>0</v>
      </c>
      <c r="BD26" s="65">
        <f t="shared" si="16"/>
        <v>0</v>
      </c>
      <c r="BE26" s="65">
        <f t="shared" si="17"/>
        <v>0</v>
      </c>
      <c r="BF26" s="65">
        <f t="shared" si="18"/>
        <v>0</v>
      </c>
      <c r="BG26" s="65">
        <f t="shared" si="19"/>
        <v>0</v>
      </c>
      <c r="BH26" s="65">
        <f t="shared" si="20"/>
        <v>0</v>
      </c>
      <c r="BI26" s="65">
        <f t="shared" si="21"/>
        <v>0</v>
      </c>
      <c r="BJ26" s="65">
        <f t="shared" si="22"/>
        <v>0</v>
      </c>
      <c r="BK26" s="65">
        <f t="shared" si="23"/>
        <v>0</v>
      </c>
      <c r="BL26" s="21">
        <f t="shared" si="13"/>
        <v>0</v>
      </c>
      <c r="BM26" s="106">
        <v>0</v>
      </c>
    </row>
    <row r="27" spans="1:65" x14ac:dyDescent="0.25">
      <c r="A27" s="54">
        <v>0</v>
      </c>
      <c r="B27" s="55">
        <v>0</v>
      </c>
      <c r="C27" s="54">
        <v>0</v>
      </c>
      <c r="D27" s="55">
        <v>0</v>
      </c>
      <c r="E27" s="54">
        <v>0</v>
      </c>
      <c r="F27" s="55">
        <v>0</v>
      </c>
      <c r="G27" s="54">
        <v>0</v>
      </c>
      <c r="H27" s="55">
        <v>0</v>
      </c>
      <c r="I27" s="54">
        <v>0</v>
      </c>
      <c r="J27" s="55">
        <v>0</v>
      </c>
      <c r="K27" s="54">
        <v>0</v>
      </c>
      <c r="L27" s="55">
        <v>0</v>
      </c>
      <c r="M27" s="54">
        <v>0</v>
      </c>
      <c r="N27" s="55">
        <v>0</v>
      </c>
      <c r="O27" s="54">
        <v>0</v>
      </c>
      <c r="P27" s="55">
        <v>0</v>
      </c>
      <c r="Q27" s="54">
        <v>0</v>
      </c>
      <c r="R27" s="55">
        <v>0</v>
      </c>
      <c r="S27" s="54">
        <v>0</v>
      </c>
      <c r="T27" s="55">
        <v>0</v>
      </c>
      <c r="U27" s="56">
        <v>0</v>
      </c>
      <c r="V27" s="55">
        <v>0</v>
      </c>
      <c r="W27" s="54">
        <v>0</v>
      </c>
      <c r="X27" s="55">
        <v>0</v>
      </c>
      <c r="Y27" s="54">
        <v>0</v>
      </c>
      <c r="Z27" s="55">
        <v>0</v>
      </c>
      <c r="AA27" s="54">
        <v>0</v>
      </c>
      <c r="AB27" s="55">
        <v>0</v>
      </c>
      <c r="AC27" s="57">
        <v>0</v>
      </c>
      <c r="AD27" s="55">
        <v>0</v>
      </c>
      <c r="AE27" s="57">
        <v>0</v>
      </c>
      <c r="AF27" s="55">
        <v>0</v>
      </c>
      <c r="AG27" s="57">
        <v>0</v>
      </c>
      <c r="AH27" s="55">
        <v>0</v>
      </c>
      <c r="AI27" s="57">
        <v>0</v>
      </c>
      <c r="AJ27" s="55">
        <v>0</v>
      </c>
      <c r="AK27" s="57">
        <v>0</v>
      </c>
      <c r="AL27" s="55">
        <v>0</v>
      </c>
      <c r="AM27" s="54">
        <v>0</v>
      </c>
      <c r="AN27" s="58">
        <v>0</v>
      </c>
      <c r="AO27" s="59">
        <f t="shared" si="0"/>
        <v>0</v>
      </c>
      <c r="AP27" s="60">
        <f t="shared" si="1"/>
        <v>0</v>
      </c>
      <c r="AQ27" s="60">
        <f t="shared" si="2"/>
        <v>0</v>
      </c>
      <c r="AR27" s="61">
        <f t="shared" si="3"/>
        <v>0</v>
      </c>
      <c r="AS27" s="62">
        <f t="shared" si="4"/>
        <v>0</v>
      </c>
      <c r="AT27" s="63">
        <f t="shared" si="5"/>
        <v>0</v>
      </c>
      <c r="AU27" s="63">
        <f t="shared" si="6"/>
        <v>0</v>
      </c>
      <c r="AV27" s="63">
        <f t="shared" si="7"/>
        <v>0</v>
      </c>
      <c r="AW27" s="63">
        <f t="shared" si="8"/>
        <v>0</v>
      </c>
      <c r="AX27" s="63">
        <f t="shared" si="9"/>
        <v>0</v>
      </c>
      <c r="AY27" s="59">
        <f t="shared" si="10"/>
        <v>0</v>
      </c>
      <c r="AZ27" s="64">
        <f t="shared" si="11"/>
        <v>0</v>
      </c>
      <c r="BA27" s="61">
        <f t="shared" si="12"/>
        <v>0</v>
      </c>
      <c r="BB27" s="62">
        <f t="shared" si="14"/>
        <v>0</v>
      </c>
      <c r="BC27" s="65">
        <f t="shared" si="15"/>
        <v>0</v>
      </c>
      <c r="BD27" s="65">
        <f t="shared" si="16"/>
        <v>0</v>
      </c>
      <c r="BE27" s="65">
        <f t="shared" si="17"/>
        <v>0</v>
      </c>
      <c r="BF27" s="65">
        <f t="shared" si="18"/>
        <v>0</v>
      </c>
      <c r="BG27" s="65">
        <f t="shared" si="19"/>
        <v>0</v>
      </c>
      <c r="BH27" s="65">
        <f t="shared" si="20"/>
        <v>0</v>
      </c>
      <c r="BI27" s="65">
        <f t="shared" si="21"/>
        <v>0</v>
      </c>
      <c r="BJ27" s="65">
        <f t="shared" si="22"/>
        <v>0</v>
      </c>
      <c r="BK27" s="65">
        <f t="shared" si="23"/>
        <v>0</v>
      </c>
      <c r="BL27" s="21">
        <f t="shared" si="13"/>
        <v>0</v>
      </c>
      <c r="BM27" s="106">
        <v>0</v>
      </c>
    </row>
    <row r="28" spans="1:65" x14ac:dyDescent="0.25">
      <c r="A28" s="54">
        <v>0</v>
      </c>
      <c r="B28" s="55">
        <v>0</v>
      </c>
      <c r="C28" s="54">
        <v>0</v>
      </c>
      <c r="D28" s="55">
        <v>0</v>
      </c>
      <c r="E28" s="54">
        <v>0</v>
      </c>
      <c r="F28" s="55">
        <v>0</v>
      </c>
      <c r="G28" s="54">
        <v>0</v>
      </c>
      <c r="H28" s="55">
        <v>0</v>
      </c>
      <c r="I28" s="54">
        <v>0</v>
      </c>
      <c r="J28" s="55">
        <v>0</v>
      </c>
      <c r="K28" s="54">
        <v>0</v>
      </c>
      <c r="L28" s="55">
        <v>0</v>
      </c>
      <c r="M28" s="54">
        <v>0</v>
      </c>
      <c r="N28" s="55">
        <v>0</v>
      </c>
      <c r="O28" s="54">
        <v>0</v>
      </c>
      <c r="P28" s="55">
        <v>0</v>
      </c>
      <c r="Q28" s="54">
        <v>0</v>
      </c>
      <c r="R28" s="55">
        <v>0</v>
      </c>
      <c r="S28" s="54">
        <v>0</v>
      </c>
      <c r="T28" s="55">
        <v>0</v>
      </c>
      <c r="U28" s="56">
        <v>0</v>
      </c>
      <c r="V28" s="55">
        <v>0</v>
      </c>
      <c r="W28" s="54">
        <v>0</v>
      </c>
      <c r="X28" s="55">
        <v>0</v>
      </c>
      <c r="Y28" s="54">
        <v>0</v>
      </c>
      <c r="Z28" s="55">
        <v>0</v>
      </c>
      <c r="AA28" s="54">
        <v>0</v>
      </c>
      <c r="AB28" s="55">
        <v>0</v>
      </c>
      <c r="AC28" s="57">
        <v>0</v>
      </c>
      <c r="AD28" s="55">
        <v>0</v>
      </c>
      <c r="AE28" s="57">
        <v>0</v>
      </c>
      <c r="AF28" s="55">
        <v>0</v>
      </c>
      <c r="AG28" s="57">
        <v>0</v>
      </c>
      <c r="AH28" s="55">
        <v>0</v>
      </c>
      <c r="AI28" s="57">
        <v>0</v>
      </c>
      <c r="AJ28" s="55">
        <v>0</v>
      </c>
      <c r="AK28" s="57">
        <v>0</v>
      </c>
      <c r="AL28" s="55">
        <v>0</v>
      </c>
      <c r="AM28" s="54">
        <v>0</v>
      </c>
      <c r="AN28" s="58">
        <v>0</v>
      </c>
      <c r="AO28" s="59">
        <f t="shared" si="0"/>
        <v>0</v>
      </c>
      <c r="AP28" s="60">
        <f t="shared" si="1"/>
        <v>0</v>
      </c>
      <c r="AQ28" s="60">
        <f t="shared" si="2"/>
        <v>0</v>
      </c>
      <c r="AR28" s="61">
        <f t="shared" si="3"/>
        <v>0</v>
      </c>
      <c r="AS28" s="62">
        <f t="shared" si="4"/>
        <v>0</v>
      </c>
      <c r="AT28" s="63">
        <f t="shared" si="5"/>
        <v>0</v>
      </c>
      <c r="AU28" s="63">
        <f t="shared" si="6"/>
        <v>0</v>
      </c>
      <c r="AV28" s="63">
        <f t="shared" si="7"/>
        <v>0</v>
      </c>
      <c r="AW28" s="63">
        <f t="shared" si="8"/>
        <v>0</v>
      </c>
      <c r="AX28" s="63">
        <f t="shared" si="9"/>
        <v>0</v>
      </c>
      <c r="AY28" s="59">
        <f t="shared" si="10"/>
        <v>0</v>
      </c>
      <c r="AZ28" s="64">
        <f t="shared" si="11"/>
        <v>0</v>
      </c>
      <c r="BA28" s="61">
        <f t="shared" si="12"/>
        <v>0</v>
      </c>
      <c r="BB28" s="62">
        <f t="shared" si="14"/>
        <v>0</v>
      </c>
      <c r="BC28" s="65">
        <f t="shared" si="15"/>
        <v>0</v>
      </c>
      <c r="BD28" s="65">
        <f t="shared" si="16"/>
        <v>0</v>
      </c>
      <c r="BE28" s="65">
        <f t="shared" si="17"/>
        <v>0</v>
      </c>
      <c r="BF28" s="65">
        <f t="shared" si="18"/>
        <v>0</v>
      </c>
      <c r="BG28" s="65">
        <f t="shared" si="19"/>
        <v>0</v>
      </c>
      <c r="BH28" s="65">
        <f t="shared" si="20"/>
        <v>0</v>
      </c>
      <c r="BI28" s="65">
        <f t="shared" si="21"/>
        <v>0</v>
      </c>
      <c r="BJ28" s="65">
        <f t="shared" si="22"/>
        <v>0</v>
      </c>
      <c r="BK28" s="65">
        <f t="shared" si="23"/>
        <v>0</v>
      </c>
      <c r="BL28" s="21">
        <f t="shared" si="13"/>
        <v>0</v>
      </c>
      <c r="BM28" s="106">
        <v>0</v>
      </c>
    </row>
    <row r="29" spans="1:65" x14ac:dyDescent="0.25">
      <c r="A29" s="54">
        <v>0</v>
      </c>
      <c r="B29" s="55">
        <v>0</v>
      </c>
      <c r="C29" s="54">
        <v>0</v>
      </c>
      <c r="D29" s="55">
        <v>0</v>
      </c>
      <c r="E29" s="54">
        <v>0</v>
      </c>
      <c r="F29" s="55">
        <v>0</v>
      </c>
      <c r="G29" s="54">
        <v>0</v>
      </c>
      <c r="H29" s="55">
        <v>0</v>
      </c>
      <c r="I29" s="54">
        <v>0</v>
      </c>
      <c r="J29" s="55">
        <v>0</v>
      </c>
      <c r="K29" s="54">
        <v>0</v>
      </c>
      <c r="L29" s="55">
        <v>0</v>
      </c>
      <c r="M29" s="54">
        <v>0</v>
      </c>
      <c r="N29" s="55">
        <v>0</v>
      </c>
      <c r="O29" s="54">
        <v>0</v>
      </c>
      <c r="P29" s="55">
        <v>0</v>
      </c>
      <c r="Q29" s="54">
        <v>0</v>
      </c>
      <c r="R29" s="55">
        <v>0</v>
      </c>
      <c r="S29" s="54">
        <v>0</v>
      </c>
      <c r="T29" s="55">
        <v>0</v>
      </c>
      <c r="U29" s="56">
        <v>0</v>
      </c>
      <c r="V29" s="55">
        <v>0</v>
      </c>
      <c r="W29" s="54">
        <v>0</v>
      </c>
      <c r="X29" s="55">
        <v>0</v>
      </c>
      <c r="Y29" s="54">
        <v>0</v>
      </c>
      <c r="Z29" s="55">
        <v>0</v>
      </c>
      <c r="AA29" s="54">
        <v>0</v>
      </c>
      <c r="AB29" s="55">
        <v>0</v>
      </c>
      <c r="AC29" s="57">
        <v>0</v>
      </c>
      <c r="AD29" s="55">
        <v>0</v>
      </c>
      <c r="AE29" s="57">
        <v>0</v>
      </c>
      <c r="AF29" s="55">
        <v>0</v>
      </c>
      <c r="AG29" s="57">
        <v>0</v>
      </c>
      <c r="AH29" s="55">
        <v>0</v>
      </c>
      <c r="AI29" s="57">
        <v>0</v>
      </c>
      <c r="AJ29" s="55">
        <v>0</v>
      </c>
      <c r="AK29" s="57">
        <v>0</v>
      </c>
      <c r="AL29" s="55">
        <v>0</v>
      </c>
      <c r="AM29" s="54">
        <v>0</v>
      </c>
      <c r="AN29" s="58">
        <v>0</v>
      </c>
      <c r="AO29" s="59">
        <f t="shared" si="0"/>
        <v>0</v>
      </c>
      <c r="AP29" s="60">
        <f t="shared" si="1"/>
        <v>0</v>
      </c>
      <c r="AQ29" s="60">
        <f t="shared" si="2"/>
        <v>0</v>
      </c>
      <c r="AR29" s="61">
        <f t="shared" si="3"/>
        <v>0</v>
      </c>
      <c r="AS29" s="62">
        <f t="shared" si="4"/>
        <v>0</v>
      </c>
      <c r="AT29" s="63">
        <f t="shared" si="5"/>
        <v>0</v>
      </c>
      <c r="AU29" s="63">
        <f t="shared" si="6"/>
        <v>0</v>
      </c>
      <c r="AV29" s="63">
        <f t="shared" si="7"/>
        <v>0</v>
      </c>
      <c r="AW29" s="63">
        <f t="shared" si="8"/>
        <v>0</v>
      </c>
      <c r="AX29" s="63">
        <f t="shared" si="9"/>
        <v>0</v>
      </c>
      <c r="AY29" s="59">
        <f t="shared" si="10"/>
        <v>0</v>
      </c>
      <c r="AZ29" s="64">
        <f t="shared" si="11"/>
        <v>0</v>
      </c>
      <c r="BA29" s="61">
        <f t="shared" si="12"/>
        <v>0</v>
      </c>
      <c r="BB29" s="62">
        <f t="shared" si="14"/>
        <v>0</v>
      </c>
      <c r="BC29" s="65">
        <f t="shared" si="15"/>
        <v>0</v>
      </c>
      <c r="BD29" s="65">
        <f t="shared" si="16"/>
        <v>0</v>
      </c>
      <c r="BE29" s="65">
        <f t="shared" si="17"/>
        <v>0</v>
      </c>
      <c r="BF29" s="65">
        <f t="shared" si="18"/>
        <v>0</v>
      </c>
      <c r="BG29" s="65">
        <f t="shared" si="19"/>
        <v>0</v>
      </c>
      <c r="BH29" s="65">
        <f t="shared" si="20"/>
        <v>0</v>
      </c>
      <c r="BI29" s="65">
        <f t="shared" si="21"/>
        <v>0</v>
      </c>
      <c r="BJ29" s="65">
        <f t="shared" si="22"/>
        <v>0</v>
      </c>
      <c r="BK29" s="65">
        <f t="shared" si="23"/>
        <v>0</v>
      </c>
      <c r="BL29" s="21">
        <f t="shared" si="13"/>
        <v>0</v>
      </c>
      <c r="BM29" s="106">
        <v>0</v>
      </c>
    </row>
    <row r="30" spans="1:65" x14ac:dyDescent="0.25">
      <c r="A30" s="54">
        <v>0</v>
      </c>
      <c r="B30" s="55">
        <v>0</v>
      </c>
      <c r="C30" s="54">
        <v>0</v>
      </c>
      <c r="D30" s="55">
        <v>0</v>
      </c>
      <c r="E30" s="54">
        <v>0</v>
      </c>
      <c r="F30" s="55">
        <v>0</v>
      </c>
      <c r="G30" s="54">
        <v>0</v>
      </c>
      <c r="H30" s="55">
        <v>0</v>
      </c>
      <c r="I30" s="54">
        <v>0</v>
      </c>
      <c r="J30" s="55">
        <v>0</v>
      </c>
      <c r="K30" s="54">
        <v>0</v>
      </c>
      <c r="L30" s="55">
        <v>0</v>
      </c>
      <c r="M30" s="54">
        <v>0</v>
      </c>
      <c r="N30" s="55">
        <v>0</v>
      </c>
      <c r="O30" s="54">
        <v>0</v>
      </c>
      <c r="P30" s="55">
        <v>0</v>
      </c>
      <c r="Q30" s="54">
        <v>0</v>
      </c>
      <c r="R30" s="55">
        <v>0</v>
      </c>
      <c r="S30" s="54">
        <v>0</v>
      </c>
      <c r="T30" s="55">
        <v>0</v>
      </c>
      <c r="U30" s="56">
        <v>0</v>
      </c>
      <c r="V30" s="55">
        <v>0</v>
      </c>
      <c r="W30" s="54">
        <v>0</v>
      </c>
      <c r="X30" s="55">
        <v>0</v>
      </c>
      <c r="Y30" s="54">
        <v>0</v>
      </c>
      <c r="Z30" s="55">
        <v>0</v>
      </c>
      <c r="AA30" s="54">
        <v>0</v>
      </c>
      <c r="AB30" s="55">
        <v>0</v>
      </c>
      <c r="AC30" s="57">
        <v>0</v>
      </c>
      <c r="AD30" s="55">
        <v>0</v>
      </c>
      <c r="AE30" s="57">
        <v>0</v>
      </c>
      <c r="AF30" s="55">
        <v>0</v>
      </c>
      <c r="AG30" s="57">
        <v>0</v>
      </c>
      <c r="AH30" s="55">
        <v>0</v>
      </c>
      <c r="AI30" s="57">
        <v>0</v>
      </c>
      <c r="AJ30" s="55">
        <v>0</v>
      </c>
      <c r="AK30" s="57">
        <v>0</v>
      </c>
      <c r="AL30" s="55">
        <v>0</v>
      </c>
      <c r="AM30" s="54">
        <v>0</v>
      </c>
      <c r="AN30" s="58">
        <v>0</v>
      </c>
      <c r="AO30" s="59">
        <f t="shared" si="0"/>
        <v>0</v>
      </c>
      <c r="AP30" s="60">
        <f t="shared" si="1"/>
        <v>0</v>
      </c>
      <c r="AQ30" s="60">
        <f t="shared" si="2"/>
        <v>0</v>
      </c>
      <c r="AR30" s="61">
        <f t="shared" si="3"/>
        <v>0</v>
      </c>
      <c r="AS30" s="62">
        <f t="shared" si="4"/>
        <v>0</v>
      </c>
      <c r="AT30" s="63">
        <f t="shared" si="5"/>
        <v>0</v>
      </c>
      <c r="AU30" s="63">
        <f t="shared" si="6"/>
        <v>0</v>
      </c>
      <c r="AV30" s="63">
        <f t="shared" si="7"/>
        <v>0</v>
      </c>
      <c r="AW30" s="63">
        <f t="shared" si="8"/>
        <v>0</v>
      </c>
      <c r="AX30" s="63">
        <f t="shared" si="9"/>
        <v>0</v>
      </c>
      <c r="AY30" s="59">
        <f t="shared" si="10"/>
        <v>0</v>
      </c>
      <c r="AZ30" s="64">
        <f t="shared" si="11"/>
        <v>0</v>
      </c>
      <c r="BA30" s="61">
        <f t="shared" si="12"/>
        <v>0</v>
      </c>
      <c r="BB30" s="62">
        <f t="shared" si="14"/>
        <v>0</v>
      </c>
      <c r="BC30" s="65">
        <f t="shared" si="15"/>
        <v>0</v>
      </c>
      <c r="BD30" s="65">
        <f t="shared" si="16"/>
        <v>0</v>
      </c>
      <c r="BE30" s="65">
        <f t="shared" si="17"/>
        <v>0</v>
      </c>
      <c r="BF30" s="65">
        <f t="shared" si="18"/>
        <v>0</v>
      </c>
      <c r="BG30" s="65">
        <f t="shared" si="19"/>
        <v>0</v>
      </c>
      <c r="BH30" s="65">
        <f t="shared" si="20"/>
        <v>0</v>
      </c>
      <c r="BI30" s="65">
        <f t="shared" si="21"/>
        <v>0</v>
      </c>
      <c r="BJ30" s="65">
        <f t="shared" si="22"/>
        <v>0</v>
      </c>
      <c r="BK30" s="65">
        <f t="shared" si="23"/>
        <v>0</v>
      </c>
      <c r="BL30" s="21">
        <f t="shared" si="13"/>
        <v>0</v>
      </c>
      <c r="BM30" s="106">
        <v>0</v>
      </c>
    </row>
    <row r="31" spans="1:65" x14ac:dyDescent="0.25">
      <c r="A31" s="54">
        <v>0</v>
      </c>
      <c r="B31" s="55">
        <v>0</v>
      </c>
      <c r="C31" s="54">
        <v>0</v>
      </c>
      <c r="D31" s="55">
        <v>0</v>
      </c>
      <c r="E31" s="54">
        <v>0</v>
      </c>
      <c r="F31" s="55">
        <v>0</v>
      </c>
      <c r="G31" s="54">
        <v>0</v>
      </c>
      <c r="H31" s="55">
        <v>0</v>
      </c>
      <c r="I31" s="54">
        <v>0</v>
      </c>
      <c r="J31" s="55">
        <v>0</v>
      </c>
      <c r="K31" s="54">
        <v>0</v>
      </c>
      <c r="L31" s="55">
        <v>0</v>
      </c>
      <c r="M31" s="54">
        <v>0</v>
      </c>
      <c r="N31" s="55">
        <v>0</v>
      </c>
      <c r="O31" s="54">
        <v>0</v>
      </c>
      <c r="P31" s="55">
        <v>0</v>
      </c>
      <c r="Q31" s="54">
        <v>0</v>
      </c>
      <c r="R31" s="55">
        <v>0</v>
      </c>
      <c r="S31" s="54">
        <v>0</v>
      </c>
      <c r="T31" s="55">
        <v>0</v>
      </c>
      <c r="U31" s="56">
        <v>0</v>
      </c>
      <c r="V31" s="55">
        <v>0</v>
      </c>
      <c r="W31" s="54">
        <v>0</v>
      </c>
      <c r="X31" s="55">
        <v>0</v>
      </c>
      <c r="Y31" s="54">
        <v>0</v>
      </c>
      <c r="Z31" s="55">
        <v>0</v>
      </c>
      <c r="AA31" s="54">
        <v>0</v>
      </c>
      <c r="AB31" s="55">
        <v>0</v>
      </c>
      <c r="AC31" s="57">
        <v>0</v>
      </c>
      <c r="AD31" s="55">
        <v>0</v>
      </c>
      <c r="AE31" s="57">
        <v>0</v>
      </c>
      <c r="AF31" s="55">
        <v>0</v>
      </c>
      <c r="AG31" s="57">
        <v>0</v>
      </c>
      <c r="AH31" s="55">
        <v>0</v>
      </c>
      <c r="AI31" s="57">
        <v>0</v>
      </c>
      <c r="AJ31" s="55">
        <v>0</v>
      </c>
      <c r="AK31" s="57">
        <v>0</v>
      </c>
      <c r="AL31" s="55">
        <v>0</v>
      </c>
      <c r="AM31" s="54">
        <v>0</v>
      </c>
      <c r="AN31" s="58">
        <v>0</v>
      </c>
      <c r="AO31" s="59">
        <f t="shared" si="0"/>
        <v>0</v>
      </c>
      <c r="AP31" s="60">
        <f t="shared" si="1"/>
        <v>0</v>
      </c>
      <c r="AQ31" s="60">
        <f t="shared" si="2"/>
        <v>0</v>
      </c>
      <c r="AR31" s="61">
        <f t="shared" si="3"/>
        <v>0</v>
      </c>
      <c r="AS31" s="62">
        <f t="shared" si="4"/>
        <v>0</v>
      </c>
      <c r="AT31" s="63">
        <f t="shared" si="5"/>
        <v>0</v>
      </c>
      <c r="AU31" s="63">
        <f t="shared" si="6"/>
        <v>0</v>
      </c>
      <c r="AV31" s="63">
        <f t="shared" si="7"/>
        <v>0</v>
      </c>
      <c r="AW31" s="63">
        <f t="shared" si="8"/>
        <v>0</v>
      </c>
      <c r="AX31" s="63">
        <f t="shared" si="9"/>
        <v>0</v>
      </c>
      <c r="AY31" s="59">
        <f t="shared" si="10"/>
        <v>0</v>
      </c>
      <c r="AZ31" s="64">
        <f t="shared" si="11"/>
        <v>0</v>
      </c>
      <c r="BA31" s="61">
        <f t="shared" si="12"/>
        <v>0</v>
      </c>
      <c r="BB31" s="62">
        <f>ROUNDUP((V31 - U31) * 288, 0) / 288</f>
        <v>0</v>
      </c>
      <c r="BC31" s="65">
        <f t="shared" si="15"/>
        <v>0</v>
      </c>
      <c r="BD31" s="65">
        <f t="shared" si="16"/>
        <v>0</v>
      </c>
      <c r="BE31" s="65">
        <f t="shared" si="17"/>
        <v>0</v>
      </c>
      <c r="BF31" s="65">
        <f t="shared" si="18"/>
        <v>0</v>
      </c>
      <c r="BG31" s="65">
        <f t="shared" si="19"/>
        <v>0</v>
      </c>
      <c r="BH31" s="65">
        <f t="shared" si="20"/>
        <v>0</v>
      </c>
      <c r="BI31" s="65">
        <f t="shared" si="21"/>
        <v>0</v>
      </c>
      <c r="BJ31" s="65">
        <f t="shared" si="22"/>
        <v>0</v>
      </c>
      <c r="BK31" s="65">
        <f t="shared" si="23"/>
        <v>0</v>
      </c>
      <c r="BL31" s="21">
        <f t="shared" si="13"/>
        <v>0</v>
      </c>
      <c r="BM31" s="106">
        <v>0</v>
      </c>
    </row>
    <row r="32" spans="1:65" x14ac:dyDescent="0.25">
      <c r="A32" s="54">
        <v>0</v>
      </c>
      <c r="B32" s="55">
        <v>0</v>
      </c>
      <c r="C32" s="54">
        <v>0</v>
      </c>
      <c r="D32" s="55">
        <v>0</v>
      </c>
      <c r="E32" s="54">
        <v>0</v>
      </c>
      <c r="F32" s="55">
        <v>0</v>
      </c>
      <c r="G32" s="54">
        <v>0</v>
      </c>
      <c r="H32" s="55">
        <v>0</v>
      </c>
      <c r="I32" s="54">
        <v>0</v>
      </c>
      <c r="J32" s="55">
        <v>0</v>
      </c>
      <c r="K32" s="54">
        <v>0</v>
      </c>
      <c r="L32" s="55">
        <v>0</v>
      </c>
      <c r="M32" s="54">
        <v>0</v>
      </c>
      <c r="N32" s="55">
        <v>0</v>
      </c>
      <c r="O32" s="54">
        <v>0</v>
      </c>
      <c r="P32" s="55">
        <v>0</v>
      </c>
      <c r="Q32" s="54">
        <v>0</v>
      </c>
      <c r="R32" s="55">
        <v>0</v>
      </c>
      <c r="S32" s="54">
        <v>0</v>
      </c>
      <c r="T32" s="55">
        <v>0</v>
      </c>
      <c r="U32" s="56">
        <v>0</v>
      </c>
      <c r="V32" s="55">
        <v>0</v>
      </c>
      <c r="W32" s="54">
        <v>0</v>
      </c>
      <c r="X32" s="55">
        <v>0</v>
      </c>
      <c r="Y32" s="54">
        <v>0</v>
      </c>
      <c r="Z32" s="55">
        <v>0</v>
      </c>
      <c r="AA32" s="54">
        <v>0</v>
      </c>
      <c r="AB32" s="55">
        <v>0</v>
      </c>
      <c r="AC32" s="57">
        <v>0</v>
      </c>
      <c r="AD32" s="55">
        <v>0</v>
      </c>
      <c r="AE32" s="57">
        <v>0</v>
      </c>
      <c r="AF32" s="55">
        <v>0</v>
      </c>
      <c r="AG32" s="57">
        <v>0</v>
      </c>
      <c r="AH32" s="55">
        <v>0</v>
      </c>
      <c r="AI32" s="57">
        <v>0</v>
      </c>
      <c r="AJ32" s="55">
        <v>0</v>
      </c>
      <c r="AK32" s="57">
        <v>0</v>
      </c>
      <c r="AL32" s="55">
        <v>0</v>
      </c>
      <c r="AM32" s="54">
        <v>0</v>
      </c>
      <c r="AN32" s="58">
        <v>0</v>
      </c>
      <c r="AO32" s="59">
        <f t="shared" si="0"/>
        <v>0</v>
      </c>
      <c r="AP32" s="60">
        <f t="shared" si="1"/>
        <v>0</v>
      </c>
      <c r="AQ32" s="60">
        <f t="shared" si="2"/>
        <v>0</v>
      </c>
      <c r="AR32" s="61">
        <f t="shared" si="3"/>
        <v>0</v>
      </c>
      <c r="AS32" s="62">
        <f t="shared" si="4"/>
        <v>0</v>
      </c>
      <c r="AT32" s="63">
        <f t="shared" si="5"/>
        <v>0</v>
      </c>
      <c r="AU32" s="63">
        <f t="shared" si="6"/>
        <v>0</v>
      </c>
      <c r="AV32" s="63">
        <f t="shared" si="7"/>
        <v>0</v>
      </c>
      <c r="AW32" s="63">
        <f t="shared" si="8"/>
        <v>0</v>
      </c>
      <c r="AX32" s="63">
        <f t="shared" si="9"/>
        <v>0</v>
      </c>
      <c r="AY32" s="59">
        <f t="shared" si="10"/>
        <v>0</v>
      </c>
      <c r="AZ32" s="64">
        <f t="shared" si="11"/>
        <v>0</v>
      </c>
      <c r="BA32" s="61">
        <f t="shared" si="12"/>
        <v>0</v>
      </c>
      <c r="BB32" s="62">
        <f t="shared" si="14"/>
        <v>0</v>
      </c>
      <c r="BC32" s="65">
        <f t="shared" si="15"/>
        <v>0</v>
      </c>
      <c r="BD32" s="65">
        <f t="shared" si="16"/>
        <v>0</v>
      </c>
      <c r="BE32" s="65">
        <f t="shared" si="17"/>
        <v>0</v>
      </c>
      <c r="BF32" s="65">
        <f t="shared" si="18"/>
        <v>0</v>
      </c>
      <c r="BG32" s="65">
        <f t="shared" si="19"/>
        <v>0</v>
      </c>
      <c r="BH32" s="65">
        <f t="shared" si="20"/>
        <v>0</v>
      </c>
      <c r="BI32" s="65">
        <f t="shared" si="21"/>
        <v>0</v>
      </c>
      <c r="BJ32" s="65">
        <f t="shared" si="22"/>
        <v>0</v>
      </c>
      <c r="BK32" s="65">
        <f t="shared" si="23"/>
        <v>0</v>
      </c>
      <c r="BL32" s="21">
        <f t="shared" si="13"/>
        <v>0</v>
      </c>
      <c r="BM32" s="106">
        <v>0</v>
      </c>
    </row>
    <row r="33" spans="1:65" x14ac:dyDescent="0.25">
      <c r="A33" s="54">
        <v>0</v>
      </c>
      <c r="B33" s="55">
        <v>0</v>
      </c>
      <c r="C33" s="54">
        <v>0</v>
      </c>
      <c r="D33" s="55">
        <v>0</v>
      </c>
      <c r="E33" s="54">
        <v>0</v>
      </c>
      <c r="F33" s="55">
        <v>0</v>
      </c>
      <c r="G33" s="54">
        <v>0</v>
      </c>
      <c r="H33" s="55">
        <v>0</v>
      </c>
      <c r="I33" s="54">
        <v>0</v>
      </c>
      <c r="J33" s="55">
        <v>0</v>
      </c>
      <c r="K33" s="54">
        <v>0</v>
      </c>
      <c r="L33" s="55">
        <v>0</v>
      </c>
      <c r="M33" s="54">
        <v>0</v>
      </c>
      <c r="N33" s="55">
        <v>0</v>
      </c>
      <c r="O33" s="54">
        <v>0</v>
      </c>
      <c r="P33" s="55">
        <v>0</v>
      </c>
      <c r="Q33" s="54">
        <v>0</v>
      </c>
      <c r="R33" s="55">
        <v>0</v>
      </c>
      <c r="S33" s="54">
        <v>0</v>
      </c>
      <c r="T33" s="55">
        <v>0</v>
      </c>
      <c r="U33" s="56">
        <v>0</v>
      </c>
      <c r="V33" s="55">
        <v>0</v>
      </c>
      <c r="W33" s="54">
        <v>0</v>
      </c>
      <c r="X33" s="55">
        <v>0</v>
      </c>
      <c r="Y33" s="54">
        <v>0</v>
      </c>
      <c r="Z33" s="55">
        <v>0</v>
      </c>
      <c r="AA33" s="54">
        <v>0</v>
      </c>
      <c r="AB33" s="55">
        <v>0</v>
      </c>
      <c r="AC33" s="57">
        <v>0</v>
      </c>
      <c r="AD33" s="55">
        <v>0</v>
      </c>
      <c r="AE33" s="57">
        <v>0</v>
      </c>
      <c r="AF33" s="55">
        <v>0</v>
      </c>
      <c r="AG33" s="57">
        <v>0</v>
      </c>
      <c r="AH33" s="55">
        <v>0</v>
      </c>
      <c r="AI33" s="57">
        <v>0</v>
      </c>
      <c r="AJ33" s="55">
        <v>0</v>
      </c>
      <c r="AK33" s="57">
        <v>0</v>
      </c>
      <c r="AL33" s="55">
        <v>0</v>
      </c>
      <c r="AM33" s="54">
        <v>0</v>
      </c>
      <c r="AN33" s="58">
        <v>0</v>
      </c>
      <c r="AO33" s="59">
        <f t="shared" si="0"/>
        <v>0</v>
      </c>
      <c r="AP33" s="60">
        <f t="shared" si="1"/>
        <v>0</v>
      </c>
      <c r="AQ33" s="60">
        <f t="shared" si="2"/>
        <v>0</v>
      </c>
      <c r="AR33" s="61">
        <f t="shared" si="3"/>
        <v>0</v>
      </c>
      <c r="AS33" s="62">
        <f t="shared" si="4"/>
        <v>0</v>
      </c>
      <c r="AT33" s="63">
        <f t="shared" si="5"/>
        <v>0</v>
      </c>
      <c r="AU33" s="63">
        <f t="shared" si="6"/>
        <v>0</v>
      </c>
      <c r="AV33" s="63">
        <f t="shared" si="7"/>
        <v>0</v>
      </c>
      <c r="AW33" s="63">
        <f t="shared" si="8"/>
        <v>0</v>
      </c>
      <c r="AX33" s="63">
        <f t="shared" si="9"/>
        <v>0</v>
      </c>
      <c r="AY33" s="59">
        <f t="shared" si="10"/>
        <v>0</v>
      </c>
      <c r="AZ33" s="64">
        <f t="shared" si="11"/>
        <v>0</v>
      </c>
      <c r="BA33" s="61">
        <f t="shared" si="12"/>
        <v>0</v>
      </c>
      <c r="BB33" s="62">
        <f t="shared" si="14"/>
        <v>0</v>
      </c>
      <c r="BC33" s="65">
        <f t="shared" si="15"/>
        <v>0</v>
      </c>
      <c r="BD33" s="65">
        <f t="shared" si="16"/>
        <v>0</v>
      </c>
      <c r="BE33" s="65">
        <f t="shared" si="17"/>
        <v>0</v>
      </c>
      <c r="BF33" s="65">
        <f t="shared" si="18"/>
        <v>0</v>
      </c>
      <c r="BG33" s="65">
        <f t="shared" si="19"/>
        <v>0</v>
      </c>
      <c r="BH33" s="65">
        <f t="shared" si="20"/>
        <v>0</v>
      </c>
      <c r="BI33" s="65">
        <f t="shared" si="21"/>
        <v>0</v>
      </c>
      <c r="BJ33" s="65">
        <f t="shared" si="22"/>
        <v>0</v>
      </c>
      <c r="BK33" s="65">
        <f t="shared" si="23"/>
        <v>0</v>
      </c>
      <c r="BL33" s="21">
        <f t="shared" si="13"/>
        <v>0</v>
      </c>
      <c r="BM33" s="106">
        <v>0</v>
      </c>
    </row>
    <row r="34" spans="1:65" x14ac:dyDescent="0.25">
      <c r="A34" s="54">
        <v>0</v>
      </c>
      <c r="B34" s="55">
        <v>0</v>
      </c>
      <c r="C34" s="54">
        <v>0</v>
      </c>
      <c r="D34" s="55">
        <v>0</v>
      </c>
      <c r="E34" s="54">
        <v>0</v>
      </c>
      <c r="F34" s="55">
        <v>0</v>
      </c>
      <c r="G34" s="54">
        <v>0</v>
      </c>
      <c r="H34" s="55">
        <v>0</v>
      </c>
      <c r="I34" s="54">
        <v>0</v>
      </c>
      <c r="J34" s="55">
        <v>0</v>
      </c>
      <c r="K34" s="54">
        <v>0</v>
      </c>
      <c r="L34" s="55">
        <v>0</v>
      </c>
      <c r="M34" s="54">
        <v>0</v>
      </c>
      <c r="N34" s="55">
        <v>0</v>
      </c>
      <c r="O34" s="54">
        <v>0</v>
      </c>
      <c r="P34" s="55">
        <v>0</v>
      </c>
      <c r="Q34" s="54">
        <v>0</v>
      </c>
      <c r="R34" s="55">
        <v>0</v>
      </c>
      <c r="S34" s="54">
        <v>0</v>
      </c>
      <c r="T34" s="55">
        <v>0</v>
      </c>
      <c r="U34" s="56">
        <v>0</v>
      </c>
      <c r="V34" s="55">
        <v>0</v>
      </c>
      <c r="W34" s="54">
        <v>0</v>
      </c>
      <c r="X34" s="55">
        <v>0</v>
      </c>
      <c r="Y34" s="54">
        <v>0</v>
      </c>
      <c r="Z34" s="55">
        <v>0</v>
      </c>
      <c r="AA34" s="54">
        <v>0</v>
      </c>
      <c r="AB34" s="55">
        <v>0</v>
      </c>
      <c r="AC34" s="57">
        <v>0</v>
      </c>
      <c r="AD34" s="55">
        <v>0</v>
      </c>
      <c r="AE34" s="57">
        <v>0</v>
      </c>
      <c r="AF34" s="55">
        <v>0</v>
      </c>
      <c r="AG34" s="57">
        <v>0</v>
      </c>
      <c r="AH34" s="55">
        <v>0</v>
      </c>
      <c r="AI34" s="57">
        <v>0</v>
      </c>
      <c r="AJ34" s="55">
        <v>0</v>
      </c>
      <c r="AK34" s="57">
        <v>0</v>
      </c>
      <c r="AL34" s="55">
        <v>0</v>
      </c>
      <c r="AM34" s="54">
        <v>0</v>
      </c>
      <c r="AN34" s="58">
        <v>0</v>
      </c>
      <c r="AO34" s="59">
        <f t="shared" si="0"/>
        <v>0</v>
      </c>
      <c r="AP34" s="60">
        <f t="shared" si="1"/>
        <v>0</v>
      </c>
      <c r="AQ34" s="60">
        <f t="shared" si="2"/>
        <v>0</v>
      </c>
      <c r="AR34" s="61">
        <f t="shared" si="3"/>
        <v>0</v>
      </c>
      <c r="AS34" s="62">
        <f t="shared" si="4"/>
        <v>0</v>
      </c>
      <c r="AT34" s="63">
        <f t="shared" si="5"/>
        <v>0</v>
      </c>
      <c r="AU34" s="63">
        <f t="shared" si="6"/>
        <v>0</v>
      </c>
      <c r="AV34" s="63">
        <f t="shared" si="7"/>
        <v>0</v>
      </c>
      <c r="AW34" s="63">
        <f t="shared" si="8"/>
        <v>0</v>
      </c>
      <c r="AX34" s="63">
        <f t="shared" si="9"/>
        <v>0</v>
      </c>
      <c r="AY34" s="59">
        <f t="shared" si="10"/>
        <v>0</v>
      </c>
      <c r="AZ34" s="64">
        <f t="shared" si="11"/>
        <v>0</v>
      </c>
      <c r="BA34" s="61">
        <f t="shared" si="12"/>
        <v>0</v>
      </c>
      <c r="BB34" s="62">
        <f t="shared" si="14"/>
        <v>0</v>
      </c>
      <c r="BC34" s="65">
        <f t="shared" si="15"/>
        <v>0</v>
      </c>
      <c r="BD34" s="65">
        <f t="shared" si="16"/>
        <v>0</v>
      </c>
      <c r="BE34" s="65">
        <f t="shared" si="17"/>
        <v>0</v>
      </c>
      <c r="BF34" s="65">
        <f t="shared" si="18"/>
        <v>0</v>
      </c>
      <c r="BG34" s="65">
        <f t="shared" si="19"/>
        <v>0</v>
      </c>
      <c r="BH34" s="65">
        <f t="shared" si="20"/>
        <v>0</v>
      </c>
      <c r="BI34" s="65">
        <f t="shared" si="21"/>
        <v>0</v>
      </c>
      <c r="BJ34" s="65">
        <f t="shared" si="22"/>
        <v>0</v>
      </c>
      <c r="BK34" s="65">
        <f t="shared" si="23"/>
        <v>0</v>
      </c>
      <c r="BL34" s="21">
        <f t="shared" si="13"/>
        <v>0</v>
      </c>
      <c r="BM34" s="106">
        <v>0</v>
      </c>
    </row>
    <row r="35" spans="1:65" x14ac:dyDescent="0.25">
      <c r="A35" s="66">
        <v>0</v>
      </c>
      <c r="B35" s="67">
        <v>0</v>
      </c>
      <c r="C35" s="66">
        <v>0</v>
      </c>
      <c r="D35" s="67">
        <v>0</v>
      </c>
      <c r="E35" s="66">
        <v>0</v>
      </c>
      <c r="F35" s="67">
        <v>0</v>
      </c>
      <c r="G35" s="66">
        <v>0</v>
      </c>
      <c r="H35" s="67">
        <v>0</v>
      </c>
      <c r="I35" s="66">
        <v>0</v>
      </c>
      <c r="J35" s="67">
        <v>0</v>
      </c>
      <c r="K35" s="66">
        <v>0</v>
      </c>
      <c r="L35" s="67">
        <v>0</v>
      </c>
      <c r="M35" s="66">
        <v>0</v>
      </c>
      <c r="N35" s="67">
        <v>0</v>
      </c>
      <c r="O35" s="66">
        <v>0</v>
      </c>
      <c r="P35" s="67">
        <v>0</v>
      </c>
      <c r="Q35" s="66">
        <v>0</v>
      </c>
      <c r="R35" s="67">
        <v>0</v>
      </c>
      <c r="S35" s="66">
        <v>0</v>
      </c>
      <c r="T35" s="67">
        <v>0</v>
      </c>
      <c r="U35" s="68">
        <v>0</v>
      </c>
      <c r="V35" s="67">
        <v>0</v>
      </c>
      <c r="W35" s="66">
        <v>0</v>
      </c>
      <c r="X35" s="67">
        <v>0</v>
      </c>
      <c r="Y35" s="66">
        <v>0</v>
      </c>
      <c r="Z35" s="67">
        <v>0</v>
      </c>
      <c r="AA35" s="66">
        <v>0</v>
      </c>
      <c r="AB35" s="67">
        <v>0</v>
      </c>
      <c r="AC35" s="69">
        <v>0</v>
      </c>
      <c r="AD35" s="67">
        <v>0</v>
      </c>
      <c r="AE35" s="69">
        <v>0</v>
      </c>
      <c r="AF35" s="67">
        <v>0</v>
      </c>
      <c r="AG35" s="69">
        <v>0</v>
      </c>
      <c r="AH35" s="67">
        <v>0</v>
      </c>
      <c r="AI35" s="69">
        <v>0</v>
      </c>
      <c r="AJ35" s="67">
        <v>0</v>
      </c>
      <c r="AK35" s="69">
        <v>0</v>
      </c>
      <c r="AL35" s="67">
        <v>0</v>
      </c>
      <c r="AM35" s="66">
        <v>0</v>
      </c>
      <c r="AN35" s="70">
        <v>0</v>
      </c>
      <c r="AO35" s="71">
        <f t="shared" si="0"/>
        <v>0</v>
      </c>
      <c r="AP35" s="72">
        <f t="shared" si="1"/>
        <v>0</v>
      </c>
      <c r="AQ35" s="72">
        <f t="shared" si="2"/>
        <v>0</v>
      </c>
      <c r="AR35" s="73">
        <f t="shared" si="3"/>
        <v>0</v>
      </c>
      <c r="AS35" s="74">
        <f t="shared" si="4"/>
        <v>0</v>
      </c>
      <c r="AT35" s="75">
        <f t="shared" si="5"/>
        <v>0</v>
      </c>
      <c r="AU35" s="75">
        <f t="shared" si="6"/>
        <v>0</v>
      </c>
      <c r="AV35" s="75">
        <f t="shared" si="7"/>
        <v>0</v>
      </c>
      <c r="AW35" s="75">
        <f t="shared" si="8"/>
        <v>0</v>
      </c>
      <c r="AX35" s="75">
        <f t="shared" si="9"/>
        <v>0</v>
      </c>
      <c r="AY35" s="71">
        <f t="shared" si="10"/>
        <v>0</v>
      </c>
      <c r="AZ35" s="76">
        <f t="shared" si="11"/>
        <v>0</v>
      </c>
      <c r="BA35" s="73">
        <f t="shared" si="12"/>
        <v>0</v>
      </c>
      <c r="BB35" s="62">
        <f t="shared" si="14"/>
        <v>0</v>
      </c>
      <c r="BC35" s="65">
        <f t="shared" si="15"/>
        <v>0</v>
      </c>
      <c r="BD35" s="65">
        <f t="shared" si="16"/>
        <v>0</v>
      </c>
      <c r="BE35" s="65">
        <f t="shared" si="17"/>
        <v>0</v>
      </c>
      <c r="BF35" s="65">
        <f t="shared" si="18"/>
        <v>0</v>
      </c>
      <c r="BG35" s="65">
        <f t="shared" si="19"/>
        <v>0</v>
      </c>
      <c r="BH35" s="65">
        <f t="shared" si="20"/>
        <v>0</v>
      </c>
      <c r="BI35" s="65">
        <f t="shared" si="21"/>
        <v>0</v>
      </c>
      <c r="BJ35" s="65">
        <f t="shared" si="22"/>
        <v>0</v>
      </c>
      <c r="BK35" s="65">
        <f t="shared" si="23"/>
        <v>0</v>
      </c>
      <c r="BL35" s="24">
        <f t="shared" si="13"/>
        <v>0</v>
      </c>
      <c r="BM35" s="106">
        <v>0</v>
      </c>
    </row>
    <row r="36" spans="1:65" x14ac:dyDescent="0.25">
      <c r="A36" s="66">
        <v>0</v>
      </c>
      <c r="B36" s="67">
        <v>0</v>
      </c>
      <c r="C36" s="66">
        <v>0</v>
      </c>
      <c r="D36" s="67">
        <v>0</v>
      </c>
      <c r="E36" s="66">
        <v>0</v>
      </c>
      <c r="F36" s="67">
        <v>0</v>
      </c>
      <c r="G36" s="66">
        <v>0</v>
      </c>
      <c r="H36" s="67">
        <v>0</v>
      </c>
      <c r="I36" s="66">
        <v>0</v>
      </c>
      <c r="J36" s="67">
        <v>0</v>
      </c>
      <c r="K36" s="66">
        <v>0</v>
      </c>
      <c r="L36" s="67">
        <v>0</v>
      </c>
      <c r="M36" s="66">
        <v>0</v>
      </c>
      <c r="N36" s="67">
        <v>0</v>
      </c>
      <c r="O36" s="66">
        <v>0</v>
      </c>
      <c r="P36" s="67">
        <v>0</v>
      </c>
      <c r="Q36" s="66">
        <v>0</v>
      </c>
      <c r="R36" s="67">
        <v>0</v>
      </c>
      <c r="S36" s="66">
        <v>0</v>
      </c>
      <c r="T36" s="67">
        <v>0</v>
      </c>
      <c r="U36" s="68">
        <v>0</v>
      </c>
      <c r="V36" s="67">
        <v>0</v>
      </c>
      <c r="W36" s="66">
        <v>0</v>
      </c>
      <c r="X36" s="67">
        <v>0</v>
      </c>
      <c r="Y36" s="66">
        <v>0</v>
      </c>
      <c r="Z36" s="67">
        <v>0</v>
      </c>
      <c r="AA36" s="66">
        <v>0</v>
      </c>
      <c r="AB36" s="67">
        <v>0</v>
      </c>
      <c r="AC36" s="69">
        <v>0</v>
      </c>
      <c r="AD36" s="67">
        <v>0</v>
      </c>
      <c r="AE36" s="69">
        <v>0</v>
      </c>
      <c r="AF36" s="67">
        <v>0</v>
      </c>
      <c r="AG36" s="69">
        <v>0</v>
      </c>
      <c r="AH36" s="67">
        <v>0</v>
      </c>
      <c r="AI36" s="69">
        <v>0</v>
      </c>
      <c r="AJ36" s="67">
        <v>0</v>
      </c>
      <c r="AK36" s="69">
        <v>0</v>
      </c>
      <c r="AL36" s="67">
        <v>0</v>
      </c>
      <c r="AM36" s="66">
        <v>0</v>
      </c>
      <c r="AN36" s="70">
        <v>0</v>
      </c>
      <c r="AO36" s="71">
        <f t="shared" si="0"/>
        <v>0</v>
      </c>
      <c r="AP36" s="72">
        <f t="shared" si="1"/>
        <v>0</v>
      </c>
      <c r="AQ36" s="72">
        <f t="shared" si="2"/>
        <v>0</v>
      </c>
      <c r="AR36" s="73">
        <f t="shared" si="3"/>
        <v>0</v>
      </c>
      <c r="AS36" s="74">
        <f t="shared" si="4"/>
        <v>0</v>
      </c>
      <c r="AT36" s="75">
        <f t="shared" si="5"/>
        <v>0</v>
      </c>
      <c r="AU36" s="75">
        <f t="shared" si="6"/>
        <v>0</v>
      </c>
      <c r="AV36" s="75">
        <f t="shared" si="7"/>
        <v>0</v>
      </c>
      <c r="AW36" s="75">
        <f t="shared" si="8"/>
        <v>0</v>
      </c>
      <c r="AX36" s="75">
        <f t="shared" si="9"/>
        <v>0</v>
      </c>
      <c r="AY36" s="71">
        <f t="shared" si="10"/>
        <v>0</v>
      </c>
      <c r="AZ36" s="76">
        <f t="shared" si="11"/>
        <v>0</v>
      </c>
      <c r="BA36" s="73">
        <f t="shared" si="12"/>
        <v>0</v>
      </c>
      <c r="BB36" s="62">
        <f t="shared" si="14"/>
        <v>0</v>
      </c>
      <c r="BC36" s="65">
        <f t="shared" si="15"/>
        <v>0</v>
      </c>
      <c r="BD36" s="65">
        <f t="shared" si="16"/>
        <v>0</v>
      </c>
      <c r="BE36" s="65">
        <f t="shared" si="17"/>
        <v>0</v>
      </c>
      <c r="BF36" s="65">
        <f t="shared" si="18"/>
        <v>0</v>
      </c>
      <c r="BG36" s="65">
        <f t="shared" si="19"/>
        <v>0</v>
      </c>
      <c r="BH36" s="65">
        <f t="shared" si="20"/>
        <v>0</v>
      </c>
      <c r="BI36" s="65">
        <f t="shared" si="21"/>
        <v>0</v>
      </c>
      <c r="BJ36" s="65">
        <f t="shared" si="22"/>
        <v>0</v>
      </c>
      <c r="BK36" s="65">
        <f t="shared" si="23"/>
        <v>0</v>
      </c>
      <c r="BL36" s="24">
        <f t="shared" si="13"/>
        <v>0</v>
      </c>
      <c r="BM36" s="106">
        <v>0</v>
      </c>
    </row>
    <row r="37" spans="1:65" x14ac:dyDescent="0.25">
      <c r="A37" s="66">
        <v>0</v>
      </c>
      <c r="B37" s="67">
        <v>0</v>
      </c>
      <c r="C37" s="66">
        <v>0</v>
      </c>
      <c r="D37" s="67">
        <v>0</v>
      </c>
      <c r="E37" s="66">
        <v>0</v>
      </c>
      <c r="F37" s="67">
        <v>0</v>
      </c>
      <c r="G37" s="66">
        <v>0</v>
      </c>
      <c r="H37" s="67">
        <v>0</v>
      </c>
      <c r="I37" s="66">
        <v>0</v>
      </c>
      <c r="J37" s="67">
        <v>0</v>
      </c>
      <c r="K37" s="66">
        <v>0</v>
      </c>
      <c r="L37" s="67">
        <v>0</v>
      </c>
      <c r="M37" s="66">
        <v>0</v>
      </c>
      <c r="N37" s="67">
        <v>0</v>
      </c>
      <c r="O37" s="66">
        <v>0</v>
      </c>
      <c r="P37" s="67">
        <v>0</v>
      </c>
      <c r="Q37" s="66">
        <v>0</v>
      </c>
      <c r="R37" s="67">
        <v>0</v>
      </c>
      <c r="S37" s="66">
        <v>0</v>
      </c>
      <c r="T37" s="67">
        <v>0</v>
      </c>
      <c r="U37" s="68">
        <v>0</v>
      </c>
      <c r="V37" s="67">
        <v>0</v>
      </c>
      <c r="W37" s="66">
        <v>0</v>
      </c>
      <c r="X37" s="67">
        <v>0</v>
      </c>
      <c r="Y37" s="66">
        <v>0</v>
      </c>
      <c r="Z37" s="67">
        <v>0</v>
      </c>
      <c r="AA37" s="66">
        <v>0</v>
      </c>
      <c r="AB37" s="67">
        <v>0</v>
      </c>
      <c r="AC37" s="69">
        <v>0</v>
      </c>
      <c r="AD37" s="67">
        <v>0</v>
      </c>
      <c r="AE37" s="69">
        <v>0</v>
      </c>
      <c r="AF37" s="67">
        <v>0</v>
      </c>
      <c r="AG37" s="69">
        <v>0</v>
      </c>
      <c r="AH37" s="67">
        <v>0</v>
      </c>
      <c r="AI37" s="69">
        <v>0</v>
      </c>
      <c r="AJ37" s="67">
        <v>0</v>
      </c>
      <c r="AK37" s="69">
        <v>0</v>
      </c>
      <c r="AL37" s="67">
        <v>0</v>
      </c>
      <c r="AM37" s="66">
        <v>0</v>
      </c>
      <c r="AN37" s="70">
        <v>0</v>
      </c>
      <c r="AO37" s="71">
        <f t="shared" si="0"/>
        <v>0</v>
      </c>
      <c r="AP37" s="72">
        <f t="shared" si="1"/>
        <v>0</v>
      </c>
      <c r="AQ37" s="72">
        <f t="shared" si="2"/>
        <v>0</v>
      </c>
      <c r="AR37" s="73">
        <f t="shared" si="3"/>
        <v>0</v>
      </c>
      <c r="AS37" s="74">
        <f t="shared" si="4"/>
        <v>0</v>
      </c>
      <c r="AT37" s="75">
        <f t="shared" si="5"/>
        <v>0</v>
      </c>
      <c r="AU37" s="75">
        <f t="shared" si="6"/>
        <v>0</v>
      </c>
      <c r="AV37" s="75">
        <f t="shared" si="7"/>
        <v>0</v>
      </c>
      <c r="AW37" s="75">
        <f t="shared" si="8"/>
        <v>0</v>
      </c>
      <c r="AX37" s="75">
        <f t="shared" si="9"/>
        <v>0</v>
      </c>
      <c r="AY37" s="71">
        <f t="shared" si="10"/>
        <v>0</v>
      </c>
      <c r="AZ37" s="76">
        <f t="shared" si="11"/>
        <v>0</v>
      </c>
      <c r="BA37" s="73">
        <f t="shared" si="12"/>
        <v>0</v>
      </c>
      <c r="BB37" s="62">
        <f t="shared" si="14"/>
        <v>0</v>
      </c>
      <c r="BC37" s="65">
        <f t="shared" si="15"/>
        <v>0</v>
      </c>
      <c r="BD37" s="65">
        <f t="shared" si="16"/>
        <v>0</v>
      </c>
      <c r="BE37" s="65">
        <f t="shared" si="17"/>
        <v>0</v>
      </c>
      <c r="BF37" s="65">
        <f t="shared" si="18"/>
        <v>0</v>
      </c>
      <c r="BG37" s="65">
        <f t="shared" si="19"/>
        <v>0</v>
      </c>
      <c r="BH37" s="65">
        <f t="shared" si="20"/>
        <v>0</v>
      </c>
      <c r="BI37" s="65">
        <f t="shared" si="21"/>
        <v>0</v>
      </c>
      <c r="BJ37" s="65">
        <f t="shared" si="22"/>
        <v>0</v>
      </c>
      <c r="BK37" s="65">
        <f t="shared" si="23"/>
        <v>0</v>
      </c>
      <c r="BL37" s="24">
        <f t="shared" si="13"/>
        <v>0</v>
      </c>
      <c r="BM37" s="106">
        <v>0</v>
      </c>
    </row>
    <row r="38" spans="1:65" x14ac:dyDescent="0.25">
      <c r="A38" s="66">
        <v>0</v>
      </c>
      <c r="B38" s="67">
        <v>0</v>
      </c>
      <c r="C38" s="66">
        <v>0</v>
      </c>
      <c r="D38" s="67">
        <v>0</v>
      </c>
      <c r="E38" s="66">
        <v>0</v>
      </c>
      <c r="F38" s="67">
        <v>0</v>
      </c>
      <c r="G38" s="66">
        <v>0</v>
      </c>
      <c r="H38" s="67">
        <v>0</v>
      </c>
      <c r="I38" s="66">
        <v>0</v>
      </c>
      <c r="J38" s="67">
        <v>0</v>
      </c>
      <c r="K38" s="66">
        <v>0</v>
      </c>
      <c r="L38" s="67">
        <v>0</v>
      </c>
      <c r="M38" s="66">
        <v>0</v>
      </c>
      <c r="N38" s="67">
        <v>0</v>
      </c>
      <c r="O38" s="66">
        <v>0</v>
      </c>
      <c r="P38" s="67">
        <v>0</v>
      </c>
      <c r="Q38" s="66">
        <v>0</v>
      </c>
      <c r="R38" s="67">
        <v>0</v>
      </c>
      <c r="S38" s="66">
        <v>0</v>
      </c>
      <c r="T38" s="67">
        <v>0</v>
      </c>
      <c r="U38" s="68">
        <v>0</v>
      </c>
      <c r="V38" s="67">
        <v>0</v>
      </c>
      <c r="W38" s="66">
        <v>0</v>
      </c>
      <c r="X38" s="67">
        <v>0</v>
      </c>
      <c r="Y38" s="66">
        <v>0</v>
      </c>
      <c r="Z38" s="67">
        <v>0</v>
      </c>
      <c r="AA38" s="66">
        <v>0</v>
      </c>
      <c r="AB38" s="67">
        <v>0</v>
      </c>
      <c r="AC38" s="69">
        <v>0</v>
      </c>
      <c r="AD38" s="67">
        <v>0</v>
      </c>
      <c r="AE38" s="69">
        <v>0</v>
      </c>
      <c r="AF38" s="67">
        <v>0</v>
      </c>
      <c r="AG38" s="69">
        <v>0</v>
      </c>
      <c r="AH38" s="67">
        <v>0</v>
      </c>
      <c r="AI38" s="69">
        <v>0</v>
      </c>
      <c r="AJ38" s="67">
        <v>0</v>
      </c>
      <c r="AK38" s="69">
        <v>0</v>
      </c>
      <c r="AL38" s="67">
        <v>0</v>
      </c>
      <c r="AM38" s="66">
        <v>0</v>
      </c>
      <c r="AN38" s="70">
        <v>0</v>
      </c>
      <c r="AO38" s="71">
        <f t="shared" si="0"/>
        <v>0</v>
      </c>
      <c r="AP38" s="72">
        <f t="shared" si="1"/>
        <v>0</v>
      </c>
      <c r="AQ38" s="72">
        <f t="shared" si="2"/>
        <v>0</v>
      </c>
      <c r="AR38" s="73">
        <f t="shared" si="3"/>
        <v>0</v>
      </c>
      <c r="AS38" s="74">
        <f t="shared" si="4"/>
        <v>0</v>
      </c>
      <c r="AT38" s="75">
        <f t="shared" si="5"/>
        <v>0</v>
      </c>
      <c r="AU38" s="75">
        <f t="shared" si="6"/>
        <v>0</v>
      </c>
      <c r="AV38" s="75">
        <f t="shared" si="7"/>
        <v>0</v>
      </c>
      <c r="AW38" s="75">
        <f t="shared" si="8"/>
        <v>0</v>
      </c>
      <c r="AX38" s="75">
        <f t="shared" si="9"/>
        <v>0</v>
      </c>
      <c r="AY38" s="71">
        <f t="shared" si="10"/>
        <v>0</v>
      </c>
      <c r="AZ38" s="76">
        <f t="shared" si="11"/>
        <v>0</v>
      </c>
      <c r="BA38" s="73">
        <f t="shared" si="12"/>
        <v>0</v>
      </c>
      <c r="BB38" s="62">
        <f t="shared" si="14"/>
        <v>0</v>
      </c>
      <c r="BC38" s="65">
        <f t="shared" si="15"/>
        <v>0</v>
      </c>
      <c r="BD38" s="65">
        <f t="shared" si="16"/>
        <v>0</v>
      </c>
      <c r="BE38" s="65">
        <f t="shared" si="17"/>
        <v>0</v>
      </c>
      <c r="BF38" s="65">
        <f t="shared" si="18"/>
        <v>0</v>
      </c>
      <c r="BG38" s="65">
        <f t="shared" si="19"/>
        <v>0</v>
      </c>
      <c r="BH38" s="65">
        <f t="shared" si="20"/>
        <v>0</v>
      </c>
      <c r="BI38" s="65">
        <f t="shared" si="21"/>
        <v>0</v>
      </c>
      <c r="BJ38" s="65">
        <f t="shared" si="22"/>
        <v>0</v>
      </c>
      <c r="BK38" s="65">
        <f t="shared" si="23"/>
        <v>0</v>
      </c>
      <c r="BL38" s="24">
        <f t="shared" si="13"/>
        <v>0</v>
      </c>
      <c r="BM38" s="106">
        <v>0</v>
      </c>
    </row>
    <row r="39" spans="1:65" x14ac:dyDescent="0.25">
      <c r="A39" s="77">
        <v>0</v>
      </c>
      <c r="B39" s="78">
        <v>0</v>
      </c>
      <c r="C39" s="77">
        <v>0</v>
      </c>
      <c r="D39" s="78">
        <v>0</v>
      </c>
      <c r="E39" s="77">
        <v>0</v>
      </c>
      <c r="F39" s="78">
        <v>0</v>
      </c>
      <c r="G39" s="77">
        <v>0</v>
      </c>
      <c r="H39" s="78">
        <v>0</v>
      </c>
      <c r="I39" s="77">
        <v>0</v>
      </c>
      <c r="J39" s="78">
        <v>0</v>
      </c>
      <c r="K39" s="77">
        <v>0</v>
      </c>
      <c r="L39" s="78">
        <v>0</v>
      </c>
      <c r="M39" s="77">
        <v>0</v>
      </c>
      <c r="N39" s="78">
        <v>0</v>
      </c>
      <c r="O39" s="77">
        <v>0</v>
      </c>
      <c r="P39" s="78">
        <v>0</v>
      </c>
      <c r="Q39" s="77">
        <v>0</v>
      </c>
      <c r="R39" s="78">
        <v>0</v>
      </c>
      <c r="S39" s="77">
        <v>0</v>
      </c>
      <c r="T39" s="78">
        <v>0</v>
      </c>
      <c r="U39" s="79">
        <v>0</v>
      </c>
      <c r="V39" s="78">
        <v>0</v>
      </c>
      <c r="W39" s="77">
        <v>0</v>
      </c>
      <c r="X39" s="78">
        <v>0</v>
      </c>
      <c r="Y39" s="77">
        <v>0</v>
      </c>
      <c r="Z39" s="78">
        <v>0</v>
      </c>
      <c r="AA39" s="77">
        <v>0</v>
      </c>
      <c r="AB39" s="78">
        <v>0</v>
      </c>
      <c r="AC39" s="80">
        <v>0</v>
      </c>
      <c r="AD39" s="78">
        <v>0</v>
      </c>
      <c r="AE39" s="80">
        <v>0</v>
      </c>
      <c r="AF39" s="78">
        <v>0</v>
      </c>
      <c r="AG39" s="80">
        <v>0</v>
      </c>
      <c r="AH39" s="78">
        <v>0</v>
      </c>
      <c r="AI39" s="80">
        <v>0</v>
      </c>
      <c r="AJ39" s="78">
        <v>0</v>
      </c>
      <c r="AK39" s="80">
        <v>0</v>
      </c>
      <c r="AL39" s="78">
        <v>0</v>
      </c>
      <c r="AM39" s="77">
        <v>0</v>
      </c>
      <c r="AN39" s="81">
        <v>0</v>
      </c>
      <c r="AO39" s="82">
        <f t="shared" si="0"/>
        <v>0</v>
      </c>
      <c r="AP39" s="83">
        <f t="shared" si="1"/>
        <v>0</v>
      </c>
      <c r="AQ39" s="83">
        <f t="shared" si="2"/>
        <v>0</v>
      </c>
      <c r="AR39" s="84">
        <f t="shared" si="3"/>
        <v>0</v>
      </c>
      <c r="AS39" s="85">
        <f t="shared" si="4"/>
        <v>0</v>
      </c>
      <c r="AT39" s="86">
        <f t="shared" si="5"/>
        <v>0</v>
      </c>
      <c r="AU39" s="86">
        <f t="shared" si="6"/>
        <v>0</v>
      </c>
      <c r="AV39" s="86">
        <f t="shared" si="7"/>
        <v>0</v>
      </c>
      <c r="AW39" s="86">
        <f t="shared" si="8"/>
        <v>0</v>
      </c>
      <c r="AX39" s="86">
        <f t="shared" si="9"/>
        <v>0</v>
      </c>
      <c r="AY39" s="82">
        <f t="shared" si="10"/>
        <v>0</v>
      </c>
      <c r="AZ39" s="87">
        <f t="shared" si="11"/>
        <v>0</v>
      </c>
      <c r="BA39" s="84">
        <f t="shared" si="12"/>
        <v>0</v>
      </c>
      <c r="BB39" s="85">
        <f t="shared" si="14"/>
        <v>0</v>
      </c>
      <c r="BC39" s="88">
        <f t="shared" si="15"/>
        <v>0</v>
      </c>
      <c r="BD39" s="88">
        <f t="shared" si="16"/>
        <v>0</v>
      </c>
      <c r="BE39" s="88">
        <f t="shared" si="17"/>
        <v>0</v>
      </c>
      <c r="BF39" s="88">
        <f t="shared" si="18"/>
        <v>0</v>
      </c>
      <c r="BG39" s="88">
        <f t="shared" si="19"/>
        <v>0</v>
      </c>
      <c r="BH39" s="88">
        <f t="shared" si="20"/>
        <v>0</v>
      </c>
      <c r="BI39" s="88">
        <f t="shared" si="21"/>
        <v>0</v>
      </c>
      <c r="BJ39" s="88">
        <f t="shared" si="22"/>
        <v>0</v>
      </c>
      <c r="BK39" s="109">
        <f t="shared" si="23"/>
        <v>0</v>
      </c>
      <c r="BL39" s="25">
        <f t="shared" si="13"/>
        <v>0</v>
      </c>
      <c r="BM39" s="106">
        <v>0</v>
      </c>
    </row>
    <row r="40" spans="1:65" x14ac:dyDescent="0.25">
      <c r="A40" s="54"/>
      <c r="B40" s="55"/>
      <c r="C40" s="54"/>
      <c r="D40" s="55"/>
      <c r="E40" s="54"/>
      <c r="F40" s="55"/>
      <c r="G40" s="54"/>
      <c r="H40" s="55"/>
      <c r="I40" s="54"/>
      <c r="J40" s="55"/>
      <c r="K40" s="54"/>
      <c r="L40" s="55"/>
      <c r="M40" s="54"/>
      <c r="N40" s="55"/>
      <c r="O40" s="54"/>
      <c r="P40" s="55"/>
      <c r="Q40" s="54"/>
      <c r="R40" s="55"/>
      <c r="S40" s="54"/>
      <c r="T40" s="55"/>
      <c r="U40" s="56">
        <f>A40</f>
        <v>0</v>
      </c>
      <c r="V40" s="55">
        <f>IF(AND(C40&gt;0,(C40-B40)&lt;$U$43),IF(AND(E40&gt;0,(E40-D40)&lt;$U$43),IF(AND(G40&gt;0,(G40-F40)&lt;$U$43),IF(AND(I40&gt;0,(I40-H40)&lt;$U$43),IF(AND(K40&gt;0,(K40-J40)&lt;$U$43),IF(AND(M40&gt;0,(M40-L40)&lt;$U$43),IF(AND(O40&gt;0,(O40-N40)&lt;$U$43),P40,N40),L40),J40),H40),F40),D40),B40)</f>
        <v>0</v>
      </c>
      <c r="W40" s="54">
        <f>IF(AND(V40&gt;0,V40=B40),C40,IF(V40=D40,E40,IF(V40=F40,G40,IF(V40=H40,I40,IF(V40=J40,K40,IF(V40=L40,M40,IF(V40=N40,O40,IF(V40=P40,Q40,S40))))))))</f>
        <v>0</v>
      </c>
      <c r="X40" s="55">
        <f>IF(W40=C40,IF(AND(E40&gt;0,(E40-D40)&lt;$U$43),F40,D40),IF(W40=E40,IF(AND(G40&gt;0,(G40-F40)&lt;$U$43),H40,F40),IF(W40=G40,IF(AND(I40&gt;0,(I40-H40)&lt;$U$43),J40,H40),IF(W40=I40,IF(AND(K40&gt;0,(K40-J40)&lt;$U$43),L40,J40),IF(W40=K40,IF(AND(M40&gt;0,(M40-L40)&lt;$U$43),N40,L40),IF(W40=M40,IF(AND(O40&gt;0,(O40-N40)&lt;$U$43),O40,N40),P40))))))</f>
        <v>0</v>
      </c>
      <c r="Y40" s="54">
        <f>IF(AND(X40&gt;0,X40=D40),E40,IF(X40=F40,G40,IF(X40=H40,I40,IF(X40=J40,K40,IF(X40=L40,M40,IF(X40=N40,O40,IF(X40=P40,Q40,S40)))))))</f>
        <v>0</v>
      </c>
      <c r="Z40" s="55">
        <f>IF(Y40=E40,IF(AND(G40&gt;0,(G40-F40)&lt;$U$43),H40,F40),IF(Y40=G40,IF(AND(I40&gt;0,(I40-H40)&lt;$U$43),J40,H40),IF(Y40=I40,IF(AND(K40&gt;0,(K40-J40)&lt;$U$43),L40,J40),IF(Y40=K40,IF(AND(M40&gt;0,(M40-L40)&lt;$U$43),N40,L40),IF(Y40=M40,IF(AND(O40&gt;0,(O40-N40)&lt;$U$43),P40,N40),IF(Y40=O40,IF(AND(Q40&gt;0,(Q40-P40)&lt;$U$43),Q40,P40),R40))))))</f>
        <v>0</v>
      </c>
      <c r="AA40" s="54">
        <f>IF(AND(Z40&gt;0,Z40=F40),G40,IF(Z40=H40,I40,IF(Z40=J40,K40,IF(Z40=L40,M40,IF(Z40=N40,O40,IF(Z40=P40,Q40,S40))))))</f>
        <v>0</v>
      </c>
      <c r="AB40" s="55">
        <f>IF(AA40=G40,IF(AND(I40&gt;0,(I40-H40)&lt;$U$43),J40,H40),IF(AA40=I40,IF(AND(K40&gt;0,(K40-J40)&lt;$U$43),L40,J40),IF(AA40=K40,IF(AND(M40&gt;0,(M40-L40)&lt;$U$43),N40,L40),IF(AA40=M40,IF(AND(O40&gt;0,(O40-N40)&lt;$U$43),P40,N40),IF(AA40=O40,IF(AND(Q40&gt;0,(Q40-P40)&lt;$U$43),R40,P40),IF(AA40=Q40,IF(AND(S40&gt;0,(S40-R40)&lt;$U$43),S40,R40),T40))))))</f>
        <v>0</v>
      </c>
      <c r="AC40" s="57">
        <f>IF(AND(AB40&gt;0,AB40=H40),I40,IF(AB40=J40,K40,IF(AB40=L40,M40,IF(AB40=N40,O40,IF(AB40=P40,Q40,S40)))))</f>
        <v>0</v>
      </c>
      <c r="AD40" s="55">
        <f>IF(AC40=I40,IF(AND(K40&gt;0,(K40-J40)&lt;$U$43),L40,J40),IF(AC40=K40,IF(AND(M40&gt;0,(M40-L40)&lt;$U$43),N40,L40),IF(AC40=M40,IF(AND(O40&gt;0,(O40-N40)&lt;$U$43),P40,N40),IF(AC40=O40,IF(AND(Q40&gt;0,(Q40-P40)&lt;$U$43),R40,P40),IF(AC40=Q40,IF(AND(S40&gt;0,(S40-R40)&lt;$U$43),T40,R40))))))</f>
        <v>0</v>
      </c>
      <c r="AE40" s="57">
        <f>IF(AND(AD40&gt;0,AD40=J40),K40,IF(AD40=L40,M40,IF(AD40=N40,O40,IF(AD40=P40,Q40,S40))))</f>
        <v>0</v>
      </c>
      <c r="AF40" s="55">
        <f>IF(AE40=K40,IF(AND(M40&gt;0,(M40-L40)&lt;$U$43),N40,L40),IF(AE40=M40,IF(AND(O40&gt;0,(O40-N40)&lt;$U$43),P40,N40),IF(AE40=O40,IF(AND(Q40&gt;0,(Q40-P40)&lt;$U$43),R40,P40),IF(AE40=Q40,IF(AND(S40&gt;0,(S40-R40)&lt;$U$43),T40,R40)))))</f>
        <v>0</v>
      </c>
      <c r="AG40" s="57">
        <f>IF(AND(AF40&gt;0,AF40=L40),M40,IF(AF40=N40,O40,IF(AF40=P40,Q40,S40)))</f>
        <v>0</v>
      </c>
      <c r="AH40" s="55">
        <f>IF(AG40=M40,IF(AND(O40&gt;0,(O40-N40)&lt;$U$43),P40,N40),IF(AG40=O40,IF(AND(Q40&gt;0,(Q40-P40)&lt;$U$43),R40,P40),IF(AG40=Q40,IF(AND(S40&gt;0,(S40-R40)&lt;$U$43),T40,R40))))</f>
        <v>0</v>
      </c>
      <c r="AI40" s="57">
        <f>IF(AND(AH40&gt;0,AH40=N40),O40,IF(AH40=P40,Q40,S40))</f>
        <v>0</v>
      </c>
      <c r="AJ40" s="55">
        <f>IF(AI40=O40,IF(AND(Q40&gt;0,(Q40-P40)&lt;$U$43),R40,P40),IF(AI40=Q40,IF(AND(S40&gt;0,(S40-R40)&lt;$U$43),T40,R40)))</f>
        <v>0</v>
      </c>
      <c r="AK40" s="57">
        <f>IF(AND(AJ40&gt;0,AJ40=P40),Q40,S40)</f>
        <v>0</v>
      </c>
      <c r="AL40" s="55">
        <f>IF(AK40=Q40,IF(AND(S40&gt;0,(S40-R40)&lt;$U$43),T40,R40))</f>
        <v>0</v>
      </c>
      <c r="AM40" s="54">
        <f>IF(AND(AL40&gt;0,AL40=R40),S40,0)</f>
        <v>0</v>
      </c>
      <c r="AN40" s="58">
        <f>IF(AM40=S40,T40,0)</f>
        <v>0</v>
      </c>
      <c r="AO40" s="59">
        <f t="shared" si="0"/>
        <v>0</v>
      </c>
      <c r="AP40" s="60">
        <f t="shared" si="1"/>
        <v>0</v>
      </c>
      <c r="AQ40" s="60">
        <f t="shared" si="2"/>
        <v>0</v>
      </c>
      <c r="AR40" s="61">
        <f t="shared" si="3"/>
        <v>0</v>
      </c>
      <c r="AS40" s="62">
        <f t="shared" si="4"/>
        <v>0</v>
      </c>
      <c r="AT40" s="63">
        <f t="shared" si="5"/>
        <v>0</v>
      </c>
      <c r="AU40" s="63">
        <f t="shared" si="6"/>
        <v>0</v>
      </c>
      <c r="AV40" s="63">
        <f t="shared" si="7"/>
        <v>0</v>
      </c>
      <c r="AW40" s="63">
        <f t="shared" si="8"/>
        <v>0</v>
      </c>
      <c r="AX40" s="63">
        <f t="shared" si="9"/>
        <v>0</v>
      </c>
      <c r="AY40" s="89">
        <f t="shared" si="10"/>
        <v>0</v>
      </c>
      <c r="AZ40" s="90">
        <f t="shared" si="11"/>
        <v>0</v>
      </c>
      <c r="BA40" s="91">
        <f t="shared" si="12"/>
        <v>0</v>
      </c>
      <c r="BB40" s="49">
        <f t="shared" si="14"/>
        <v>0</v>
      </c>
      <c r="BC40" s="108">
        <f t="shared" si="15"/>
        <v>0</v>
      </c>
      <c r="BD40" s="108">
        <f t="shared" si="16"/>
        <v>0</v>
      </c>
      <c r="BE40" s="108">
        <f t="shared" si="17"/>
        <v>0</v>
      </c>
      <c r="BF40" s="108">
        <f t="shared" si="18"/>
        <v>0</v>
      </c>
      <c r="BG40" s="108">
        <f t="shared" si="19"/>
        <v>0</v>
      </c>
      <c r="BH40" s="108">
        <f t="shared" si="20"/>
        <v>0</v>
      </c>
      <c r="BI40" s="108">
        <f t="shared" si="21"/>
        <v>0</v>
      </c>
      <c r="BJ40" s="108">
        <f t="shared" si="22"/>
        <v>0</v>
      </c>
      <c r="BK40" s="108">
        <f t="shared" si="23"/>
        <v>0</v>
      </c>
      <c r="BL40" s="20">
        <f t="shared" si="13"/>
        <v>0</v>
      </c>
      <c r="BM40" s="106"/>
    </row>
    <row r="41" spans="1:65" x14ac:dyDescent="0.25">
      <c r="A41" s="54"/>
      <c r="B41" s="55"/>
      <c r="C41" s="54"/>
      <c r="D41" s="55"/>
      <c r="E41" s="54"/>
      <c r="F41" s="55"/>
      <c r="G41" s="54"/>
      <c r="H41" s="55"/>
      <c r="I41" s="54"/>
      <c r="J41" s="55"/>
      <c r="K41" s="54"/>
      <c r="L41" s="55"/>
      <c r="M41" s="54"/>
      <c r="N41" s="55"/>
      <c r="O41" s="54"/>
      <c r="P41" s="55"/>
      <c r="Q41" s="54"/>
      <c r="R41" s="55"/>
      <c r="S41" s="54"/>
      <c r="T41" s="55"/>
      <c r="U41" s="56">
        <f>A41</f>
        <v>0</v>
      </c>
      <c r="V41" s="55">
        <f>IF(AND(C41&gt;0,(C41-B41)&lt;$U$43),IF(AND(E41&gt;0,(E41-D41)&lt;$U$43),IF(AND(G41&gt;0,(G41-F41)&lt;$U$43),IF(AND(I41&gt;0,(I41-H41)&lt;$U$43),IF(AND(K41&gt;0,(K41-J41)&lt;$U$43),IF(AND(M41&gt;0,(M41-L41)&lt;$U$43),IF(AND(O41&gt;0,(O41-N41)&lt;$U$43),P41,N41),L41),J41),H41),F41),D41),B41)</f>
        <v>0</v>
      </c>
      <c r="W41" s="54">
        <f>IF(AND(V41&gt;0,V41=B41),C41,IF(V41=D41,E41,IF(V41=F41,G41,IF(V41=H41,I41,IF(V41=J41,K41,IF(V41=L41,M41,IF(V41=N41,O41,IF(V41=P41,Q41,S41))))))))</f>
        <v>0</v>
      </c>
      <c r="X41" s="55">
        <f>IF(W41=C41,IF(AND(E41&gt;0,(E41-D41)&lt;$U$43),F41,D41),IF(W41=E41,IF(AND(G41&gt;0,(G41-F41)&lt;$U$43),H41,F41),IF(W41=G41,IF(AND(I41&gt;0,(I41-H41)&lt;$U$43),J41,H41),IF(W41=I41,IF(AND(K41&gt;0,(K41-J41)&lt;$U$43),L41,J41),IF(W41=K41,IF(AND(M41&gt;0,(M41-L41)&lt;$U$43),N41,L41),IF(W41=M41,IF(AND(O41&gt;0,(O41-N41)&lt;$U$43),O41,N41),P41))))))</f>
        <v>0</v>
      </c>
      <c r="Y41" s="54">
        <f>IF(AND(X41&gt;0,X41=D41),E41,IF(X41=F41,G41,IF(X41=H41,I41,IF(X41=J41,K41,IF(X41=L41,M41,IF(X41=N41,O41,IF(X41=P41,Q41,S41)))))))</f>
        <v>0</v>
      </c>
      <c r="Z41" s="55">
        <f>IF(Y41=E41,IF(AND(G41&gt;0,(G41-F41)&lt;$U$43),H41,F41),IF(Y41=G41,IF(AND(I41&gt;0,(I41-H41)&lt;$U$43),J41,H41),IF(Y41=I41,IF(AND(K41&gt;0,(K41-J41)&lt;$U$43),L41,J41),IF(Y41=K41,IF(AND(M41&gt;0,(M41-L41)&lt;$U$43),N41,L41),IF(Y41=M41,IF(AND(O41&gt;0,(O41-N41)&lt;$U$43),P41,N41),IF(Y41=O41,IF(AND(Q41&gt;0,(Q41-P41)&lt;$U$43),Q41,P41),R41))))))</f>
        <v>0</v>
      </c>
      <c r="AA41" s="54">
        <f>IF(AND(Z41&gt;0,Z41=F41),G41,IF(Z41=H41,I41,IF(Z41=J41,K41,IF(Z41=L41,M41,IF(Z41=N41,O41,IF(Z41=P41,Q41,S41))))))</f>
        <v>0</v>
      </c>
      <c r="AB41" s="55">
        <f>IF(AA41=G41,IF(AND(I41&gt;0,(I41-H41)&lt;$U$43),J41,H41),IF(AA41=I41,IF(AND(K41&gt;0,(K41-J41)&lt;$U$43),L41,J41),IF(AA41=K41,IF(AND(M41&gt;0,(M41-L41)&lt;$U$43),N41,L41),IF(AA41=M41,IF(AND(O41&gt;0,(O41-N41)&lt;$U$43),P41,N41),IF(AA41=O41,IF(AND(Q41&gt;0,(Q41-P41)&lt;$U$43),R41,P41),IF(AA41=Q41,IF(AND(S41&gt;0,(S41-R41)&lt;$U$43),S41,R41),T41))))))</f>
        <v>0</v>
      </c>
      <c r="AC41" s="57">
        <f>IF(AND(AB41&gt;0,AB41=H41),I41,IF(AB41=J41,K41,IF(AB41=L41,M41,IF(AB41=N41,O41,IF(AB41=P41,Q41,S41)))))</f>
        <v>0</v>
      </c>
      <c r="AD41" s="55">
        <f>IF(AC41=I41,IF(AND(K41&gt;0,(K41-J41)&lt;$U$43),L41,J41),IF(AC41=K41,IF(AND(M41&gt;0,(M41-L41)&lt;$U$43),N41,L41),IF(AC41=M41,IF(AND(O41&gt;0,(O41-N41)&lt;$U$43),P41,N41),IF(AC41=O41,IF(AND(Q41&gt;0,(Q41-P41)&lt;$U$43),R41,P41),IF(AC41=Q41,IF(AND(S41&gt;0,(S41-R41)&lt;$U$43),T41,R41))))))</f>
        <v>0</v>
      </c>
      <c r="AE41" s="57">
        <f>IF(AND(AD41&gt;0,AD41=J41),K41,IF(AD41=L41,M41,IF(AD41=N41,O41,IF(AD41=P41,Q41,S41))))</f>
        <v>0</v>
      </c>
      <c r="AF41" s="55">
        <f>IF(AE41=K41,IF(AND(M41&gt;0,(M41-L41)&lt;$U$43),N41,L41),IF(AE41=M41,IF(AND(O41&gt;0,(O41-N41)&lt;$U$43),P41,N41),IF(AE41=O41,IF(AND(Q41&gt;0,(Q41-P41)&lt;$U$43),R41,P41),IF(AE41=Q41,IF(AND(S41&gt;0,(S41-R41)&lt;$U$43),T41,R41)))))</f>
        <v>0</v>
      </c>
      <c r="AG41" s="57">
        <f>IF(AND(AF41&gt;0,AF41=L41),M41,IF(AF41=N41,O41,IF(AF41=P41,Q41,S41)))</f>
        <v>0</v>
      </c>
      <c r="AH41" s="55">
        <f>IF(AG41=M41,IF(AND(O41&gt;0,(O41-N41)&lt;$U$43),P41,N41),IF(AG41=O41,IF(AND(Q41&gt;0,(Q41-P41)&lt;$U$43),R41,P41),IF(AG41=Q41,IF(AND(S41&gt;0,(S41-R41)&lt;$U$43),T41,R41))))</f>
        <v>0</v>
      </c>
      <c r="AI41" s="57">
        <f>IF(AND(AH41&gt;0,AH41=N41),O41,IF(AH41=P41,Q41,S41))</f>
        <v>0</v>
      </c>
      <c r="AJ41" s="55">
        <f>IF(AI41=O41,IF(AND(Q41&gt;0,(Q41-P41)&lt;$U$43),R41,P41),IF(AI41=Q41,IF(AND(S41&gt;0,(S41-R41)&lt;$U$43),T41,R41)))</f>
        <v>0</v>
      </c>
      <c r="AK41" s="57">
        <f>IF(AND(AJ41&gt;0,AJ41=P41),Q41,S41)</f>
        <v>0</v>
      </c>
      <c r="AL41" s="55">
        <f>IF(AK41=Q41,IF(AND(S41&gt;0,(S41-R41)&lt;$U$43),T41,R41))</f>
        <v>0</v>
      </c>
      <c r="AM41" s="54">
        <f>IF(AND(AL41&gt;0,AL41=R41),S41,0)</f>
        <v>0</v>
      </c>
      <c r="AN41" s="58">
        <f>IF(AM41=S41,T41,0)</f>
        <v>0</v>
      </c>
      <c r="AO41" s="59">
        <f t="shared" si="0"/>
        <v>0</v>
      </c>
      <c r="AP41" s="60">
        <f t="shared" si="1"/>
        <v>0</v>
      </c>
      <c r="AQ41" s="60">
        <f t="shared" si="2"/>
        <v>0</v>
      </c>
      <c r="AR41" s="61">
        <f t="shared" si="3"/>
        <v>0</v>
      </c>
      <c r="AS41" s="62">
        <f t="shared" si="4"/>
        <v>0</v>
      </c>
      <c r="AT41" s="63">
        <f t="shared" si="5"/>
        <v>0</v>
      </c>
      <c r="AU41" s="63">
        <f t="shared" si="6"/>
        <v>0</v>
      </c>
      <c r="AV41" s="63">
        <f t="shared" si="7"/>
        <v>0</v>
      </c>
      <c r="AW41" s="63">
        <f t="shared" si="8"/>
        <v>0</v>
      </c>
      <c r="AX41" s="63">
        <f t="shared" si="9"/>
        <v>0</v>
      </c>
      <c r="AY41" s="59">
        <f t="shared" si="10"/>
        <v>0</v>
      </c>
      <c r="AZ41" s="64">
        <f t="shared" si="11"/>
        <v>0</v>
      </c>
      <c r="BA41" s="61">
        <f t="shared" si="12"/>
        <v>0</v>
      </c>
      <c r="BB41" s="62">
        <f t="shared" si="14"/>
        <v>0</v>
      </c>
      <c r="BC41" s="65">
        <f t="shared" si="15"/>
        <v>0</v>
      </c>
      <c r="BD41" s="65">
        <f t="shared" si="16"/>
        <v>0</v>
      </c>
      <c r="BE41" s="65">
        <f t="shared" si="17"/>
        <v>0</v>
      </c>
      <c r="BF41" s="65">
        <f t="shared" si="18"/>
        <v>0</v>
      </c>
      <c r="BG41" s="65">
        <f t="shared" si="19"/>
        <v>0</v>
      </c>
      <c r="BH41" s="65">
        <f t="shared" si="20"/>
        <v>0</v>
      </c>
      <c r="BI41" s="65">
        <f t="shared" si="21"/>
        <v>0</v>
      </c>
      <c r="BJ41" s="65">
        <f t="shared" si="22"/>
        <v>0</v>
      </c>
      <c r="BK41" s="65">
        <f t="shared" si="23"/>
        <v>0</v>
      </c>
      <c r="BL41" s="21">
        <f t="shared" si="13"/>
        <v>0</v>
      </c>
      <c r="BM41" s="106"/>
    </row>
    <row r="42" spans="1:65" ht="15.75" thickBot="1" x14ac:dyDescent="0.3">
      <c r="A42" s="77"/>
      <c r="B42" s="78"/>
      <c r="C42" s="77"/>
      <c r="D42" s="78"/>
      <c r="E42" s="77"/>
      <c r="F42" s="78"/>
      <c r="G42" s="77"/>
      <c r="H42" s="78"/>
      <c r="I42" s="77"/>
      <c r="J42" s="78"/>
      <c r="K42" s="77"/>
      <c r="L42" s="78"/>
      <c r="M42" s="77"/>
      <c r="N42" s="78"/>
      <c r="O42" s="77"/>
      <c r="P42" s="78"/>
      <c r="Q42" s="77"/>
      <c r="R42" s="78"/>
      <c r="S42" s="77"/>
      <c r="T42" s="78"/>
      <c r="U42" s="79">
        <f>A42</f>
        <v>0</v>
      </c>
      <c r="V42" s="78">
        <f>IF(AND(C42&gt;0,(C42-B42)&lt;$U$43),IF(AND(E42&gt;0,(E42-D42)&lt;$U$43),IF(AND(G42&gt;0,(G42-F42)&lt;$U$43),IF(AND(I42&gt;0,(I42-H42)&lt;$U$43),IF(AND(K42&gt;0,(K42-J42)&lt;$U$43),IF(AND(M42&gt;0,(M42-L42)&lt;$U$43),IF(AND(O42&gt;0,(O42-N42)&lt;$U$43),P42,N42),L42),J42),H42),F42),D42),B42)</f>
        <v>0</v>
      </c>
      <c r="W42" s="77">
        <f>IF(AND(V42&gt;0,V42=B42),C42,IF(V42=D42,E42,IF(V42=F42,G42,IF(V42=H42,I42,IF(V42=J42,K42,IF(V42=L42,M42,IF(V42=N42,O42,IF(V42=P42,Q42,S42))))))))</f>
        <v>0</v>
      </c>
      <c r="X42" s="78">
        <f>IF(W42=C42,IF(AND(E42&gt;0,(E42-D42)&lt;$U$43),F42,D42),IF(W42=E42,IF(AND(G42&gt;0,(G42-F42)&lt;$U$43),H42,F42),IF(W42=G42,IF(AND(I42&gt;0,(I42-H42)&lt;$U$43),J42,H42),IF(W42=I42,IF(AND(K42&gt;0,(K42-J42)&lt;$U$43),L42,J42),IF(W42=K42,IF(AND(M42&gt;0,(M42-L42)&lt;$U$43),N42,L42),IF(W42=M42,IF(AND(O42&gt;0,(O42-N42)&lt;$U$43),O42,N42),P42))))))</f>
        <v>0</v>
      </c>
      <c r="Y42" s="77">
        <f>IF(AND(X42&gt;0,X42=D42),E42,IF(X42=F42,G42,IF(X42=H42,I42,IF(X42=J42,K42,IF(X42=L42,M42,IF(X42=N42,O42,IF(X42=P42,Q42,S42)))))))</f>
        <v>0</v>
      </c>
      <c r="Z42" s="78">
        <f>IF(Y42=E42,IF(AND(G42&gt;0,(G42-F42)&lt;$U$43),H42,F42),IF(Y42=G42,IF(AND(I42&gt;0,(I42-H42)&lt;$U$43),J42,H42),IF(Y42=I42,IF(AND(K42&gt;0,(K42-J42)&lt;$U$43),L42,J42),IF(Y42=K42,IF(AND(M42&gt;0,(M42-L42)&lt;$U$43),N42,L42),IF(Y42=M42,IF(AND(O42&gt;0,(O42-N42)&lt;$U$43),P42,N42),IF(Y42=O42,IF(AND(Q42&gt;0,(Q42-P42)&lt;$U$43),Q42,P42),R42))))))</f>
        <v>0</v>
      </c>
      <c r="AA42" s="77">
        <f>IF(AND(Z42&gt;0,Z42=F42),G42,IF(Z42=H42,I42,IF(Z42=J42,K42,IF(Z42=L42,M42,IF(Z42=N42,O42,IF(Z42=P42,Q42,S42))))))</f>
        <v>0</v>
      </c>
      <c r="AB42" s="78">
        <f>IF(AA42=G42,IF(AND(I42&gt;0,(I42-H42)&lt;$U$43),J42,H42),IF(AA42=I42,IF(AND(K42&gt;0,(K42-J42)&lt;$U$43),L42,J42),IF(AA42=K42,IF(AND(M42&gt;0,(M42-L42)&lt;$U$43),N42,L42),IF(AA42=M42,IF(AND(O42&gt;0,(O42-N42)&lt;$U$43),P42,N42),IF(AA42=O42,IF(AND(Q42&gt;0,(Q42-P42)&lt;$U$43),R42,P42),IF(AA42=Q42,IF(AND(S42&gt;0,(S42-R42)&lt;$U$43),S42,R42),T42))))))</f>
        <v>0</v>
      </c>
      <c r="AC42" s="80">
        <f>IF(AND(AB42&gt;0,AB42=H42),I42,IF(AB42=J42,K42,IF(AB42=L42,M42,IF(AB42=N42,O42,IF(AB42=P42,Q42,S42)))))</f>
        <v>0</v>
      </c>
      <c r="AD42" s="78">
        <f>IF(AC42=I42,IF(AND(K42&gt;0,(K42-J42)&lt;$U$43),L42,J42),IF(AC42=K42,IF(AND(M42&gt;0,(M42-L42)&lt;$U$43),N42,L42),IF(AC42=M42,IF(AND(O42&gt;0,(O42-N42)&lt;$U$43),P42,N42),IF(AC42=O42,IF(AND(Q42&gt;0,(Q42-P42)&lt;$U$43),R42,P42),IF(AC42=Q42,IF(AND(S42&gt;0,(S42-R42)&lt;$U$43),T42,R42))))))</f>
        <v>0</v>
      </c>
      <c r="AE42" s="80">
        <f>IF(AND(AD42&gt;0,AD42=J42),K42,IF(AD42=L42,M42,IF(AD42=N42,O42,IF(AD42=P42,Q42,S42))))</f>
        <v>0</v>
      </c>
      <c r="AF42" s="78">
        <f>IF(AE42=K42,IF(AND(M42&gt;0,(M42-L42)&lt;$U$43),N42,L42),IF(AE42=M42,IF(AND(O42&gt;0,(O42-N42)&lt;$U$43),P42,N42),IF(AE42=O42,IF(AND(Q42&gt;0,(Q42-P42)&lt;$U$43),R42,P42),IF(AE42=Q42,IF(AND(S42&gt;0,(S42-R42)&lt;$U$43),T42,R42)))))</f>
        <v>0</v>
      </c>
      <c r="AG42" s="80">
        <f>IF(AND(AF42&gt;0,AF42=L42),M42,IF(AF42=N42,O42,IF(AF42=P42,Q42,S42)))</f>
        <v>0</v>
      </c>
      <c r="AH42" s="78">
        <f>IF(AG42=M42,IF(AND(O42&gt;0,(O42-N42)&lt;$U$43),P42,N42),IF(AG42=O42,IF(AND(Q42&gt;0,(Q42-P42)&lt;$U$43),R42,P42),IF(AG42=Q42,IF(AND(S42&gt;0,(S42-R42)&lt;$U$43),T42,R42))))</f>
        <v>0</v>
      </c>
      <c r="AI42" s="80">
        <f>IF(AND(AH42&gt;0,AH42=N42),O42,IF(AH42=P42,Q42,S42))</f>
        <v>0</v>
      </c>
      <c r="AJ42" s="78">
        <f>IF(AI42=O42,IF(AND(Q42&gt;0,(Q42-P42)&lt;$U$43),R42,P42),IF(AI42=Q42,IF(AND(S42&gt;0,(S42-R42)&lt;$U$43),T42,R42)))</f>
        <v>0</v>
      </c>
      <c r="AK42" s="80">
        <f>IF(AND(AJ42&gt;0,AJ42=P42),Q42,S42)</f>
        <v>0</v>
      </c>
      <c r="AL42" s="78">
        <f>IF(AK42=Q42,IF(AND(S42&gt;0,(S42-R42)&lt;$U$43),T42,R42))</f>
        <v>0</v>
      </c>
      <c r="AM42" s="77">
        <f>IF(AND(AL42&gt;0,AL42=R42),S42,0)</f>
        <v>0</v>
      </c>
      <c r="AN42" s="81">
        <f>IF(AM42=S42,T42,0)</f>
        <v>0</v>
      </c>
      <c r="AO42" s="82">
        <f t="shared" si="0"/>
        <v>0</v>
      </c>
      <c r="AP42" s="83">
        <f t="shared" si="1"/>
        <v>0</v>
      </c>
      <c r="AQ42" s="83">
        <f t="shared" si="2"/>
        <v>0</v>
      </c>
      <c r="AR42" s="84">
        <f t="shared" si="3"/>
        <v>0</v>
      </c>
      <c r="AS42" s="85">
        <f t="shared" si="4"/>
        <v>0</v>
      </c>
      <c r="AT42" s="86">
        <f t="shared" si="5"/>
        <v>0</v>
      </c>
      <c r="AU42" s="86">
        <f t="shared" si="6"/>
        <v>0</v>
      </c>
      <c r="AV42" s="86">
        <f t="shared" si="7"/>
        <v>0</v>
      </c>
      <c r="AW42" s="86">
        <f t="shared" si="8"/>
        <v>0</v>
      </c>
      <c r="AX42" s="86">
        <f t="shared" si="9"/>
        <v>0</v>
      </c>
      <c r="AY42" s="71">
        <f t="shared" si="10"/>
        <v>0</v>
      </c>
      <c r="AZ42" s="76">
        <f t="shared" si="11"/>
        <v>0</v>
      </c>
      <c r="BA42" s="73">
        <f t="shared" si="12"/>
        <v>0</v>
      </c>
      <c r="BB42" s="62">
        <f t="shared" si="14"/>
        <v>0</v>
      </c>
      <c r="BC42" s="65">
        <f t="shared" si="15"/>
        <v>0</v>
      </c>
      <c r="BD42" s="65">
        <f t="shared" si="16"/>
        <v>0</v>
      </c>
      <c r="BE42" s="65">
        <f t="shared" si="17"/>
        <v>0</v>
      </c>
      <c r="BF42" s="65">
        <f t="shared" si="18"/>
        <v>0</v>
      </c>
      <c r="BG42" s="65">
        <f t="shared" si="19"/>
        <v>0</v>
      </c>
      <c r="BH42" s="65">
        <f t="shared" si="20"/>
        <v>0</v>
      </c>
      <c r="BI42" s="65">
        <f t="shared" si="21"/>
        <v>0</v>
      </c>
      <c r="BJ42" s="65">
        <f t="shared" si="22"/>
        <v>0</v>
      </c>
      <c r="BK42" s="65">
        <f t="shared" si="23"/>
        <v>0</v>
      </c>
      <c r="BL42" s="21">
        <f t="shared" si="13"/>
        <v>0</v>
      </c>
      <c r="BM42" s="106"/>
    </row>
    <row r="43" spans="1:65" ht="16.5" thickTop="1" thickBot="1" x14ac:dyDescent="0.3">
      <c r="U43" s="5">
        <v>1.3888888888888888E-2</v>
      </c>
      <c r="AM43" s="92"/>
      <c r="AT43" s="93" t="s">
        <v>33</v>
      </c>
      <c r="AU43" s="93" t="s">
        <v>13</v>
      </c>
      <c r="AV43" s="93" t="s">
        <v>34</v>
      </c>
      <c r="AW43" s="93" t="s">
        <v>35</v>
      </c>
      <c r="AX43" s="93"/>
      <c r="AY43" s="94">
        <f>SUM(AY5:AY42)</f>
        <v>0</v>
      </c>
      <c r="AZ43" s="95">
        <f>SUM(AZ5:AZ42)</f>
        <v>0</v>
      </c>
      <c r="BA43" s="96">
        <f>SUM(BA5:BA42)</f>
        <v>0</v>
      </c>
      <c r="BB43" s="97" t="str">
        <f t="shared" ref="BB43:BL43" si="24">TRUNC(SUM(BB5:BB42)*24,0) &amp; ":" &amp; RIGHT("00"&amp;ROUND(((SUM(BB5:BB42)*24)-TRUNC(SUM(BB5:BB42)*24,0))*60,2),2)</f>
        <v>0:00</v>
      </c>
      <c r="BC43" s="98" t="str">
        <f t="shared" si="24"/>
        <v>0:00</v>
      </c>
      <c r="BD43" s="98" t="str">
        <f t="shared" si="24"/>
        <v>0:00</v>
      </c>
      <c r="BE43" s="98" t="str">
        <f t="shared" si="24"/>
        <v>0:00</v>
      </c>
      <c r="BF43" s="98" t="str">
        <f t="shared" si="24"/>
        <v>0:00</v>
      </c>
      <c r="BG43" s="98" t="str">
        <f t="shared" si="24"/>
        <v>0:00</v>
      </c>
      <c r="BH43" s="98" t="str">
        <f t="shared" si="24"/>
        <v>0:00</v>
      </c>
      <c r="BI43" s="98" t="str">
        <f t="shared" si="24"/>
        <v>0:00</v>
      </c>
      <c r="BJ43" s="98" t="str">
        <f t="shared" si="24"/>
        <v>0:00</v>
      </c>
      <c r="BK43" s="99" t="str">
        <f t="shared" si="24"/>
        <v>0:00</v>
      </c>
      <c r="BL43" s="28" t="str">
        <f t="shared" si="24"/>
        <v>0:00</v>
      </c>
      <c r="BM43" s="107"/>
    </row>
    <row r="45" spans="1:65" x14ac:dyDescent="0.25">
      <c r="C45" s="320"/>
      <c r="D45" s="320"/>
    </row>
  </sheetData>
  <mergeCells count="30">
    <mergeCell ref="C45:D45"/>
    <mergeCell ref="BB3:BL3"/>
    <mergeCell ref="AI3:AJ3"/>
    <mergeCell ref="AK3:AL3"/>
    <mergeCell ref="AM3:AN3"/>
    <mergeCell ref="AO3:AR3"/>
    <mergeCell ref="AS3:AX3"/>
    <mergeCell ref="AY3:BA3"/>
    <mergeCell ref="AG3:AH3"/>
    <mergeCell ref="K3:L3"/>
    <mergeCell ref="M3:N3"/>
    <mergeCell ref="O3:P3"/>
    <mergeCell ref="Q3:R3"/>
    <mergeCell ref="S3:T3"/>
    <mergeCell ref="U3:V3"/>
    <mergeCell ref="W3:X3"/>
    <mergeCell ref="AO2:BA2"/>
    <mergeCell ref="BB2:BL2"/>
    <mergeCell ref="A3:B3"/>
    <mergeCell ref="C3:D3"/>
    <mergeCell ref="E3:F3"/>
    <mergeCell ref="G3:H3"/>
    <mergeCell ref="I3:J3"/>
    <mergeCell ref="Y3:Z3"/>
    <mergeCell ref="AA3:AB3"/>
    <mergeCell ref="AC3:AD3"/>
    <mergeCell ref="AE3:AF3"/>
    <mergeCell ref="A2:G2"/>
    <mergeCell ref="H2:T2"/>
    <mergeCell ref="U2:AN2"/>
  </mergeCell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F41"/>
  <sheetViews>
    <sheetView showZeros="0" workbookViewId="0">
      <selection activeCell="C7" sqref="C7"/>
    </sheetView>
  </sheetViews>
  <sheetFormatPr baseColWidth="10" defaultRowHeight="15" x14ac:dyDescent="0.25"/>
  <cols>
    <col min="2" max="3" width="12.7109375" bestFit="1" customWidth="1"/>
    <col min="4" max="4" width="9.42578125" customWidth="1"/>
    <col min="5" max="5" width="17.85546875" customWidth="1"/>
  </cols>
  <sheetData>
    <row r="1" spans="1:6" ht="15.75" x14ac:dyDescent="0.25">
      <c r="A1" s="341" t="s">
        <v>46</v>
      </c>
      <c r="B1" s="341"/>
      <c r="C1" s="341"/>
    </row>
    <row r="2" spans="1:6" ht="15.75" x14ac:dyDescent="0.25">
      <c r="A2" s="184"/>
      <c r="B2" s="184"/>
      <c r="C2" s="184"/>
    </row>
    <row r="3" spans="1:6" ht="15.75" x14ac:dyDescent="0.25">
      <c r="A3" s="341">
        <f>Inter!I23</f>
        <v>0</v>
      </c>
      <c r="B3" s="341"/>
      <c r="C3" s="341"/>
    </row>
    <row r="4" spans="1:6" ht="15.75" x14ac:dyDescent="0.25">
      <c r="A4" s="184"/>
      <c r="B4" s="184"/>
      <c r="C4" s="184"/>
    </row>
    <row r="5" spans="1:6" ht="15.75" x14ac:dyDescent="0.25">
      <c r="A5" s="184" t="s">
        <v>47</v>
      </c>
      <c r="B5" s="184" t="s">
        <v>2</v>
      </c>
      <c r="C5" s="184" t="s">
        <v>3</v>
      </c>
      <c r="E5" s="184" t="s">
        <v>48</v>
      </c>
      <c r="F5" s="188" t="str">
        <f>Inter!AA97</f>
        <v>0:00</v>
      </c>
    </row>
    <row r="6" spans="1:6" x14ac:dyDescent="0.25">
      <c r="A6" s="185"/>
      <c r="B6" s="185"/>
      <c r="C6" s="185"/>
    </row>
    <row r="7" spans="1:6" x14ac:dyDescent="0.25">
      <c r="A7" s="185" t="str">
        <f>Inter!B27</f>
        <v>Lundi</v>
      </c>
      <c r="B7" s="186">
        <f>Inter!C27</f>
        <v>45740</v>
      </c>
      <c r="C7" s="187">
        <f>Inter!AA27</f>
        <v>0</v>
      </c>
    </row>
    <row r="8" spans="1:6" x14ac:dyDescent="0.25">
      <c r="A8" s="185" t="str">
        <f>Inter!B29</f>
        <v>Mardi</v>
      </c>
      <c r="B8" s="186">
        <f>Inter!C29</f>
        <v>45741</v>
      </c>
      <c r="C8" s="187">
        <f>Inter!AA29</f>
        <v>0</v>
      </c>
    </row>
    <row r="9" spans="1:6" x14ac:dyDescent="0.25">
      <c r="A9" s="185" t="str">
        <f>Inter!B31</f>
        <v>Mercredi</v>
      </c>
      <c r="B9" s="186">
        <f>Inter!C31</f>
        <v>45742</v>
      </c>
      <c r="C9" s="187">
        <f>Inter!AA31</f>
        <v>0</v>
      </c>
    </row>
    <row r="10" spans="1:6" x14ac:dyDescent="0.25">
      <c r="A10" s="185" t="str">
        <f>Inter!B33</f>
        <v>Jeudi</v>
      </c>
      <c r="B10" s="186">
        <f>Inter!C33</f>
        <v>45743</v>
      </c>
      <c r="C10" s="187">
        <f>Inter!AA33</f>
        <v>0</v>
      </c>
    </row>
    <row r="11" spans="1:6" x14ac:dyDescent="0.25">
      <c r="A11" s="185" t="str">
        <f>Inter!B35</f>
        <v>Vendredi</v>
      </c>
      <c r="B11" s="186">
        <f>Inter!C35</f>
        <v>45744</v>
      </c>
      <c r="C11" s="187">
        <f>Inter!AA35</f>
        <v>0</v>
      </c>
    </row>
    <row r="12" spans="1:6" x14ac:dyDescent="0.25">
      <c r="A12" s="185" t="str">
        <f>Inter!B37</f>
        <v>Samedi</v>
      </c>
      <c r="B12" s="186">
        <f>Inter!C37</f>
        <v>45745</v>
      </c>
      <c r="C12" s="187">
        <f>Inter!AA37</f>
        <v>0</v>
      </c>
    </row>
    <row r="13" spans="1:6" x14ac:dyDescent="0.25">
      <c r="A13" s="185" t="str">
        <f>Inter!B39</f>
        <v>Dimanche</v>
      </c>
      <c r="B13" s="186">
        <f>Inter!C39</f>
        <v>45746</v>
      </c>
      <c r="C13" s="187">
        <f>Inter!AA39</f>
        <v>0</v>
      </c>
    </row>
    <row r="14" spans="1:6" x14ac:dyDescent="0.25">
      <c r="A14" s="185" t="str">
        <f>Inter!B41</f>
        <v>Lundi</v>
      </c>
      <c r="B14" s="186">
        <f>Inter!C41</f>
        <v>45747</v>
      </c>
      <c r="C14" s="187">
        <f>Inter!AA41</f>
        <v>0</v>
      </c>
    </row>
    <row r="15" spans="1:6" x14ac:dyDescent="0.25">
      <c r="A15" s="185" t="str">
        <f>Inter!B43</f>
        <v>Mardi</v>
      </c>
      <c r="B15" s="186">
        <f>Inter!C43</f>
        <v>45748</v>
      </c>
      <c r="C15" s="187">
        <f>Inter!AA43</f>
        <v>0</v>
      </c>
    </row>
    <row r="16" spans="1:6" x14ac:dyDescent="0.25">
      <c r="A16" s="185" t="str">
        <f>Inter!B45</f>
        <v>Mercredi</v>
      </c>
      <c r="B16" s="186">
        <f>Inter!C45</f>
        <v>45749</v>
      </c>
      <c r="C16" s="187">
        <f>Inter!AA45</f>
        <v>0</v>
      </c>
    </row>
    <row r="17" spans="1:3" x14ac:dyDescent="0.25">
      <c r="A17" s="185" t="str">
        <f>Inter!B47</f>
        <v>Jeudi</v>
      </c>
      <c r="B17" s="186">
        <f>Inter!C47</f>
        <v>45750</v>
      </c>
      <c r="C17" s="187">
        <f>Inter!AA47</f>
        <v>0</v>
      </c>
    </row>
    <row r="18" spans="1:3" x14ac:dyDescent="0.25">
      <c r="A18" s="185" t="str">
        <f>Inter!B49</f>
        <v>Vendredi</v>
      </c>
      <c r="B18" s="186">
        <f>Inter!C49</f>
        <v>45751</v>
      </c>
      <c r="C18" s="187">
        <f>Inter!AA49</f>
        <v>0</v>
      </c>
    </row>
    <row r="19" spans="1:3" x14ac:dyDescent="0.25">
      <c r="A19" s="185" t="str">
        <f>Inter!B51</f>
        <v>Samedi</v>
      </c>
      <c r="B19" s="186">
        <f>Inter!C51</f>
        <v>45752</v>
      </c>
      <c r="C19" s="187">
        <f>Inter!AA51</f>
        <v>0</v>
      </c>
    </row>
    <row r="20" spans="1:3" x14ac:dyDescent="0.25">
      <c r="A20" s="185" t="str">
        <f>Inter!B53</f>
        <v>Dimanche</v>
      </c>
      <c r="B20" s="186">
        <f>Inter!C53</f>
        <v>45753</v>
      </c>
      <c r="C20" s="187">
        <f>Inter!AA53</f>
        <v>0</v>
      </c>
    </row>
    <row r="21" spans="1:3" x14ac:dyDescent="0.25">
      <c r="A21" s="185" t="str">
        <f>Inter!B55</f>
        <v>Lundi</v>
      </c>
      <c r="B21" s="186">
        <f>Inter!C55</f>
        <v>45754</v>
      </c>
      <c r="C21" s="187">
        <f>Inter!AA55</f>
        <v>0</v>
      </c>
    </row>
    <row r="22" spans="1:3" x14ac:dyDescent="0.25">
      <c r="A22" s="185" t="str">
        <f>Inter!B57</f>
        <v>Mardi</v>
      </c>
      <c r="B22" s="186">
        <f>Inter!C57</f>
        <v>45755</v>
      </c>
      <c r="C22" s="187">
        <f>Inter!AA57</f>
        <v>0</v>
      </c>
    </row>
    <row r="23" spans="1:3" x14ac:dyDescent="0.25">
      <c r="A23" s="185" t="str">
        <f>Inter!B59</f>
        <v>Mercredi</v>
      </c>
      <c r="B23" s="186">
        <f>Inter!C59</f>
        <v>45756</v>
      </c>
      <c r="C23" s="187">
        <f>Inter!AA59</f>
        <v>0</v>
      </c>
    </row>
    <row r="24" spans="1:3" x14ac:dyDescent="0.25">
      <c r="A24" s="185" t="str">
        <f>Inter!B61</f>
        <v>Jeudi</v>
      </c>
      <c r="B24" s="186">
        <f>Inter!C61</f>
        <v>45757</v>
      </c>
      <c r="C24" s="187">
        <f>Inter!AA61</f>
        <v>0</v>
      </c>
    </row>
    <row r="25" spans="1:3" x14ac:dyDescent="0.25">
      <c r="A25" s="185" t="str">
        <f>Inter!B63</f>
        <v>Vendredi</v>
      </c>
      <c r="B25" s="186">
        <f>Inter!C63</f>
        <v>45758</v>
      </c>
      <c r="C25" s="187">
        <f>Inter!AA63</f>
        <v>0</v>
      </c>
    </row>
    <row r="26" spans="1:3" x14ac:dyDescent="0.25">
      <c r="A26" s="185" t="str">
        <f>Inter!B65</f>
        <v>Samedi</v>
      </c>
      <c r="B26" s="186">
        <f>Inter!C65</f>
        <v>45759</v>
      </c>
      <c r="C26" s="187">
        <f>Inter!AA65</f>
        <v>0</v>
      </c>
    </row>
    <row r="27" spans="1:3" x14ac:dyDescent="0.25">
      <c r="A27" s="185" t="str">
        <f>Inter!B67</f>
        <v>Dimanche</v>
      </c>
      <c r="B27" s="186">
        <f>Inter!C67</f>
        <v>45760</v>
      </c>
      <c r="C27" s="187">
        <f>Inter!AA67</f>
        <v>0</v>
      </c>
    </row>
    <row r="28" spans="1:3" x14ac:dyDescent="0.25">
      <c r="A28" s="185" t="str">
        <f>Inter!B69</f>
        <v>Lundi</v>
      </c>
      <c r="B28" s="186">
        <f>Inter!C69</f>
        <v>45761</v>
      </c>
      <c r="C28" s="187">
        <f>Inter!AA69</f>
        <v>0</v>
      </c>
    </row>
    <row r="29" spans="1:3" x14ac:dyDescent="0.25">
      <c r="A29" s="185" t="str">
        <f>Inter!B71</f>
        <v>Mardi</v>
      </c>
      <c r="B29" s="186">
        <f>Inter!C71</f>
        <v>45762</v>
      </c>
      <c r="C29" s="187">
        <f>Inter!AA71</f>
        <v>0</v>
      </c>
    </row>
    <row r="30" spans="1:3" x14ac:dyDescent="0.25">
      <c r="A30" s="185" t="str">
        <f>Inter!B73</f>
        <v>Mercredi</v>
      </c>
      <c r="B30" s="186">
        <f>Inter!C73</f>
        <v>45763</v>
      </c>
      <c r="C30" s="187">
        <f>Inter!AA73</f>
        <v>0</v>
      </c>
    </row>
    <row r="31" spans="1:3" x14ac:dyDescent="0.25">
      <c r="A31" s="185" t="str">
        <f>Inter!B75</f>
        <v>Jeudi</v>
      </c>
      <c r="B31" s="186">
        <f>Inter!C75</f>
        <v>45764</v>
      </c>
      <c r="C31" s="187">
        <f>Inter!AA75</f>
        <v>0</v>
      </c>
    </row>
    <row r="32" spans="1:3" x14ac:dyDescent="0.25">
      <c r="A32" s="185" t="str">
        <f>Inter!B77</f>
        <v>Vendredi</v>
      </c>
      <c r="B32" s="186">
        <f>Inter!C77</f>
        <v>45765</v>
      </c>
      <c r="C32" s="187">
        <f>Inter!AA77</f>
        <v>0</v>
      </c>
    </row>
    <row r="33" spans="1:3" x14ac:dyDescent="0.25">
      <c r="A33" s="185" t="str">
        <f>Inter!B79</f>
        <v>Samedi</v>
      </c>
      <c r="B33" s="186">
        <f>Inter!C79</f>
        <v>45766</v>
      </c>
      <c r="C33" s="187">
        <f>Inter!AA79</f>
        <v>0</v>
      </c>
    </row>
    <row r="34" spans="1:3" x14ac:dyDescent="0.25">
      <c r="A34" s="185" t="str">
        <f>Inter!B81</f>
        <v>Dimanche</v>
      </c>
      <c r="B34" s="186">
        <f>Inter!C81</f>
        <v>45767</v>
      </c>
      <c r="C34" s="187">
        <f>Inter!AA81</f>
        <v>0</v>
      </c>
    </row>
    <row r="35" spans="1:3" x14ac:dyDescent="0.25">
      <c r="A35" s="185">
        <f>Inter!B83</f>
        <v>0</v>
      </c>
      <c r="B35" s="186">
        <f>Inter!C83</f>
        <v>0</v>
      </c>
      <c r="C35" s="187">
        <f>Inter!AA83</f>
        <v>0</v>
      </c>
    </row>
    <row r="36" spans="1:3" x14ac:dyDescent="0.25">
      <c r="A36" s="185">
        <f>Inter!B85</f>
        <v>0</v>
      </c>
      <c r="B36" s="186">
        <f>Inter!C85</f>
        <v>0</v>
      </c>
      <c r="C36" s="187">
        <f>Inter!AA85</f>
        <v>0</v>
      </c>
    </row>
    <row r="37" spans="1:3" x14ac:dyDescent="0.25">
      <c r="A37" s="185">
        <f>Inter!B87</f>
        <v>0</v>
      </c>
      <c r="B37" s="186">
        <f>Inter!C87</f>
        <v>0</v>
      </c>
      <c r="C37" s="187">
        <f>Inter!AA87</f>
        <v>0</v>
      </c>
    </row>
    <row r="38" spans="1:3" x14ac:dyDescent="0.25">
      <c r="A38" s="185">
        <f>Inter!B89</f>
        <v>0</v>
      </c>
      <c r="B38" s="186">
        <f>Inter!C89</f>
        <v>0</v>
      </c>
      <c r="C38" s="187">
        <f>Inter!AA89</f>
        <v>0</v>
      </c>
    </row>
    <row r="39" spans="1:3" x14ac:dyDescent="0.25">
      <c r="A39" s="185">
        <f>Inter!B91</f>
        <v>0</v>
      </c>
      <c r="B39" s="186">
        <f>Inter!C91</f>
        <v>0</v>
      </c>
      <c r="C39" s="187">
        <f>Inter!AA91</f>
        <v>0</v>
      </c>
    </row>
    <row r="40" spans="1:3" x14ac:dyDescent="0.25">
      <c r="A40" s="185">
        <f>Inter!B93</f>
        <v>0</v>
      </c>
      <c r="B40" s="186">
        <f>Inter!C93</f>
        <v>0</v>
      </c>
      <c r="C40" s="187">
        <f>Inter!AA93</f>
        <v>0</v>
      </c>
    </row>
    <row r="41" spans="1:3" x14ac:dyDescent="0.25">
      <c r="A41" s="185">
        <f>Inter!B95</f>
        <v>0</v>
      </c>
      <c r="B41" s="186">
        <f>Inter!C95</f>
        <v>0</v>
      </c>
      <c r="C41" s="187">
        <f>Inter!AA95</f>
        <v>0</v>
      </c>
    </row>
  </sheetData>
  <mergeCells count="2">
    <mergeCell ref="A1:C1"/>
    <mergeCell ref="A3:C3"/>
  </mergeCell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/>
  <dimension ref="B1:Q41"/>
  <sheetViews>
    <sheetView workbookViewId="0">
      <selection activeCell="Q15" sqref="Q15"/>
    </sheetView>
  </sheetViews>
  <sheetFormatPr baseColWidth="10" defaultRowHeight="15" x14ac:dyDescent="0.25"/>
  <cols>
    <col min="1" max="1" width="4" customWidth="1"/>
    <col min="3" max="3" width="7.42578125" customWidth="1"/>
    <col min="4" max="7" width="7.140625" customWidth="1"/>
    <col min="8" max="8" width="4.7109375" customWidth="1"/>
    <col min="9" max="11" width="7.140625" customWidth="1"/>
    <col min="12" max="12" width="4.7109375" customWidth="1"/>
    <col min="13" max="13" width="7.140625" customWidth="1"/>
    <col min="14" max="14" width="7.5703125" customWidth="1"/>
    <col min="15" max="15" width="11.140625" customWidth="1"/>
    <col min="16" max="16" width="6.28515625" customWidth="1"/>
  </cols>
  <sheetData>
    <row r="1" spans="2:17" x14ac:dyDescent="0.25">
      <c r="B1" s="366" t="s">
        <v>49</v>
      </c>
      <c r="C1" s="366"/>
      <c r="D1" s="366"/>
      <c r="E1" s="366"/>
      <c r="F1" s="366"/>
      <c r="G1" s="366"/>
      <c r="H1" s="366"/>
      <c r="I1" s="366"/>
      <c r="J1" s="366"/>
      <c r="K1" s="366"/>
      <c r="L1" s="366"/>
      <c r="M1" s="366"/>
      <c r="N1" s="366"/>
      <c r="O1" s="366"/>
    </row>
    <row r="2" spans="2:17" x14ac:dyDescent="0.25">
      <c r="B2" s="302"/>
      <c r="C2" s="302"/>
      <c r="D2" s="302"/>
      <c r="E2" s="302"/>
      <c r="F2" s="302"/>
      <c r="G2" s="302"/>
      <c r="H2" s="302"/>
      <c r="I2" s="302"/>
      <c r="J2" s="302"/>
      <c r="K2" s="302"/>
      <c r="L2" s="302"/>
      <c r="M2" s="302"/>
      <c r="N2" s="302"/>
      <c r="O2" s="302"/>
    </row>
    <row r="3" spans="2:17" x14ac:dyDescent="0.25">
      <c r="B3" t="s">
        <v>50</v>
      </c>
      <c r="C3" s="7" t="s">
        <v>51</v>
      </c>
    </row>
    <row r="4" spans="2:17" x14ac:dyDescent="0.25">
      <c r="B4" t="s">
        <v>52</v>
      </c>
      <c r="D4">
        <f>Inter!I23</f>
        <v>0</v>
      </c>
    </row>
    <row r="5" spans="2:17" ht="15.75" thickBot="1" x14ac:dyDescent="0.3"/>
    <row r="6" spans="2:17" ht="15.75" customHeight="1" x14ac:dyDescent="0.25">
      <c r="C6" s="367" t="s">
        <v>53</v>
      </c>
      <c r="D6" s="370" t="s">
        <v>54</v>
      </c>
      <c r="E6" s="370" t="s">
        <v>30</v>
      </c>
      <c r="F6" s="373"/>
      <c r="G6" s="373"/>
      <c r="H6" s="375" t="s">
        <v>55</v>
      </c>
      <c r="I6" s="377" t="s">
        <v>30</v>
      </c>
      <c r="J6" s="373"/>
      <c r="K6" s="373"/>
      <c r="L6" s="375" t="s">
        <v>55</v>
      </c>
      <c r="M6" s="379" t="s">
        <v>56</v>
      </c>
      <c r="N6" s="242"/>
      <c r="O6" s="243"/>
    </row>
    <row r="7" spans="2:17" x14ac:dyDescent="0.25">
      <c r="C7" s="368"/>
      <c r="D7" s="371"/>
      <c r="E7" s="374"/>
      <c r="F7" s="374"/>
      <c r="G7" s="374"/>
      <c r="H7" s="376"/>
      <c r="I7" s="378"/>
      <c r="J7" s="374"/>
      <c r="K7" s="374"/>
      <c r="L7" s="376"/>
      <c r="M7" s="380"/>
      <c r="N7" s="242"/>
      <c r="O7" s="243"/>
    </row>
    <row r="8" spans="2:17" x14ac:dyDescent="0.25">
      <c r="C8" s="368"/>
      <c r="D8" s="371"/>
      <c r="E8" s="374"/>
      <c r="F8" s="374"/>
      <c r="G8" s="374"/>
      <c r="H8" s="376"/>
      <c r="I8" s="378"/>
      <c r="J8" s="374"/>
      <c r="K8" s="374"/>
      <c r="L8" s="376"/>
      <c r="M8" s="380"/>
      <c r="N8" s="242"/>
      <c r="O8" s="243"/>
    </row>
    <row r="9" spans="2:17" ht="15.75" thickBot="1" x14ac:dyDescent="0.3">
      <c r="C9" s="369"/>
      <c r="D9" s="372"/>
      <c r="E9" s="189" t="s">
        <v>6</v>
      </c>
      <c r="F9" s="189" t="s">
        <v>7</v>
      </c>
      <c r="G9" s="189" t="s">
        <v>57</v>
      </c>
      <c r="H9" s="376"/>
      <c r="I9" s="190" t="s">
        <v>6</v>
      </c>
      <c r="J9" s="189" t="s">
        <v>7</v>
      </c>
      <c r="K9" s="189" t="s">
        <v>57</v>
      </c>
      <c r="L9" s="376"/>
      <c r="M9" s="380"/>
      <c r="N9" s="242"/>
      <c r="O9" s="243"/>
    </row>
    <row r="10" spans="2:17" ht="15.75" thickBot="1" x14ac:dyDescent="0.3">
      <c r="B10" s="381" t="s">
        <v>14</v>
      </c>
      <c r="C10" s="342"/>
      <c r="D10" s="345"/>
      <c r="E10" s="216"/>
      <c r="F10" s="216"/>
      <c r="G10" s="219"/>
      <c r="H10" s="229"/>
      <c r="I10" s="221"/>
      <c r="J10" s="222"/>
      <c r="K10" s="191"/>
      <c r="L10" s="231"/>
      <c r="M10" s="365"/>
      <c r="N10" s="242"/>
      <c r="O10" s="243"/>
      <c r="P10" s="194">
        <v>3</v>
      </c>
      <c r="Q10" s="194">
        <v>31</v>
      </c>
    </row>
    <row r="11" spans="2:17" ht="15.75" thickBot="1" x14ac:dyDescent="0.3">
      <c r="B11" s="381"/>
      <c r="C11" s="343"/>
      <c r="D11" s="346"/>
      <c r="E11" s="217"/>
      <c r="F11" s="217"/>
      <c r="G11" s="35"/>
      <c r="H11" s="36"/>
      <c r="I11" s="223"/>
      <c r="J11" s="224"/>
      <c r="K11" s="103"/>
      <c r="L11" s="232"/>
      <c r="M11" s="349"/>
      <c r="N11" s="242"/>
      <c r="O11" s="243"/>
      <c r="P11" s="29">
        <f>P10</f>
        <v>3</v>
      </c>
      <c r="Q11" s="29">
        <f>Q10</f>
        <v>31</v>
      </c>
    </row>
    <row r="12" spans="2:17" ht="15.75" thickBot="1" x14ac:dyDescent="0.3">
      <c r="B12" s="381"/>
      <c r="C12" s="344"/>
      <c r="D12" s="347"/>
      <c r="E12" s="218"/>
      <c r="F12" s="218"/>
      <c r="G12" s="220"/>
      <c r="H12" s="230"/>
      <c r="I12" s="225"/>
      <c r="J12" s="226"/>
      <c r="K12" s="192"/>
      <c r="L12" s="233"/>
      <c r="M12" s="350"/>
      <c r="N12" s="242"/>
      <c r="O12" s="243"/>
      <c r="P12" s="29">
        <f>P10</f>
        <v>3</v>
      </c>
      <c r="Q12" s="29">
        <f>Q10</f>
        <v>31</v>
      </c>
    </row>
    <row r="13" spans="2:17" ht="15.75" thickBot="1" x14ac:dyDescent="0.3">
      <c r="B13" s="381" t="s">
        <v>15</v>
      </c>
      <c r="C13" s="342"/>
      <c r="D13" s="345"/>
      <c r="E13" s="216"/>
      <c r="F13" s="216"/>
      <c r="G13" s="219"/>
      <c r="H13" s="229"/>
      <c r="I13" s="221"/>
      <c r="J13" s="222"/>
      <c r="K13" s="191"/>
      <c r="L13" s="231"/>
      <c r="M13" s="348"/>
      <c r="N13" s="242"/>
      <c r="O13" s="244"/>
      <c r="P13" s="29">
        <f>P10+1</f>
        <v>4</v>
      </c>
      <c r="Q13" s="29">
        <f>Q10+1</f>
        <v>32</v>
      </c>
    </row>
    <row r="14" spans="2:17" ht="15.75" thickBot="1" x14ac:dyDescent="0.3">
      <c r="B14" s="381"/>
      <c r="C14" s="343"/>
      <c r="D14" s="346"/>
      <c r="E14" s="217"/>
      <c r="F14" s="217"/>
      <c r="G14" s="35"/>
      <c r="H14" s="36"/>
      <c r="I14" s="223"/>
      <c r="J14" s="224"/>
      <c r="K14" s="103"/>
      <c r="L14" s="232"/>
      <c r="M14" s="349"/>
      <c r="N14" s="245"/>
      <c r="O14" s="244"/>
      <c r="P14" s="29">
        <f>P13</f>
        <v>4</v>
      </c>
      <c r="Q14" s="29">
        <f>Q13</f>
        <v>32</v>
      </c>
    </row>
    <row r="15" spans="2:17" ht="15.75" thickBot="1" x14ac:dyDescent="0.3">
      <c r="B15" s="381"/>
      <c r="C15" s="344"/>
      <c r="D15" s="347"/>
      <c r="E15" s="218"/>
      <c r="F15" s="218"/>
      <c r="G15" s="220"/>
      <c r="H15" s="230"/>
      <c r="I15" s="225"/>
      <c r="J15" s="226"/>
      <c r="K15" s="192"/>
      <c r="L15" s="233"/>
      <c r="M15" s="350"/>
      <c r="N15" s="245"/>
      <c r="O15" s="244"/>
      <c r="P15" s="29">
        <f>P13</f>
        <v>4</v>
      </c>
      <c r="Q15" s="29">
        <f>Q13</f>
        <v>32</v>
      </c>
    </row>
    <row r="16" spans="2:17" ht="15.75" thickBot="1" x14ac:dyDescent="0.3">
      <c r="B16" s="381" t="s">
        <v>16</v>
      </c>
      <c r="C16" s="342"/>
      <c r="D16" s="345"/>
      <c r="E16" s="216"/>
      <c r="F16" s="216"/>
      <c r="G16" s="219"/>
      <c r="H16" s="229"/>
      <c r="I16" s="221"/>
      <c r="J16" s="222"/>
      <c r="K16" s="191"/>
      <c r="L16" s="231"/>
      <c r="M16" s="348"/>
      <c r="N16" s="245"/>
      <c r="O16" s="244"/>
      <c r="P16" s="29">
        <f>P10+2</f>
        <v>5</v>
      </c>
      <c r="Q16" s="29">
        <f>Q10+2</f>
        <v>33</v>
      </c>
    </row>
    <row r="17" spans="2:17" ht="15.75" thickBot="1" x14ac:dyDescent="0.3">
      <c r="B17" s="381"/>
      <c r="C17" s="343"/>
      <c r="D17" s="346"/>
      <c r="E17" s="217"/>
      <c r="F17" s="217"/>
      <c r="G17" s="35"/>
      <c r="H17" s="36"/>
      <c r="I17" s="223"/>
      <c r="J17" s="224"/>
      <c r="K17" s="103"/>
      <c r="L17" s="232"/>
      <c r="M17" s="349"/>
      <c r="N17" s="245"/>
      <c r="O17" s="244"/>
      <c r="P17" s="29">
        <f>P16</f>
        <v>5</v>
      </c>
      <c r="Q17" s="29">
        <f>Q16</f>
        <v>33</v>
      </c>
    </row>
    <row r="18" spans="2:17" ht="15.75" thickBot="1" x14ac:dyDescent="0.3">
      <c r="B18" s="381"/>
      <c r="C18" s="344"/>
      <c r="D18" s="347"/>
      <c r="E18" s="218"/>
      <c r="F18" s="218"/>
      <c r="G18" s="220"/>
      <c r="H18" s="230"/>
      <c r="I18" s="225"/>
      <c r="J18" s="226"/>
      <c r="K18" s="192"/>
      <c r="L18" s="233"/>
      <c r="M18" s="350"/>
      <c r="N18" s="245"/>
      <c r="O18" s="244"/>
      <c r="P18" s="29">
        <f>P16</f>
        <v>5</v>
      </c>
      <c r="Q18" s="29">
        <f>Q16</f>
        <v>33</v>
      </c>
    </row>
    <row r="19" spans="2:17" ht="15.75" thickBot="1" x14ac:dyDescent="0.3">
      <c r="B19" s="381" t="s">
        <v>17</v>
      </c>
      <c r="C19" s="342"/>
      <c r="D19" s="345"/>
      <c r="E19" s="216"/>
      <c r="F19" s="216"/>
      <c r="G19" s="219"/>
      <c r="H19" s="229"/>
      <c r="I19" s="221"/>
      <c r="J19" s="222"/>
      <c r="K19" s="191"/>
      <c r="L19" s="231"/>
      <c r="M19" s="348"/>
      <c r="N19" s="245"/>
      <c r="O19" s="244"/>
      <c r="P19" s="29">
        <f>P10+3</f>
        <v>6</v>
      </c>
      <c r="Q19" s="29">
        <f>Q10+3</f>
        <v>34</v>
      </c>
    </row>
    <row r="20" spans="2:17" ht="15.75" thickBot="1" x14ac:dyDescent="0.3">
      <c r="B20" s="381"/>
      <c r="C20" s="343"/>
      <c r="D20" s="346"/>
      <c r="E20" s="217"/>
      <c r="F20" s="217"/>
      <c r="G20" s="35"/>
      <c r="H20" s="36"/>
      <c r="I20" s="223"/>
      <c r="J20" s="224"/>
      <c r="K20" s="103"/>
      <c r="L20" s="232"/>
      <c r="M20" s="349"/>
      <c r="N20" s="245"/>
      <c r="O20" s="244"/>
      <c r="P20" s="29">
        <f>P19</f>
        <v>6</v>
      </c>
      <c r="Q20" s="29">
        <f>Q19</f>
        <v>34</v>
      </c>
    </row>
    <row r="21" spans="2:17" ht="15.75" thickBot="1" x14ac:dyDescent="0.3">
      <c r="B21" s="381"/>
      <c r="C21" s="344"/>
      <c r="D21" s="347"/>
      <c r="E21" s="218"/>
      <c r="F21" s="218"/>
      <c r="G21" s="220"/>
      <c r="H21" s="230"/>
      <c r="I21" s="225"/>
      <c r="J21" s="226"/>
      <c r="K21" s="192"/>
      <c r="L21" s="233"/>
      <c r="M21" s="350"/>
      <c r="N21" s="245"/>
      <c r="O21" s="244"/>
      <c r="P21" s="29">
        <f>P19</f>
        <v>6</v>
      </c>
      <c r="Q21" s="29">
        <f>Q19</f>
        <v>34</v>
      </c>
    </row>
    <row r="22" spans="2:17" ht="15.75" thickBot="1" x14ac:dyDescent="0.3">
      <c r="B22" s="381" t="s">
        <v>18</v>
      </c>
      <c r="C22" s="342"/>
      <c r="D22" s="345"/>
      <c r="E22" s="216"/>
      <c r="F22" s="216"/>
      <c r="G22" s="219"/>
      <c r="H22" s="229"/>
      <c r="I22" s="221"/>
      <c r="J22" s="222"/>
      <c r="K22" s="191"/>
      <c r="L22" s="231"/>
      <c r="M22" s="348"/>
      <c r="N22" s="242"/>
      <c r="O22" s="244"/>
      <c r="P22" s="29">
        <f>P10+4</f>
        <v>7</v>
      </c>
      <c r="Q22" s="29">
        <f>Q10+4</f>
        <v>35</v>
      </c>
    </row>
    <row r="23" spans="2:17" ht="15.75" thickBot="1" x14ac:dyDescent="0.3">
      <c r="B23" s="381"/>
      <c r="C23" s="343"/>
      <c r="D23" s="346"/>
      <c r="E23" s="217"/>
      <c r="F23" s="217"/>
      <c r="G23" s="35"/>
      <c r="H23" s="36"/>
      <c r="I23" s="223"/>
      <c r="J23" s="224"/>
      <c r="K23" s="103"/>
      <c r="L23" s="232"/>
      <c r="M23" s="349"/>
      <c r="N23" s="245"/>
      <c r="O23" s="244"/>
      <c r="P23" s="29">
        <f>P22</f>
        <v>7</v>
      </c>
      <c r="Q23" s="29">
        <f>Q22</f>
        <v>35</v>
      </c>
    </row>
    <row r="24" spans="2:17" ht="15.75" thickBot="1" x14ac:dyDescent="0.3">
      <c r="B24" s="381"/>
      <c r="C24" s="344"/>
      <c r="D24" s="347"/>
      <c r="E24" s="218"/>
      <c r="F24" s="218"/>
      <c r="G24" s="220"/>
      <c r="H24" s="230"/>
      <c r="I24" s="225"/>
      <c r="J24" s="226"/>
      <c r="K24" s="192"/>
      <c r="L24" s="233"/>
      <c r="M24" s="350"/>
      <c r="N24" s="245"/>
      <c r="O24" s="244"/>
      <c r="P24" s="29">
        <f>P22</f>
        <v>7</v>
      </c>
      <c r="Q24" s="29">
        <f>Q22</f>
        <v>35</v>
      </c>
    </row>
    <row r="25" spans="2:17" ht="15.75" thickBot="1" x14ac:dyDescent="0.3">
      <c r="B25" s="381" t="s">
        <v>19</v>
      </c>
      <c r="C25" s="342"/>
      <c r="D25" s="345"/>
      <c r="E25" s="216"/>
      <c r="F25" s="216"/>
      <c r="G25" s="219"/>
      <c r="H25" s="229"/>
      <c r="I25" s="221"/>
      <c r="J25" s="222"/>
      <c r="K25" s="191"/>
      <c r="L25" s="231"/>
      <c r="M25" s="348"/>
      <c r="N25" s="245"/>
      <c r="O25" s="244"/>
      <c r="P25" s="29">
        <f>P10+5</f>
        <v>8</v>
      </c>
      <c r="Q25" s="29">
        <f>Q10+5</f>
        <v>36</v>
      </c>
    </row>
    <row r="26" spans="2:17" ht="15.75" thickBot="1" x14ac:dyDescent="0.3">
      <c r="B26" s="381"/>
      <c r="C26" s="343"/>
      <c r="D26" s="346"/>
      <c r="E26" s="217"/>
      <c r="F26" s="217"/>
      <c r="G26" s="35"/>
      <c r="H26" s="36"/>
      <c r="I26" s="223"/>
      <c r="J26" s="224"/>
      <c r="K26" s="103"/>
      <c r="L26" s="232"/>
      <c r="M26" s="349"/>
      <c r="N26" s="245"/>
      <c r="O26" s="244"/>
      <c r="P26" s="29">
        <f>P25</f>
        <v>8</v>
      </c>
      <c r="Q26" s="29">
        <f>Q25</f>
        <v>36</v>
      </c>
    </row>
    <row r="27" spans="2:17" ht="15.75" thickBot="1" x14ac:dyDescent="0.3">
      <c r="B27" s="381"/>
      <c r="C27" s="344"/>
      <c r="D27" s="347"/>
      <c r="E27" s="218"/>
      <c r="F27" s="218"/>
      <c r="G27" s="220"/>
      <c r="H27" s="230"/>
      <c r="I27" s="225"/>
      <c r="J27" s="226"/>
      <c r="K27" s="192"/>
      <c r="L27" s="233"/>
      <c r="M27" s="350"/>
      <c r="N27" s="245"/>
      <c r="O27" s="244"/>
      <c r="P27" s="29">
        <f>P25</f>
        <v>8</v>
      </c>
      <c r="Q27" s="29">
        <f>Q25</f>
        <v>36</v>
      </c>
    </row>
    <row r="28" spans="2:17" ht="15.75" thickBot="1" x14ac:dyDescent="0.3">
      <c r="B28" s="381" t="s">
        <v>20</v>
      </c>
      <c r="C28" s="342"/>
      <c r="D28" s="345"/>
      <c r="E28" s="216"/>
      <c r="F28" s="216"/>
      <c r="G28" s="219"/>
      <c r="H28" s="229"/>
      <c r="I28" s="221"/>
      <c r="J28" s="222"/>
      <c r="K28" s="191"/>
      <c r="L28" s="231"/>
      <c r="M28" s="348"/>
      <c r="N28" s="245"/>
      <c r="O28" s="244"/>
      <c r="P28" s="29">
        <f>P10+6</f>
        <v>9</v>
      </c>
      <c r="Q28" s="29">
        <f>Q10+6</f>
        <v>37</v>
      </c>
    </row>
    <row r="29" spans="2:17" ht="15.75" thickBot="1" x14ac:dyDescent="0.3">
      <c r="B29" s="381"/>
      <c r="C29" s="343"/>
      <c r="D29" s="346"/>
      <c r="E29" s="217"/>
      <c r="F29" s="217"/>
      <c r="G29" s="35"/>
      <c r="H29" s="36"/>
      <c r="I29" s="223"/>
      <c r="J29" s="224"/>
      <c r="K29" s="103"/>
      <c r="L29" s="232"/>
      <c r="M29" s="349"/>
      <c r="N29" s="245"/>
      <c r="O29" s="244"/>
      <c r="P29" s="29">
        <f>P28</f>
        <v>9</v>
      </c>
      <c r="Q29" s="29">
        <f>Q28</f>
        <v>37</v>
      </c>
    </row>
    <row r="30" spans="2:17" ht="15.75" thickBot="1" x14ac:dyDescent="0.3">
      <c r="B30" s="381"/>
      <c r="C30" s="344"/>
      <c r="D30" s="347"/>
      <c r="E30" s="218"/>
      <c r="F30" s="218"/>
      <c r="G30" s="220"/>
      <c r="H30" s="230"/>
      <c r="I30" s="225"/>
      <c r="J30" s="226"/>
      <c r="K30" s="192"/>
      <c r="L30" s="233"/>
      <c r="M30" s="350"/>
      <c r="N30" s="245"/>
      <c r="O30" s="244"/>
      <c r="P30" s="29">
        <f>P28</f>
        <v>9</v>
      </c>
      <c r="Q30" s="29">
        <f>Q28</f>
        <v>37</v>
      </c>
    </row>
    <row r="32" spans="2:17" x14ac:dyDescent="0.25">
      <c r="B32" s="193" t="s">
        <v>58</v>
      </c>
    </row>
    <row r="33" spans="2:15" x14ac:dyDescent="0.25">
      <c r="B33" s="193" t="s">
        <v>59</v>
      </c>
    </row>
    <row r="36" spans="2:15" x14ac:dyDescent="0.25">
      <c r="B36" s="351" t="s">
        <v>60</v>
      </c>
      <c r="C36" s="352"/>
      <c r="D36" s="352"/>
      <c r="E36" s="352"/>
      <c r="F36" s="352"/>
      <c r="G36" s="352"/>
      <c r="H36" s="352"/>
      <c r="I36" s="352"/>
      <c r="J36" s="353"/>
      <c r="K36" s="351" t="s">
        <v>61</v>
      </c>
      <c r="L36" s="352"/>
      <c r="M36" s="352"/>
      <c r="N36" s="304"/>
      <c r="O36" s="305"/>
    </row>
    <row r="37" spans="2:15" x14ac:dyDescent="0.25">
      <c r="B37" s="354"/>
      <c r="C37" s="355"/>
      <c r="D37" s="355"/>
      <c r="E37" s="355"/>
      <c r="F37" s="355"/>
      <c r="G37" s="355"/>
      <c r="H37" s="355"/>
      <c r="I37" s="355"/>
      <c r="J37" s="356"/>
      <c r="K37" s="363" t="s">
        <v>62</v>
      </c>
      <c r="L37" s="304"/>
      <c r="M37" s="305"/>
      <c r="N37" s="363" t="s">
        <v>63</v>
      </c>
      <c r="O37" s="364"/>
    </row>
    <row r="38" spans="2:15" x14ac:dyDescent="0.25">
      <c r="B38" s="357"/>
      <c r="C38" s="358"/>
      <c r="D38" s="358"/>
      <c r="E38" s="358"/>
      <c r="F38" s="358"/>
      <c r="G38" s="358"/>
      <c r="H38" s="358"/>
      <c r="I38" s="358"/>
      <c r="J38" s="359"/>
      <c r="K38" s="354"/>
      <c r="L38" s="355"/>
      <c r="M38" s="356"/>
      <c r="N38" s="354"/>
      <c r="O38" s="356"/>
    </row>
    <row r="39" spans="2:15" x14ac:dyDescent="0.25">
      <c r="B39" s="357"/>
      <c r="C39" s="358"/>
      <c r="D39" s="358"/>
      <c r="E39" s="358"/>
      <c r="F39" s="358"/>
      <c r="G39" s="358"/>
      <c r="H39" s="358"/>
      <c r="I39" s="358"/>
      <c r="J39" s="359"/>
      <c r="K39" s="357"/>
      <c r="L39" s="358"/>
      <c r="M39" s="359"/>
      <c r="N39" s="357"/>
      <c r="O39" s="359"/>
    </row>
    <row r="40" spans="2:15" x14ac:dyDescent="0.25">
      <c r="B40" s="357"/>
      <c r="C40" s="358"/>
      <c r="D40" s="358"/>
      <c r="E40" s="358"/>
      <c r="F40" s="358"/>
      <c r="G40" s="358"/>
      <c r="H40" s="358"/>
      <c r="I40" s="358"/>
      <c r="J40" s="359"/>
      <c r="K40" s="357"/>
      <c r="L40" s="358"/>
      <c r="M40" s="359"/>
      <c r="N40" s="357"/>
      <c r="O40" s="359"/>
    </row>
    <row r="41" spans="2:15" x14ac:dyDescent="0.25">
      <c r="B41" s="360"/>
      <c r="C41" s="361"/>
      <c r="D41" s="361"/>
      <c r="E41" s="361"/>
      <c r="F41" s="361"/>
      <c r="G41" s="361"/>
      <c r="H41" s="361"/>
      <c r="I41" s="361"/>
      <c r="J41" s="362"/>
      <c r="K41" s="360"/>
      <c r="L41" s="361"/>
      <c r="M41" s="362"/>
      <c r="N41" s="360"/>
      <c r="O41" s="362"/>
    </row>
  </sheetData>
  <mergeCells count="44">
    <mergeCell ref="B25:B27"/>
    <mergeCell ref="B28:B30"/>
    <mergeCell ref="B10:B12"/>
    <mergeCell ref="B13:B15"/>
    <mergeCell ref="B16:B18"/>
    <mergeCell ref="B19:B21"/>
    <mergeCell ref="B22:B24"/>
    <mergeCell ref="B1:O1"/>
    <mergeCell ref="B2:O2"/>
    <mergeCell ref="C6:C9"/>
    <mergeCell ref="D6:D9"/>
    <mergeCell ref="E6:G8"/>
    <mergeCell ref="H6:H9"/>
    <mergeCell ref="I6:K8"/>
    <mergeCell ref="L6:L9"/>
    <mergeCell ref="M6:M9"/>
    <mergeCell ref="C10:C12"/>
    <mergeCell ref="D10:D12"/>
    <mergeCell ref="M10:M12"/>
    <mergeCell ref="C13:C15"/>
    <mergeCell ref="D13:D15"/>
    <mergeCell ref="M13:M15"/>
    <mergeCell ref="C16:C18"/>
    <mergeCell ref="D16:D18"/>
    <mergeCell ref="M16:M18"/>
    <mergeCell ref="C19:C21"/>
    <mergeCell ref="D19:D21"/>
    <mergeCell ref="M19:M21"/>
    <mergeCell ref="C22:C24"/>
    <mergeCell ref="D22:D24"/>
    <mergeCell ref="M22:M24"/>
    <mergeCell ref="C25:C27"/>
    <mergeCell ref="D25:D27"/>
    <mergeCell ref="M25:M27"/>
    <mergeCell ref="B37:J41"/>
    <mergeCell ref="K37:M37"/>
    <mergeCell ref="N37:O37"/>
    <mergeCell ref="K38:M41"/>
    <mergeCell ref="N38:O41"/>
    <mergeCell ref="C28:C30"/>
    <mergeCell ref="D28:D30"/>
    <mergeCell ref="M28:M30"/>
    <mergeCell ref="B36:J36"/>
    <mergeCell ref="K36:O36"/>
  </mergeCells>
  <pageMargins left="0.7" right="0.7" top="0.75" bottom="0.75" header="0.3" footer="0.3"/>
  <pageSetup paperSize="9" scale="75" fitToWidth="0" fitToHeight="0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</vt:i4>
      </vt:variant>
    </vt:vector>
  </HeadingPairs>
  <TitlesOfParts>
    <vt:vector size="7" baseType="lpstr">
      <vt:lpstr>Inter</vt:lpstr>
      <vt:lpstr>Édition Pointages</vt:lpstr>
      <vt:lpstr>Gestion Pointages</vt:lpstr>
      <vt:lpstr>Calcul</vt:lpstr>
      <vt:lpstr>Recap</vt:lpstr>
      <vt:lpstr>FHebdo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Utilisateur Windows</dc:creator>
  <cp:lastModifiedBy>Utilisateur Windows</cp:lastModifiedBy>
  <cp:lastPrinted>2024-11-15T01:44:32Z</cp:lastPrinted>
  <dcterms:created xsi:type="dcterms:W3CDTF">2024-10-06T20:00:42Z</dcterms:created>
  <dcterms:modified xsi:type="dcterms:W3CDTF">2025-03-26T12:18:32Z</dcterms:modified>
</cp:coreProperties>
</file>